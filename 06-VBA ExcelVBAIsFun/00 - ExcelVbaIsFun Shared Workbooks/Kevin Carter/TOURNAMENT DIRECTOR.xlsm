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0" windowWidth="24240" windowHeight="13740" tabRatio="407"/>
  </bookViews>
  <sheets>
    <sheet name="Tournament Director Home" sheetId="11" r:id="rId1"/>
    <sheet name="Defaults and Lookup Lists" sheetId="6" state="hidden" r:id="rId2"/>
    <sheet name="Contestant Entry List" sheetId="1" state="hidden" r:id="rId3"/>
    <sheet name="Hole Event List" sheetId="12" state="hidden" r:id="rId4"/>
    <sheet name="Gift Card List" sheetId="13" state="hidden" r:id="rId5"/>
    <sheet name="Player Lookup" sheetId="4" state="hidden" r:id="rId6"/>
    <sheet name="Course Information" sheetId="3" state="hidden" r:id="rId7"/>
    <sheet name="Concatenation Helper" sheetId="8" state="hidden" r:id="rId8"/>
    <sheet name="Get Index From Handicap" sheetId="9" state="hidden" r:id="rId9"/>
  </sheets>
  <functionGroups builtInGroupCount="17"/>
  <definedNames>
    <definedName name="LOOKUP_TABLE_NAMES">'Player Lookup'!$A$1</definedName>
    <definedName name="PopUpClubName">'Defaults and Lookup Lists'!$L$3:$L$6</definedName>
    <definedName name="PopUpEventOpenTo">'Defaults and Lookup Lists'!$P$3:$P$5</definedName>
    <definedName name="PopUpExtraRule">'Defaults and Lookup Lists'!$O$3</definedName>
    <definedName name="PopUpFlights">'Defaults and Lookup Lists'!$J$3:$J$10</definedName>
    <definedName name="PopUpGender">'Defaults and Lookup Lists'!$I$3:$I$4</definedName>
    <definedName name="PopUpGiftCards">'Defaults and Lookup Lists'!$S$3:$S$15</definedName>
    <definedName name="PopUpHoleEvent">'Defaults and Lookup Lists'!$N$3:$N$12</definedName>
    <definedName name="PopUpLookUpName">'Player Lookup'!$A$4:$A$100</definedName>
    <definedName name="PopUpTeeMarkers">'Defaults and Lookup Lists'!$K$3:$K$8</definedName>
    <definedName name="TeeMarkerTable">'Course Information'!$A$2:$W$13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0" i="4" l="1"/>
  <c r="BS4" i="1"/>
  <c r="F41" i="4"/>
  <c r="CG4" i="1"/>
  <c r="CU4" i="1"/>
  <c r="DI4" i="1"/>
  <c r="DW4" i="1"/>
  <c r="BO4" i="1"/>
  <c r="C40" i="4"/>
  <c r="BP4" i="1"/>
  <c r="BQ4" i="1"/>
  <c r="BR4" i="1"/>
  <c r="BT4" i="1"/>
  <c r="AE4" i="1"/>
  <c r="CC4" i="1"/>
  <c r="C41" i="4"/>
  <c r="CD4" i="1"/>
  <c r="CE4" i="1"/>
  <c r="CF4" i="1"/>
  <c r="G41" i="4"/>
  <c r="CH4" i="1"/>
  <c r="AF4" i="1"/>
  <c r="CQ4" i="1"/>
  <c r="CR4" i="1"/>
  <c r="CS4" i="1"/>
  <c r="CT4" i="1"/>
  <c r="CV4" i="1"/>
  <c r="AG4" i="1"/>
  <c r="DE4" i="1"/>
  <c r="DF4" i="1"/>
  <c r="DG4" i="1"/>
  <c r="DH4" i="1"/>
  <c r="DJ4" i="1"/>
  <c r="AH4" i="1"/>
  <c r="D4" i="1"/>
  <c r="B4" i="1"/>
  <c r="W4" i="1"/>
  <c r="BU4" i="1"/>
  <c r="BW4" i="1"/>
  <c r="O4" i="1"/>
  <c r="F16" i="4"/>
  <c r="BS3" i="1"/>
  <c r="F30" i="4"/>
  <c r="CG3" i="1"/>
  <c r="CU3" i="1"/>
  <c r="DI3" i="1"/>
  <c r="DW3" i="1"/>
  <c r="BO3" i="1"/>
  <c r="C16" i="4"/>
  <c r="BP3" i="1"/>
  <c r="BQ3" i="1"/>
  <c r="BR3" i="1"/>
  <c r="G16" i="4"/>
  <c r="BT3" i="1"/>
  <c r="AE3" i="1"/>
  <c r="CC3" i="1"/>
  <c r="C30" i="4"/>
  <c r="CD3" i="1"/>
  <c r="CE3" i="1"/>
  <c r="CF3" i="1"/>
  <c r="G30" i="4"/>
  <c r="CH3" i="1"/>
  <c r="AF3" i="1"/>
  <c r="CQ3" i="1"/>
  <c r="CR3" i="1"/>
  <c r="CS3" i="1"/>
  <c r="CT3" i="1"/>
  <c r="CV3" i="1"/>
  <c r="AG3" i="1"/>
  <c r="DE3" i="1"/>
  <c r="DF3" i="1"/>
  <c r="DG3" i="1"/>
  <c r="DH3" i="1"/>
  <c r="DJ3" i="1"/>
  <c r="AH3" i="1"/>
  <c r="D3" i="1"/>
  <c r="B3" i="1"/>
  <c r="O3" i="1"/>
  <c r="F33" i="4"/>
  <c r="BS5" i="1"/>
  <c r="F46" i="4"/>
  <c r="CG5" i="1"/>
  <c r="CU5" i="1"/>
  <c r="DI5" i="1"/>
  <c r="DW5" i="1"/>
  <c r="BO5" i="1"/>
  <c r="C33" i="4"/>
  <c r="BP5" i="1"/>
  <c r="BQ5" i="1"/>
  <c r="BR5" i="1"/>
  <c r="G33" i="4"/>
  <c r="BT5" i="1"/>
  <c r="AE5" i="1"/>
  <c r="CC5" i="1"/>
  <c r="C46" i="4"/>
  <c r="CD5" i="1"/>
  <c r="CE5" i="1"/>
  <c r="CF5" i="1"/>
  <c r="G46" i="4"/>
  <c r="CH5" i="1"/>
  <c r="AF5" i="1"/>
  <c r="CQ5" i="1"/>
  <c r="CR5" i="1"/>
  <c r="CS5" i="1"/>
  <c r="CT5" i="1"/>
  <c r="CV5" i="1"/>
  <c r="AG5" i="1"/>
  <c r="DE5" i="1"/>
  <c r="DF5" i="1"/>
  <c r="DG5" i="1"/>
  <c r="DH5" i="1"/>
  <c r="DJ5" i="1"/>
  <c r="AH5" i="1"/>
  <c r="D5" i="1"/>
  <c r="B5" i="1"/>
  <c r="O5" i="1"/>
  <c r="L2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C76" i="4"/>
  <c r="F76" i="4"/>
  <c r="G76" i="4"/>
  <c r="H76" i="4"/>
  <c r="C77" i="4"/>
  <c r="F77" i="4"/>
  <c r="G77" i="4"/>
  <c r="H77" i="4"/>
  <c r="C78" i="4"/>
  <c r="F78" i="4"/>
  <c r="G78" i="4"/>
  <c r="H78" i="4"/>
  <c r="C79" i="4"/>
  <c r="F79" i="4"/>
  <c r="G79" i="4"/>
  <c r="H79" i="4"/>
  <c r="C80" i="4"/>
  <c r="F80" i="4"/>
  <c r="G80" i="4"/>
  <c r="H80" i="4"/>
  <c r="C81" i="4"/>
  <c r="F81" i="4"/>
  <c r="G81" i="4"/>
  <c r="H81" i="4"/>
  <c r="C82" i="4"/>
  <c r="F82" i="4"/>
  <c r="G82" i="4"/>
  <c r="H82" i="4"/>
  <c r="C83" i="4"/>
  <c r="F83" i="4"/>
  <c r="G83" i="4"/>
  <c r="H83" i="4"/>
  <c r="C84" i="4"/>
  <c r="F84" i="4"/>
  <c r="G84" i="4"/>
  <c r="H84" i="4"/>
  <c r="C85" i="4"/>
  <c r="F85" i="4"/>
  <c r="G85" i="4"/>
  <c r="H85" i="4"/>
  <c r="C86" i="4"/>
  <c r="F86" i="4"/>
  <c r="G86" i="4"/>
  <c r="H86" i="4"/>
  <c r="C87" i="4"/>
  <c r="F87" i="4"/>
  <c r="G87" i="4"/>
  <c r="H87" i="4"/>
  <c r="C88" i="4"/>
  <c r="F88" i="4"/>
  <c r="G88" i="4"/>
  <c r="H88" i="4"/>
  <c r="C89" i="4"/>
  <c r="F89" i="4"/>
  <c r="G89" i="4"/>
  <c r="H89" i="4"/>
  <c r="C90" i="4"/>
  <c r="F90" i="4"/>
  <c r="G90" i="4"/>
  <c r="H90" i="4"/>
  <c r="C91" i="4"/>
  <c r="F91" i="4"/>
  <c r="G91" i="4"/>
  <c r="H91" i="4"/>
  <c r="C92" i="4"/>
  <c r="F92" i="4"/>
  <c r="G92" i="4"/>
  <c r="H92" i="4"/>
  <c r="C93" i="4"/>
  <c r="F93" i="4"/>
  <c r="G93" i="4"/>
  <c r="H93" i="4"/>
  <c r="C94" i="4"/>
  <c r="F94" i="4"/>
  <c r="G94" i="4"/>
  <c r="H94" i="4"/>
  <c r="C95" i="4"/>
  <c r="F95" i="4"/>
  <c r="G95" i="4"/>
  <c r="H95" i="4"/>
  <c r="C96" i="4"/>
  <c r="F96" i="4"/>
  <c r="G96" i="4"/>
  <c r="H96" i="4"/>
  <c r="C97" i="4"/>
  <c r="F97" i="4"/>
  <c r="G97" i="4"/>
  <c r="H97" i="4"/>
  <c r="C98" i="4"/>
  <c r="F98" i="4"/>
  <c r="G98" i="4"/>
  <c r="H98" i="4"/>
  <c r="C99" i="4"/>
  <c r="F99" i="4"/>
  <c r="G99" i="4"/>
  <c r="H99" i="4"/>
  <c r="C100" i="4"/>
  <c r="F100" i="4"/>
  <c r="G100" i="4"/>
  <c r="H100" i="4"/>
  <c r="G75" i="4"/>
  <c r="F75" i="4"/>
  <c r="C75" i="4"/>
  <c r="H75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BS52" i="1"/>
  <c r="CG52" i="1"/>
  <c r="CU52" i="1"/>
  <c r="DI52" i="1"/>
  <c r="DW52" i="1"/>
  <c r="BO52" i="1"/>
  <c r="BP52" i="1"/>
  <c r="BQ52" i="1"/>
  <c r="BR52" i="1"/>
  <c r="BT52" i="1"/>
  <c r="AE52" i="1"/>
  <c r="CC52" i="1"/>
  <c r="CD52" i="1"/>
  <c r="CE52" i="1"/>
  <c r="CF52" i="1"/>
  <c r="CH52" i="1"/>
  <c r="AF52" i="1"/>
  <c r="CQ52" i="1"/>
  <c r="CR52" i="1"/>
  <c r="CS52" i="1"/>
  <c r="CT52" i="1"/>
  <c r="CV52" i="1"/>
  <c r="AG52" i="1"/>
  <c r="DE52" i="1"/>
  <c r="DF52" i="1"/>
  <c r="DG52" i="1"/>
  <c r="DH52" i="1"/>
  <c r="DJ52" i="1"/>
  <c r="AH52" i="1"/>
  <c r="D52" i="1"/>
  <c r="B52" i="1"/>
  <c r="P52" i="1"/>
  <c r="BS51" i="1"/>
  <c r="CG51" i="1"/>
  <c r="CU51" i="1"/>
  <c r="DI51" i="1"/>
  <c r="DW51" i="1"/>
  <c r="BO51" i="1"/>
  <c r="BP51" i="1"/>
  <c r="BQ51" i="1"/>
  <c r="BR51" i="1"/>
  <c r="BT51" i="1"/>
  <c r="AE51" i="1"/>
  <c r="CC51" i="1"/>
  <c r="CD51" i="1"/>
  <c r="CE51" i="1"/>
  <c r="CF51" i="1"/>
  <c r="CH51" i="1"/>
  <c r="AF51" i="1"/>
  <c r="CQ51" i="1"/>
  <c r="CR51" i="1"/>
  <c r="CS51" i="1"/>
  <c r="CT51" i="1"/>
  <c r="CV51" i="1"/>
  <c r="AG51" i="1"/>
  <c r="DE51" i="1"/>
  <c r="DF51" i="1"/>
  <c r="DG51" i="1"/>
  <c r="DH51" i="1"/>
  <c r="DJ51" i="1"/>
  <c r="AH51" i="1"/>
  <c r="D51" i="1"/>
  <c r="B51" i="1"/>
  <c r="P51" i="1"/>
  <c r="BS50" i="1"/>
  <c r="CG50" i="1"/>
  <c r="CU50" i="1"/>
  <c r="DI50" i="1"/>
  <c r="DW50" i="1"/>
  <c r="BO50" i="1"/>
  <c r="BP50" i="1"/>
  <c r="BQ50" i="1"/>
  <c r="BR50" i="1"/>
  <c r="BT50" i="1"/>
  <c r="AE50" i="1"/>
  <c r="CC50" i="1"/>
  <c r="CD50" i="1"/>
  <c r="CE50" i="1"/>
  <c r="CF50" i="1"/>
  <c r="CH50" i="1"/>
  <c r="AF50" i="1"/>
  <c r="CQ50" i="1"/>
  <c r="CR50" i="1"/>
  <c r="CS50" i="1"/>
  <c r="CT50" i="1"/>
  <c r="CV50" i="1"/>
  <c r="AG50" i="1"/>
  <c r="DE50" i="1"/>
  <c r="DF50" i="1"/>
  <c r="DG50" i="1"/>
  <c r="DH50" i="1"/>
  <c r="DJ50" i="1"/>
  <c r="AH50" i="1"/>
  <c r="D50" i="1"/>
  <c r="B50" i="1"/>
  <c r="P50" i="1"/>
  <c r="BS49" i="1"/>
  <c r="CG49" i="1"/>
  <c r="CU49" i="1"/>
  <c r="DI49" i="1"/>
  <c r="DW49" i="1"/>
  <c r="BO49" i="1"/>
  <c r="BP49" i="1"/>
  <c r="BQ49" i="1"/>
  <c r="BR49" i="1"/>
  <c r="BT49" i="1"/>
  <c r="AE49" i="1"/>
  <c r="CC49" i="1"/>
  <c r="CD49" i="1"/>
  <c r="CE49" i="1"/>
  <c r="CF49" i="1"/>
  <c r="CH49" i="1"/>
  <c r="AF49" i="1"/>
  <c r="CQ49" i="1"/>
  <c r="CR49" i="1"/>
  <c r="CS49" i="1"/>
  <c r="CT49" i="1"/>
  <c r="CV49" i="1"/>
  <c r="AG49" i="1"/>
  <c r="DE49" i="1"/>
  <c r="DF49" i="1"/>
  <c r="DG49" i="1"/>
  <c r="DH49" i="1"/>
  <c r="DJ49" i="1"/>
  <c r="AH49" i="1"/>
  <c r="D49" i="1"/>
  <c r="B49" i="1"/>
  <c r="P49" i="1"/>
  <c r="BS48" i="1"/>
  <c r="CG48" i="1"/>
  <c r="CU48" i="1"/>
  <c r="DI48" i="1"/>
  <c r="DW48" i="1"/>
  <c r="BO48" i="1"/>
  <c r="BP48" i="1"/>
  <c r="BQ48" i="1"/>
  <c r="BR48" i="1"/>
  <c r="BT48" i="1"/>
  <c r="AE48" i="1"/>
  <c r="CC48" i="1"/>
  <c r="CD48" i="1"/>
  <c r="CE48" i="1"/>
  <c r="CF48" i="1"/>
  <c r="CH48" i="1"/>
  <c r="AF48" i="1"/>
  <c r="CQ48" i="1"/>
  <c r="CR48" i="1"/>
  <c r="CS48" i="1"/>
  <c r="CT48" i="1"/>
  <c r="CV48" i="1"/>
  <c r="AG48" i="1"/>
  <c r="DE48" i="1"/>
  <c r="DF48" i="1"/>
  <c r="DG48" i="1"/>
  <c r="DH48" i="1"/>
  <c r="DJ48" i="1"/>
  <c r="AH48" i="1"/>
  <c r="D48" i="1"/>
  <c r="B48" i="1"/>
  <c r="P48" i="1"/>
  <c r="BS47" i="1"/>
  <c r="CG47" i="1"/>
  <c r="CU47" i="1"/>
  <c r="DI47" i="1"/>
  <c r="DW47" i="1"/>
  <c r="BO47" i="1"/>
  <c r="BP47" i="1"/>
  <c r="BQ47" i="1"/>
  <c r="BR47" i="1"/>
  <c r="BT47" i="1"/>
  <c r="AE47" i="1"/>
  <c r="CC47" i="1"/>
  <c r="CD47" i="1"/>
  <c r="CE47" i="1"/>
  <c r="CF47" i="1"/>
  <c r="CH47" i="1"/>
  <c r="AF47" i="1"/>
  <c r="CQ47" i="1"/>
  <c r="CR47" i="1"/>
  <c r="CS47" i="1"/>
  <c r="CT47" i="1"/>
  <c r="CV47" i="1"/>
  <c r="AG47" i="1"/>
  <c r="DE47" i="1"/>
  <c r="DF47" i="1"/>
  <c r="DG47" i="1"/>
  <c r="DH47" i="1"/>
  <c r="DJ47" i="1"/>
  <c r="AH47" i="1"/>
  <c r="D47" i="1"/>
  <c r="B47" i="1"/>
  <c r="P47" i="1"/>
  <c r="BS46" i="1"/>
  <c r="CG46" i="1"/>
  <c r="CU46" i="1"/>
  <c r="DI46" i="1"/>
  <c r="DW46" i="1"/>
  <c r="BO46" i="1"/>
  <c r="BP46" i="1"/>
  <c r="BQ46" i="1"/>
  <c r="BR46" i="1"/>
  <c r="BT46" i="1"/>
  <c r="AE46" i="1"/>
  <c r="CC46" i="1"/>
  <c r="CD46" i="1"/>
  <c r="CE46" i="1"/>
  <c r="CF46" i="1"/>
  <c r="CH46" i="1"/>
  <c r="AF46" i="1"/>
  <c r="CQ46" i="1"/>
  <c r="CR46" i="1"/>
  <c r="CS46" i="1"/>
  <c r="CT46" i="1"/>
  <c r="CV46" i="1"/>
  <c r="AG46" i="1"/>
  <c r="DE46" i="1"/>
  <c r="DF46" i="1"/>
  <c r="DG46" i="1"/>
  <c r="DH46" i="1"/>
  <c r="DJ46" i="1"/>
  <c r="AH46" i="1"/>
  <c r="D46" i="1"/>
  <c r="B46" i="1"/>
  <c r="P46" i="1"/>
  <c r="BS45" i="1"/>
  <c r="CG45" i="1"/>
  <c r="CU45" i="1"/>
  <c r="DI45" i="1"/>
  <c r="DW45" i="1"/>
  <c r="BO45" i="1"/>
  <c r="BP45" i="1"/>
  <c r="BQ45" i="1"/>
  <c r="BR45" i="1"/>
  <c r="BT45" i="1"/>
  <c r="AE45" i="1"/>
  <c r="CC45" i="1"/>
  <c r="CD45" i="1"/>
  <c r="CE45" i="1"/>
  <c r="CF45" i="1"/>
  <c r="CH45" i="1"/>
  <c r="AF45" i="1"/>
  <c r="CQ45" i="1"/>
  <c r="CR45" i="1"/>
  <c r="CS45" i="1"/>
  <c r="CT45" i="1"/>
  <c r="CV45" i="1"/>
  <c r="AG45" i="1"/>
  <c r="DE45" i="1"/>
  <c r="DF45" i="1"/>
  <c r="DG45" i="1"/>
  <c r="DH45" i="1"/>
  <c r="DJ45" i="1"/>
  <c r="AH45" i="1"/>
  <c r="D45" i="1"/>
  <c r="B45" i="1"/>
  <c r="P45" i="1"/>
  <c r="BS44" i="1"/>
  <c r="CG44" i="1"/>
  <c r="CU44" i="1"/>
  <c r="DI44" i="1"/>
  <c r="DW44" i="1"/>
  <c r="BO44" i="1"/>
  <c r="BP44" i="1"/>
  <c r="BQ44" i="1"/>
  <c r="BR44" i="1"/>
  <c r="BT44" i="1"/>
  <c r="AE44" i="1"/>
  <c r="CC44" i="1"/>
  <c r="CD44" i="1"/>
  <c r="CE44" i="1"/>
  <c r="CF44" i="1"/>
  <c r="CH44" i="1"/>
  <c r="AF44" i="1"/>
  <c r="CQ44" i="1"/>
  <c r="CR44" i="1"/>
  <c r="CS44" i="1"/>
  <c r="CT44" i="1"/>
  <c r="CV44" i="1"/>
  <c r="AG44" i="1"/>
  <c r="DE44" i="1"/>
  <c r="DF44" i="1"/>
  <c r="DG44" i="1"/>
  <c r="DH44" i="1"/>
  <c r="DJ44" i="1"/>
  <c r="AH44" i="1"/>
  <c r="D44" i="1"/>
  <c r="B44" i="1"/>
  <c r="P44" i="1"/>
  <c r="BS43" i="1"/>
  <c r="CG43" i="1"/>
  <c r="CU43" i="1"/>
  <c r="DI43" i="1"/>
  <c r="DW43" i="1"/>
  <c r="BO43" i="1"/>
  <c r="BP43" i="1"/>
  <c r="BQ43" i="1"/>
  <c r="BR43" i="1"/>
  <c r="BT43" i="1"/>
  <c r="AE43" i="1"/>
  <c r="CC43" i="1"/>
  <c r="CD43" i="1"/>
  <c r="CE43" i="1"/>
  <c r="CF43" i="1"/>
  <c r="CH43" i="1"/>
  <c r="AF43" i="1"/>
  <c r="CQ43" i="1"/>
  <c r="CR43" i="1"/>
  <c r="CS43" i="1"/>
  <c r="CT43" i="1"/>
  <c r="CV43" i="1"/>
  <c r="AG43" i="1"/>
  <c r="DE43" i="1"/>
  <c r="DF43" i="1"/>
  <c r="DG43" i="1"/>
  <c r="DH43" i="1"/>
  <c r="DJ43" i="1"/>
  <c r="AH43" i="1"/>
  <c r="D43" i="1"/>
  <c r="B43" i="1"/>
  <c r="P43" i="1"/>
  <c r="BS42" i="1"/>
  <c r="CG42" i="1"/>
  <c r="CU42" i="1"/>
  <c r="DI42" i="1"/>
  <c r="DW42" i="1"/>
  <c r="BO42" i="1"/>
  <c r="BP42" i="1"/>
  <c r="BQ42" i="1"/>
  <c r="BR42" i="1"/>
  <c r="BT42" i="1"/>
  <c r="AE42" i="1"/>
  <c r="CC42" i="1"/>
  <c r="CD42" i="1"/>
  <c r="CE42" i="1"/>
  <c r="CF42" i="1"/>
  <c r="CH42" i="1"/>
  <c r="AF42" i="1"/>
  <c r="CQ42" i="1"/>
  <c r="CR42" i="1"/>
  <c r="CS42" i="1"/>
  <c r="CT42" i="1"/>
  <c r="CV42" i="1"/>
  <c r="AG42" i="1"/>
  <c r="DE42" i="1"/>
  <c r="DF42" i="1"/>
  <c r="DG42" i="1"/>
  <c r="DH42" i="1"/>
  <c r="DJ42" i="1"/>
  <c r="AH42" i="1"/>
  <c r="D42" i="1"/>
  <c r="B42" i="1"/>
  <c r="P42" i="1"/>
  <c r="BS41" i="1"/>
  <c r="CG41" i="1"/>
  <c r="CU41" i="1"/>
  <c r="DI41" i="1"/>
  <c r="DW41" i="1"/>
  <c r="BO41" i="1"/>
  <c r="BP41" i="1"/>
  <c r="BQ41" i="1"/>
  <c r="BR41" i="1"/>
  <c r="BT41" i="1"/>
  <c r="AE41" i="1"/>
  <c r="CC41" i="1"/>
  <c r="CD41" i="1"/>
  <c r="CE41" i="1"/>
  <c r="CF41" i="1"/>
  <c r="CH41" i="1"/>
  <c r="AF41" i="1"/>
  <c r="CQ41" i="1"/>
  <c r="CR41" i="1"/>
  <c r="CS41" i="1"/>
  <c r="CT41" i="1"/>
  <c r="CV41" i="1"/>
  <c r="AG41" i="1"/>
  <c r="DE41" i="1"/>
  <c r="DF41" i="1"/>
  <c r="DG41" i="1"/>
  <c r="DH41" i="1"/>
  <c r="DJ41" i="1"/>
  <c r="AH41" i="1"/>
  <c r="D41" i="1"/>
  <c r="B41" i="1"/>
  <c r="P41" i="1"/>
  <c r="BS40" i="1"/>
  <c r="CG40" i="1"/>
  <c r="CU40" i="1"/>
  <c r="DI40" i="1"/>
  <c r="DW40" i="1"/>
  <c r="BO40" i="1"/>
  <c r="BP40" i="1"/>
  <c r="BQ40" i="1"/>
  <c r="BR40" i="1"/>
  <c r="BT40" i="1"/>
  <c r="AE40" i="1"/>
  <c r="CC40" i="1"/>
  <c r="CD40" i="1"/>
  <c r="CE40" i="1"/>
  <c r="CF40" i="1"/>
  <c r="CH40" i="1"/>
  <c r="AF40" i="1"/>
  <c r="CQ40" i="1"/>
  <c r="CR40" i="1"/>
  <c r="CS40" i="1"/>
  <c r="CT40" i="1"/>
  <c r="CV40" i="1"/>
  <c r="AG40" i="1"/>
  <c r="DE40" i="1"/>
  <c r="DF40" i="1"/>
  <c r="DG40" i="1"/>
  <c r="DH40" i="1"/>
  <c r="DJ40" i="1"/>
  <c r="AH40" i="1"/>
  <c r="D40" i="1"/>
  <c r="B40" i="1"/>
  <c r="P40" i="1"/>
  <c r="BS39" i="1"/>
  <c r="CG39" i="1"/>
  <c r="CU39" i="1"/>
  <c r="DI39" i="1"/>
  <c r="DW39" i="1"/>
  <c r="BO39" i="1"/>
  <c r="BP39" i="1"/>
  <c r="BQ39" i="1"/>
  <c r="BR39" i="1"/>
  <c r="BT39" i="1"/>
  <c r="AE39" i="1"/>
  <c r="CC39" i="1"/>
  <c r="CD39" i="1"/>
  <c r="CE39" i="1"/>
  <c r="CF39" i="1"/>
  <c r="CH39" i="1"/>
  <c r="AF39" i="1"/>
  <c r="CQ39" i="1"/>
  <c r="CR39" i="1"/>
  <c r="CS39" i="1"/>
  <c r="CT39" i="1"/>
  <c r="CV39" i="1"/>
  <c r="AG39" i="1"/>
  <c r="DE39" i="1"/>
  <c r="DF39" i="1"/>
  <c r="DG39" i="1"/>
  <c r="DH39" i="1"/>
  <c r="DJ39" i="1"/>
  <c r="AH39" i="1"/>
  <c r="D39" i="1"/>
  <c r="B39" i="1"/>
  <c r="P39" i="1"/>
  <c r="BS38" i="1"/>
  <c r="CG38" i="1"/>
  <c r="CU38" i="1"/>
  <c r="DI38" i="1"/>
  <c r="DW38" i="1"/>
  <c r="BO38" i="1"/>
  <c r="BP38" i="1"/>
  <c r="BQ38" i="1"/>
  <c r="BR38" i="1"/>
  <c r="BT38" i="1"/>
  <c r="AE38" i="1"/>
  <c r="CC38" i="1"/>
  <c r="CD38" i="1"/>
  <c r="CE38" i="1"/>
  <c r="CF38" i="1"/>
  <c r="CH38" i="1"/>
  <c r="AF38" i="1"/>
  <c r="CQ38" i="1"/>
  <c r="CR38" i="1"/>
  <c r="CS38" i="1"/>
  <c r="CT38" i="1"/>
  <c r="CV38" i="1"/>
  <c r="AG38" i="1"/>
  <c r="DE38" i="1"/>
  <c r="DF38" i="1"/>
  <c r="DG38" i="1"/>
  <c r="DH38" i="1"/>
  <c r="DJ38" i="1"/>
  <c r="AH38" i="1"/>
  <c r="D38" i="1"/>
  <c r="B38" i="1"/>
  <c r="P38" i="1"/>
  <c r="BS37" i="1"/>
  <c r="CG37" i="1"/>
  <c r="CU37" i="1"/>
  <c r="DI37" i="1"/>
  <c r="DW37" i="1"/>
  <c r="BO37" i="1"/>
  <c r="BP37" i="1"/>
  <c r="BQ37" i="1"/>
  <c r="BR37" i="1"/>
  <c r="BT37" i="1"/>
  <c r="AE37" i="1"/>
  <c r="CC37" i="1"/>
  <c r="CD37" i="1"/>
  <c r="CE37" i="1"/>
  <c r="CF37" i="1"/>
  <c r="CH37" i="1"/>
  <c r="AF37" i="1"/>
  <c r="CQ37" i="1"/>
  <c r="CR37" i="1"/>
  <c r="CS37" i="1"/>
  <c r="CT37" i="1"/>
  <c r="CV37" i="1"/>
  <c r="AG37" i="1"/>
  <c r="DE37" i="1"/>
  <c r="DF37" i="1"/>
  <c r="DG37" i="1"/>
  <c r="DH37" i="1"/>
  <c r="DJ37" i="1"/>
  <c r="AH37" i="1"/>
  <c r="D37" i="1"/>
  <c r="B37" i="1"/>
  <c r="P37" i="1"/>
  <c r="BS36" i="1"/>
  <c r="CG36" i="1"/>
  <c r="CU36" i="1"/>
  <c r="DI36" i="1"/>
  <c r="DW36" i="1"/>
  <c r="BO36" i="1"/>
  <c r="BP36" i="1"/>
  <c r="BQ36" i="1"/>
  <c r="BR36" i="1"/>
  <c r="BT36" i="1"/>
  <c r="AE36" i="1"/>
  <c r="CC36" i="1"/>
  <c r="CD36" i="1"/>
  <c r="CE36" i="1"/>
  <c r="CF36" i="1"/>
  <c r="CH36" i="1"/>
  <c r="AF36" i="1"/>
  <c r="CQ36" i="1"/>
  <c r="CR36" i="1"/>
  <c r="CS36" i="1"/>
  <c r="CT36" i="1"/>
  <c r="CV36" i="1"/>
  <c r="AG36" i="1"/>
  <c r="DE36" i="1"/>
  <c r="DF36" i="1"/>
  <c r="DG36" i="1"/>
  <c r="DH36" i="1"/>
  <c r="DJ36" i="1"/>
  <c r="AH36" i="1"/>
  <c r="D36" i="1"/>
  <c r="B36" i="1"/>
  <c r="P36" i="1"/>
  <c r="BS35" i="1"/>
  <c r="CG35" i="1"/>
  <c r="CU35" i="1"/>
  <c r="DI35" i="1"/>
  <c r="DW35" i="1"/>
  <c r="BO35" i="1"/>
  <c r="BP35" i="1"/>
  <c r="BQ35" i="1"/>
  <c r="BR35" i="1"/>
  <c r="BT35" i="1"/>
  <c r="AE35" i="1"/>
  <c r="CC35" i="1"/>
  <c r="CD35" i="1"/>
  <c r="CE35" i="1"/>
  <c r="CF35" i="1"/>
  <c r="CH35" i="1"/>
  <c r="AF35" i="1"/>
  <c r="CQ35" i="1"/>
  <c r="CR35" i="1"/>
  <c r="CS35" i="1"/>
  <c r="CT35" i="1"/>
  <c r="CV35" i="1"/>
  <c r="AG35" i="1"/>
  <c r="DE35" i="1"/>
  <c r="DF35" i="1"/>
  <c r="DG35" i="1"/>
  <c r="DH35" i="1"/>
  <c r="DJ35" i="1"/>
  <c r="AH35" i="1"/>
  <c r="D35" i="1"/>
  <c r="B35" i="1"/>
  <c r="P35" i="1"/>
  <c r="BS34" i="1"/>
  <c r="CG34" i="1"/>
  <c r="CU34" i="1"/>
  <c r="DI34" i="1"/>
  <c r="DW34" i="1"/>
  <c r="BO34" i="1"/>
  <c r="BP34" i="1"/>
  <c r="BQ34" i="1"/>
  <c r="BR34" i="1"/>
  <c r="BT34" i="1"/>
  <c r="AE34" i="1"/>
  <c r="CC34" i="1"/>
  <c r="CD34" i="1"/>
  <c r="CE34" i="1"/>
  <c r="CF34" i="1"/>
  <c r="CH34" i="1"/>
  <c r="AF34" i="1"/>
  <c r="CQ34" i="1"/>
  <c r="CR34" i="1"/>
  <c r="CS34" i="1"/>
  <c r="CT34" i="1"/>
  <c r="CV34" i="1"/>
  <c r="AG34" i="1"/>
  <c r="DE34" i="1"/>
  <c r="DF34" i="1"/>
  <c r="DG34" i="1"/>
  <c r="DH34" i="1"/>
  <c r="DJ34" i="1"/>
  <c r="AH34" i="1"/>
  <c r="D34" i="1"/>
  <c r="B34" i="1"/>
  <c r="P34" i="1"/>
  <c r="BS33" i="1"/>
  <c r="CG33" i="1"/>
  <c r="CU33" i="1"/>
  <c r="DI33" i="1"/>
  <c r="DW33" i="1"/>
  <c r="BO33" i="1"/>
  <c r="BP33" i="1"/>
  <c r="BQ33" i="1"/>
  <c r="BR33" i="1"/>
  <c r="BT33" i="1"/>
  <c r="AE33" i="1"/>
  <c r="CC33" i="1"/>
  <c r="CD33" i="1"/>
  <c r="CE33" i="1"/>
  <c r="CF33" i="1"/>
  <c r="CH33" i="1"/>
  <c r="AF33" i="1"/>
  <c r="CQ33" i="1"/>
  <c r="CR33" i="1"/>
  <c r="CS33" i="1"/>
  <c r="CT33" i="1"/>
  <c r="CV33" i="1"/>
  <c r="AG33" i="1"/>
  <c r="DE33" i="1"/>
  <c r="DF33" i="1"/>
  <c r="DG33" i="1"/>
  <c r="DH33" i="1"/>
  <c r="DJ33" i="1"/>
  <c r="AH33" i="1"/>
  <c r="D33" i="1"/>
  <c r="B33" i="1"/>
  <c r="P33" i="1"/>
  <c r="BS32" i="1"/>
  <c r="CG32" i="1"/>
  <c r="CU32" i="1"/>
  <c r="DI32" i="1"/>
  <c r="DW32" i="1"/>
  <c r="BO32" i="1"/>
  <c r="BP32" i="1"/>
  <c r="BQ32" i="1"/>
  <c r="BR32" i="1"/>
  <c r="BT32" i="1"/>
  <c r="AE32" i="1"/>
  <c r="CC32" i="1"/>
  <c r="CD32" i="1"/>
  <c r="CE32" i="1"/>
  <c r="CF32" i="1"/>
  <c r="CH32" i="1"/>
  <c r="AF32" i="1"/>
  <c r="CQ32" i="1"/>
  <c r="CR32" i="1"/>
  <c r="CS32" i="1"/>
  <c r="CT32" i="1"/>
  <c r="CV32" i="1"/>
  <c r="AG32" i="1"/>
  <c r="DE32" i="1"/>
  <c r="DF32" i="1"/>
  <c r="DG32" i="1"/>
  <c r="DH32" i="1"/>
  <c r="DJ32" i="1"/>
  <c r="AH32" i="1"/>
  <c r="D32" i="1"/>
  <c r="B32" i="1"/>
  <c r="P32" i="1"/>
  <c r="BS31" i="1"/>
  <c r="CG31" i="1"/>
  <c r="CU31" i="1"/>
  <c r="DI31" i="1"/>
  <c r="DW31" i="1"/>
  <c r="BO31" i="1"/>
  <c r="BP31" i="1"/>
  <c r="BQ31" i="1"/>
  <c r="BR31" i="1"/>
  <c r="BT31" i="1"/>
  <c r="AE31" i="1"/>
  <c r="CC31" i="1"/>
  <c r="CD31" i="1"/>
  <c r="CE31" i="1"/>
  <c r="CF31" i="1"/>
  <c r="CH31" i="1"/>
  <c r="AF31" i="1"/>
  <c r="CQ31" i="1"/>
  <c r="CR31" i="1"/>
  <c r="CS31" i="1"/>
  <c r="CT31" i="1"/>
  <c r="CV31" i="1"/>
  <c r="AG31" i="1"/>
  <c r="DE31" i="1"/>
  <c r="DF31" i="1"/>
  <c r="DG31" i="1"/>
  <c r="DH31" i="1"/>
  <c r="DJ31" i="1"/>
  <c r="AH31" i="1"/>
  <c r="D31" i="1"/>
  <c r="B31" i="1"/>
  <c r="P31" i="1"/>
  <c r="BS30" i="1"/>
  <c r="CG30" i="1"/>
  <c r="CU30" i="1"/>
  <c r="DI30" i="1"/>
  <c r="DW30" i="1"/>
  <c r="BO30" i="1"/>
  <c r="BP30" i="1"/>
  <c r="BQ30" i="1"/>
  <c r="BR30" i="1"/>
  <c r="BT30" i="1"/>
  <c r="AE30" i="1"/>
  <c r="CC30" i="1"/>
  <c r="CD30" i="1"/>
  <c r="CE30" i="1"/>
  <c r="CF30" i="1"/>
  <c r="CH30" i="1"/>
  <c r="AF30" i="1"/>
  <c r="CQ30" i="1"/>
  <c r="CR30" i="1"/>
  <c r="CS30" i="1"/>
  <c r="CT30" i="1"/>
  <c r="CV30" i="1"/>
  <c r="AG30" i="1"/>
  <c r="DE30" i="1"/>
  <c r="DF30" i="1"/>
  <c r="DG30" i="1"/>
  <c r="DH30" i="1"/>
  <c r="DJ30" i="1"/>
  <c r="AH30" i="1"/>
  <c r="D30" i="1"/>
  <c r="B30" i="1"/>
  <c r="P30" i="1"/>
  <c r="BS29" i="1"/>
  <c r="CG29" i="1"/>
  <c r="CU29" i="1"/>
  <c r="DI29" i="1"/>
  <c r="DW29" i="1"/>
  <c r="BO29" i="1"/>
  <c r="BP29" i="1"/>
  <c r="BQ29" i="1"/>
  <c r="BR29" i="1"/>
  <c r="BT29" i="1"/>
  <c r="AE29" i="1"/>
  <c r="CC29" i="1"/>
  <c r="CD29" i="1"/>
  <c r="CE29" i="1"/>
  <c r="CF29" i="1"/>
  <c r="CH29" i="1"/>
  <c r="AF29" i="1"/>
  <c r="CQ29" i="1"/>
  <c r="CR29" i="1"/>
  <c r="CS29" i="1"/>
  <c r="CT29" i="1"/>
  <c r="CV29" i="1"/>
  <c r="AG29" i="1"/>
  <c r="DE29" i="1"/>
  <c r="DF29" i="1"/>
  <c r="DG29" i="1"/>
  <c r="DH29" i="1"/>
  <c r="DJ29" i="1"/>
  <c r="AH29" i="1"/>
  <c r="D29" i="1"/>
  <c r="B29" i="1"/>
  <c r="P29" i="1"/>
  <c r="BS28" i="1"/>
  <c r="CG28" i="1"/>
  <c r="CU28" i="1"/>
  <c r="DI28" i="1"/>
  <c r="DW28" i="1"/>
  <c r="BO28" i="1"/>
  <c r="BP28" i="1"/>
  <c r="BQ28" i="1"/>
  <c r="BR28" i="1"/>
  <c r="BT28" i="1"/>
  <c r="AE28" i="1"/>
  <c r="CC28" i="1"/>
  <c r="CD28" i="1"/>
  <c r="CE28" i="1"/>
  <c r="CF28" i="1"/>
  <c r="CH28" i="1"/>
  <c r="AF28" i="1"/>
  <c r="CQ28" i="1"/>
  <c r="CR28" i="1"/>
  <c r="CS28" i="1"/>
  <c r="CT28" i="1"/>
  <c r="CV28" i="1"/>
  <c r="AG28" i="1"/>
  <c r="DE28" i="1"/>
  <c r="DF28" i="1"/>
  <c r="DG28" i="1"/>
  <c r="DH28" i="1"/>
  <c r="DJ28" i="1"/>
  <c r="AH28" i="1"/>
  <c r="D28" i="1"/>
  <c r="B28" i="1"/>
  <c r="P28" i="1"/>
  <c r="BS27" i="1"/>
  <c r="CG27" i="1"/>
  <c r="CU27" i="1"/>
  <c r="DI27" i="1"/>
  <c r="DW27" i="1"/>
  <c r="BO27" i="1"/>
  <c r="BP27" i="1"/>
  <c r="BQ27" i="1"/>
  <c r="BR27" i="1"/>
  <c r="BT27" i="1"/>
  <c r="AE27" i="1"/>
  <c r="CC27" i="1"/>
  <c r="CD27" i="1"/>
  <c r="CE27" i="1"/>
  <c r="CF27" i="1"/>
  <c r="CH27" i="1"/>
  <c r="AF27" i="1"/>
  <c r="CQ27" i="1"/>
  <c r="CR27" i="1"/>
  <c r="CS27" i="1"/>
  <c r="CT27" i="1"/>
  <c r="CV27" i="1"/>
  <c r="AG27" i="1"/>
  <c r="DE27" i="1"/>
  <c r="DF27" i="1"/>
  <c r="DG27" i="1"/>
  <c r="DH27" i="1"/>
  <c r="DJ27" i="1"/>
  <c r="AH27" i="1"/>
  <c r="D27" i="1"/>
  <c r="B27" i="1"/>
  <c r="P27" i="1"/>
  <c r="BS26" i="1"/>
  <c r="CG26" i="1"/>
  <c r="CU26" i="1"/>
  <c r="DI26" i="1"/>
  <c r="DW26" i="1"/>
  <c r="BO26" i="1"/>
  <c r="BP26" i="1"/>
  <c r="BQ26" i="1"/>
  <c r="BR26" i="1"/>
  <c r="BT26" i="1"/>
  <c r="AE26" i="1"/>
  <c r="CC26" i="1"/>
  <c r="CD26" i="1"/>
  <c r="CE26" i="1"/>
  <c r="CF26" i="1"/>
  <c r="CH26" i="1"/>
  <c r="AF26" i="1"/>
  <c r="CQ26" i="1"/>
  <c r="CR26" i="1"/>
  <c r="CS26" i="1"/>
  <c r="CT26" i="1"/>
  <c r="CV26" i="1"/>
  <c r="AG26" i="1"/>
  <c r="DE26" i="1"/>
  <c r="DF26" i="1"/>
  <c r="DG26" i="1"/>
  <c r="DH26" i="1"/>
  <c r="DJ26" i="1"/>
  <c r="AH26" i="1"/>
  <c r="D26" i="1"/>
  <c r="B26" i="1"/>
  <c r="P26" i="1"/>
  <c r="BS25" i="1"/>
  <c r="CG25" i="1"/>
  <c r="CU25" i="1"/>
  <c r="DI25" i="1"/>
  <c r="DW25" i="1"/>
  <c r="BO25" i="1"/>
  <c r="BP25" i="1"/>
  <c r="BQ25" i="1"/>
  <c r="BR25" i="1"/>
  <c r="BT25" i="1"/>
  <c r="AE25" i="1"/>
  <c r="CC25" i="1"/>
  <c r="CD25" i="1"/>
  <c r="CE25" i="1"/>
  <c r="CF25" i="1"/>
  <c r="CH25" i="1"/>
  <c r="AF25" i="1"/>
  <c r="CQ25" i="1"/>
  <c r="CR25" i="1"/>
  <c r="CS25" i="1"/>
  <c r="CT25" i="1"/>
  <c r="CV25" i="1"/>
  <c r="AG25" i="1"/>
  <c r="DE25" i="1"/>
  <c r="DF25" i="1"/>
  <c r="DG25" i="1"/>
  <c r="DH25" i="1"/>
  <c r="DJ25" i="1"/>
  <c r="AH25" i="1"/>
  <c r="D25" i="1"/>
  <c r="B25" i="1"/>
  <c r="P25" i="1"/>
  <c r="BS24" i="1"/>
  <c r="CG24" i="1"/>
  <c r="CU24" i="1"/>
  <c r="DI24" i="1"/>
  <c r="DW24" i="1"/>
  <c r="BO24" i="1"/>
  <c r="BP24" i="1"/>
  <c r="BQ24" i="1"/>
  <c r="BR24" i="1"/>
  <c r="BT24" i="1"/>
  <c r="AE24" i="1"/>
  <c r="CC24" i="1"/>
  <c r="CD24" i="1"/>
  <c r="CE24" i="1"/>
  <c r="CF24" i="1"/>
  <c r="CH24" i="1"/>
  <c r="AF24" i="1"/>
  <c r="CQ24" i="1"/>
  <c r="CR24" i="1"/>
  <c r="CS24" i="1"/>
  <c r="CT24" i="1"/>
  <c r="CV24" i="1"/>
  <c r="AG24" i="1"/>
  <c r="DE24" i="1"/>
  <c r="DF24" i="1"/>
  <c r="DG24" i="1"/>
  <c r="DH24" i="1"/>
  <c r="DJ24" i="1"/>
  <c r="AH24" i="1"/>
  <c r="D24" i="1"/>
  <c r="B24" i="1"/>
  <c r="P24" i="1"/>
  <c r="BS23" i="1"/>
  <c r="CG23" i="1"/>
  <c r="CU23" i="1"/>
  <c r="DI23" i="1"/>
  <c r="DW23" i="1"/>
  <c r="BO23" i="1"/>
  <c r="BP23" i="1"/>
  <c r="BQ23" i="1"/>
  <c r="BR23" i="1"/>
  <c r="BT23" i="1"/>
  <c r="AE23" i="1"/>
  <c r="CC23" i="1"/>
  <c r="CD23" i="1"/>
  <c r="CE23" i="1"/>
  <c r="CF23" i="1"/>
  <c r="CH23" i="1"/>
  <c r="AF23" i="1"/>
  <c r="CQ23" i="1"/>
  <c r="CR23" i="1"/>
  <c r="CS23" i="1"/>
  <c r="CT23" i="1"/>
  <c r="CV23" i="1"/>
  <c r="AG23" i="1"/>
  <c r="DE23" i="1"/>
  <c r="DF23" i="1"/>
  <c r="DG23" i="1"/>
  <c r="DH23" i="1"/>
  <c r="DJ23" i="1"/>
  <c r="AH23" i="1"/>
  <c r="D23" i="1"/>
  <c r="B23" i="1"/>
  <c r="P23" i="1"/>
  <c r="BS22" i="1"/>
  <c r="CG22" i="1"/>
  <c r="CU22" i="1"/>
  <c r="DI22" i="1"/>
  <c r="DW22" i="1"/>
  <c r="BO22" i="1"/>
  <c r="BP22" i="1"/>
  <c r="BQ22" i="1"/>
  <c r="BR22" i="1"/>
  <c r="BT22" i="1"/>
  <c r="AE22" i="1"/>
  <c r="CC22" i="1"/>
  <c r="CD22" i="1"/>
  <c r="CE22" i="1"/>
  <c r="CF22" i="1"/>
  <c r="CH22" i="1"/>
  <c r="AF22" i="1"/>
  <c r="CQ22" i="1"/>
  <c r="CR22" i="1"/>
  <c r="CS22" i="1"/>
  <c r="CT22" i="1"/>
  <c r="CV22" i="1"/>
  <c r="AG22" i="1"/>
  <c r="DE22" i="1"/>
  <c r="DF22" i="1"/>
  <c r="DG22" i="1"/>
  <c r="DH22" i="1"/>
  <c r="DJ22" i="1"/>
  <c r="AH22" i="1"/>
  <c r="D22" i="1"/>
  <c r="B22" i="1"/>
  <c r="P22" i="1"/>
  <c r="BS21" i="1"/>
  <c r="CG21" i="1"/>
  <c r="CU21" i="1"/>
  <c r="DI21" i="1"/>
  <c r="DW21" i="1"/>
  <c r="BO21" i="1"/>
  <c r="BP21" i="1"/>
  <c r="BQ21" i="1"/>
  <c r="BR21" i="1"/>
  <c r="BT21" i="1"/>
  <c r="AE21" i="1"/>
  <c r="CC21" i="1"/>
  <c r="CD21" i="1"/>
  <c r="CE21" i="1"/>
  <c r="CF21" i="1"/>
  <c r="CH21" i="1"/>
  <c r="AF21" i="1"/>
  <c r="CQ21" i="1"/>
  <c r="CR21" i="1"/>
  <c r="CS21" i="1"/>
  <c r="CT21" i="1"/>
  <c r="CV21" i="1"/>
  <c r="AG21" i="1"/>
  <c r="DE21" i="1"/>
  <c r="DF21" i="1"/>
  <c r="DG21" i="1"/>
  <c r="DH21" i="1"/>
  <c r="DJ21" i="1"/>
  <c r="AH21" i="1"/>
  <c r="D21" i="1"/>
  <c r="B21" i="1"/>
  <c r="P21" i="1"/>
  <c r="BS20" i="1"/>
  <c r="CG20" i="1"/>
  <c r="CU20" i="1"/>
  <c r="DI20" i="1"/>
  <c r="DW20" i="1"/>
  <c r="BO20" i="1"/>
  <c r="BP20" i="1"/>
  <c r="BQ20" i="1"/>
  <c r="BR20" i="1"/>
  <c r="BT20" i="1"/>
  <c r="AE20" i="1"/>
  <c r="CC20" i="1"/>
  <c r="CD20" i="1"/>
  <c r="CE20" i="1"/>
  <c r="CF20" i="1"/>
  <c r="CH20" i="1"/>
  <c r="AF20" i="1"/>
  <c r="CQ20" i="1"/>
  <c r="CR20" i="1"/>
  <c r="CS20" i="1"/>
  <c r="CT20" i="1"/>
  <c r="CV20" i="1"/>
  <c r="AG20" i="1"/>
  <c r="DE20" i="1"/>
  <c r="DF20" i="1"/>
  <c r="DG20" i="1"/>
  <c r="DH20" i="1"/>
  <c r="DJ20" i="1"/>
  <c r="AH20" i="1"/>
  <c r="D20" i="1"/>
  <c r="B20" i="1"/>
  <c r="P20" i="1"/>
  <c r="BS19" i="1"/>
  <c r="CG19" i="1"/>
  <c r="CU19" i="1"/>
  <c r="DI19" i="1"/>
  <c r="DW19" i="1"/>
  <c r="BO19" i="1"/>
  <c r="BP19" i="1"/>
  <c r="BQ19" i="1"/>
  <c r="BR19" i="1"/>
  <c r="BT19" i="1"/>
  <c r="AE19" i="1"/>
  <c r="CC19" i="1"/>
  <c r="CD19" i="1"/>
  <c r="CE19" i="1"/>
  <c r="CF19" i="1"/>
  <c r="CH19" i="1"/>
  <c r="AF19" i="1"/>
  <c r="CQ19" i="1"/>
  <c r="CR19" i="1"/>
  <c r="CS19" i="1"/>
  <c r="CT19" i="1"/>
  <c r="CV19" i="1"/>
  <c r="AG19" i="1"/>
  <c r="DE19" i="1"/>
  <c r="DF19" i="1"/>
  <c r="DG19" i="1"/>
  <c r="DH19" i="1"/>
  <c r="DJ19" i="1"/>
  <c r="AH19" i="1"/>
  <c r="D19" i="1"/>
  <c r="B19" i="1"/>
  <c r="P19" i="1"/>
  <c r="BS18" i="1"/>
  <c r="CG18" i="1"/>
  <c r="CU18" i="1"/>
  <c r="DI18" i="1"/>
  <c r="DW18" i="1"/>
  <c r="BO18" i="1"/>
  <c r="BP18" i="1"/>
  <c r="BQ18" i="1"/>
  <c r="BR18" i="1"/>
  <c r="BT18" i="1"/>
  <c r="AE18" i="1"/>
  <c r="CC18" i="1"/>
  <c r="CD18" i="1"/>
  <c r="CE18" i="1"/>
  <c r="CF18" i="1"/>
  <c r="CH18" i="1"/>
  <c r="AF18" i="1"/>
  <c r="CQ18" i="1"/>
  <c r="CR18" i="1"/>
  <c r="CS18" i="1"/>
  <c r="CT18" i="1"/>
  <c r="CV18" i="1"/>
  <c r="AG18" i="1"/>
  <c r="DE18" i="1"/>
  <c r="DF18" i="1"/>
  <c r="DG18" i="1"/>
  <c r="DH18" i="1"/>
  <c r="DJ18" i="1"/>
  <c r="AH18" i="1"/>
  <c r="D18" i="1"/>
  <c r="B18" i="1"/>
  <c r="P18" i="1"/>
  <c r="BS17" i="1"/>
  <c r="CG17" i="1"/>
  <c r="CU17" i="1"/>
  <c r="DI17" i="1"/>
  <c r="DW17" i="1"/>
  <c r="BO17" i="1"/>
  <c r="BP17" i="1"/>
  <c r="BQ17" i="1"/>
  <c r="BR17" i="1"/>
  <c r="BT17" i="1"/>
  <c r="AE17" i="1"/>
  <c r="CC17" i="1"/>
  <c r="CD17" i="1"/>
  <c r="CE17" i="1"/>
  <c r="CF17" i="1"/>
  <c r="CH17" i="1"/>
  <c r="AF17" i="1"/>
  <c r="CQ17" i="1"/>
  <c r="CR17" i="1"/>
  <c r="CS17" i="1"/>
  <c r="CT17" i="1"/>
  <c r="CV17" i="1"/>
  <c r="AG17" i="1"/>
  <c r="DE17" i="1"/>
  <c r="DF17" i="1"/>
  <c r="DG17" i="1"/>
  <c r="DH17" i="1"/>
  <c r="DJ17" i="1"/>
  <c r="AH17" i="1"/>
  <c r="D17" i="1"/>
  <c r="B17" i="1"/>
  <c r="P17" i="1"/>
  <c r="BS16" i="1"/>
  <c r="CG16" i="1"/>
  <c r="CU16" i="1"/>
  <c r="DI16" i="1"/>
  <c r="DW16" i="1"/>
  <c r="BO16" i="1"/>
  <c r="BP16" i="1"/>
  <c r="BQ16" i="1"/>
  <c r="BR16" i="1"/>
  <c r="BT16" i="1"/>
  <c r="AE16" i="1"/>
  <c r="CC16" i="1"/>
  <c r="CD16" i="1"/>
  <c r="CE16" i="1"/>
  <c r="CF16" i="1"/>
  <c r="CH16" i="1"/>
  <c r="AF16" i="1"/>
  <c r="CQ16" i="1"/>
  <c r="CR16" i="1"/>
  <c r="CS16" i="1"/>
  <c r="CT16" i="1"/>
  <c r="CV16" i="1"/>
  <c r="AG16" i="1"/>
  <c r="DE16" i="1"/>
  <c r="DF16" i="1"/>
  <c r="DG16" i="1"/>
  <c r="DH16" i="1"/>
  <c r="DJ16" i="1"/>
  <c r="AH16" i="1"/>
  <c r="D16" i="1"/>
  <c r="B16" i="1"/>
  <c r="P16" i="1"/>
  <c r="BS15" i="1"/>
  <c r="CG15" i="1"/>
  <c r="CU15" i="1"/>
  <c r="DI15" i="1"/>
  <c r="DW15" i="1"/>
  <c r="BO15" i="1"/>
  <c r="BP15" i="1"/>
  <c r="BQ15" i="1"/>
  <c r="BR15" i="1"/>
  <c r="BT15" i="1"/>
  <c r="AE15" i="1"/>
  <c r="CC15" i="1"/>
  <c r="CD15" i="1"/>
  <c r="CE15" i="1"/>
  <c r="CF15" i="1"/>
  <c r="CH15" i="1"/>
  <c r="AF15" i="1"/>
  <c r="CQ15" i="1"/>
  <c r="CR15" i="1"/>
  <c r="CS15" i="1"/>
  <c r="CT15" i="1"/>
  <c r="CV15" i="1"/>
  <c r="AG15" i="1"/>
  <c r="DE15" i="1"/>
  <c r="DF15" i="1"/>
  <c r="DG15" i="1"/>
  <c r="DH15" i="1"/>
  <c r="DJ15" i="1"/>
  <c r="AH15" i="1"/>
  <c r="D15" i="1"/>
  <c r="B15" i="1"/>
  <c r="P15" i="1"/>
  <c r="BS14" i="1"/>
  <c r="CG14" i="1"/>
  <c r="CU14" i="1"/>
  <c r="DI14" i="1"/>
  <c r="DW14" i="1"/>
  <c r="BO14" i="1"/>
  <c r="BP14" i="1"/>
  <c r="BQ14" i="1"/>
  <c r="BR14" i="1"/>
  <c r="BT14" i="1"/>
  <c r="AE14" i="1"/>
  <c r="CC14" i="1"/>
  <c r="CD14" i="1"/>
  <c r="CE14" i="1"/>
  <c r="CF14" i="1"/>
  <c r="CH14" i="1"/>
  <c r="AF14" i="1"/>
  <c r="CQ14" i="1"/>
  <c r="CR14" i="1"/>
  <c r="CS14" i="1"/>
  <c r="CT14" i="1"/>
  <c r="CV14" i="1"/>
  <c r="AG14" i="1"/>
  <c r="DE14" i="1"/>
  <c r="DF14" i="1"/>
  <c r="DG14" i="1"/>
  <c r="DH14" i="1"/>
  <c r="DJ14" i="1"/>
  <c r="AH14" i="1"/>
  <c r="D14" i="1"/>
  <c r="B14" i="1"/>
  <c r="P14" i="1"/>
  <c r="BS13" i="1"/>
  <c r="CG13" i="1"/>
  <c r="CU13" i="1"/>
  <c r="DI13" i="1"/>
  <c r="DW13" i="1"/>
  <c r="BO13" i="1"/>
  <c r="BP13" i="1"/>
  <c r="BQ13" i="1"/>
  <c r="BR13" i="1"/>
  <c r="BT13" i="1"/>
  <c r="AE13" i="1"/>
  <c r="CC13" i="1"/>
  <c r="CD13" i="1"/>
  <c r="CE13" i="1"/>
  <c r="CF13" i="1"/>
  <c r="CH13" i="1"/>
  <c r="AF13" i="1"/>
  <c r="CQ13" i="1"/>
  <c r="CR13" i="1"/>
  <c r="CS13" i="1"/>
  <c r="CT13" i="1"/>
  <c r="CV13" i="1"/>
  <c r="AG13" i="1"/>
  <c r="DE13" i="1"/>
  <c r="DF13" i="1"/>
  <c r="DG13" i="1"/>
  <c r="DH13" i="1"/>
  <c r="DJ13" i="1"/>
  <c r="AH13" i="1"/>
  <c r="D13" i="1"/>
  <c r="B13" i="1"/>
  <c r="P13" i="1"/>
  <c r="BS12" i="1"/>
  <c r="CG12" i="1"/>
  <c r="CU12" i="1"/>
  <c r="DI12" i="1"/>
  <c r="DW12" i="1"/>
  <c r="BO12" i="1"/>
  <c r="BP12" i="1"/>
  <c r="BQ12" i="1"/>
  <c r="BR12" i="1"/>
  <c r="BT12" i="1"/>
  <c r="AE12" i="1"/>
  <c r="CC12" i="1"/>
  <c r="CD12" i="1"/>
  <c r="CE12" i="1"/>
  <c r="CF12" i="1"/>
  <c r="CH12" i="1"/>
  <c r="AF12" i="1"/>
  <c r="CQ12" i="1"/>
  <c r="CR12" i="1"/>
  <c r="CS12" i="1"/>
  <c r="CT12" i="1"/>
  <c r="CV12" i="1"/>
  <c r="AG12" i="1"/>
  <c r="DE12" i="1"/>
  <c r="DF12" i="1"/>
  <c r="DG12" i="1"/>
  <c r="DH12" i="1"/>
  <c r="DJ12" i="1"/>
  <c r="AH12" i="1"/>
  <c r="D12" i="1"/>
  <c r="B12" i="1"/>
  <c r="P12" i="1"/>
  <c r="BS11" i="1"/>
  <c r="CG11" i="1"/>
  <c r="CU11" i="1"/>
  <c r="DI11" i="1"/>
  <c r="DW11" i="1"/>
  <c r="BO11" i="1"/>
  <c r="BP11" i="1"/>
  <c r="BQ11" i="1"/>
  <c r="BR11" i="1"/>
  <c r="BT11" i="1"/>
  <c r="AE11" i="1"/>
  <c r="CC11" i="1"/>
  <c r="CD11" i="1"/>
  <c r="CE11" i="1"/>
  <c r="CF11" i="1"/>
  <c r="CH11" i="1"/>
  <c r="AF11" i="1"/>
  <c r="CQ11" i="1"/>
  <c r="CR11" i="1"/>
  <c r="CS11" i="1"/>
  <c r="CT11" i="1"/>
  <c r="CV11" i="1"/>
  <c r="AG11" i="1"/>
  <c r="DE11" i="1"/>
  <c r="DF11" i="1"/>
  <c r="DG11" i="1"/>
  <c r="DH11" i="1"/>
  <c r="DJ11" i="1"/>
  <c r="AH11" i="1"/>
  <c r="D11" i="1"/>
  <c r="B11" i="1"/>
  <c r="P11" i="1"/>
  <c r="BS10" i="1"/>
  <c r="CG10" i="1"/>
  <c r="CU10" i="1"/>
  <c r="DI10" i="1"/>
  <c r="DW10" i="1"/>
  <c r="BO10" i="1"/>
  <c r="BP10" i="1"/>
  <c r="BQ10" i="1"/>
  <c r="BR10" i="1"/>
  <c r="BT10" i="1"/>
  <c r="AE10" i="1"/>
  <c r="CC10" i="1"/>
  <c r="CD10" i="1"/>
  <c r="CE10" i="1"/>
  <c r="CF10" i="1"/>
  <c r="CH10" i="1"/>
  <c r="AF10" i="1"/>
  <c r="CQ10" i="1"/>
  <c r="CR10" i="1"/>
  <c r="CS10" i="1"/>
  <c r="CT10" i="1"/>
  <c r="CV10" i="1"/>
  <c r="AG10" i="1"/>
  <c r="DE10" i="1"/>
  <c r="DF10" i="1"/>
  <c r="DG10" i="1"/>
  <c r="DH10" i="1"/>
  <c r="DJ10" i="1"/>
  <c r="AH10" i="1"/>
  <c r="D10" i="1"/>
  <c r="B10" i="1"/>
  <c r="P10" i="1"/>
  <c r="BS9" i="1"/>
  <c r="CG9" i="1"/>
  <c r="CU9" i="1"/>
  <c r="DI9" i="1"/>
  <c r="DW9" i="1"/>
  <c r="BO9" i="1"/>
  <c r="BP9" i="1"/>
  <c r="BQ9" i="1"/>
  <c r="BR9" i="1"/>
  <c r="BT9" i="1"/>
  <c r="AE9" i="1"/>
  <c r="CC9" i="1"/>
  <c r="CD9" i="1"/>
  <c r="CE9" i="1"/>
  <c r="CF9" i="1"/>
  <c r="CH9" i="1"/>
  <c r="AF9" i="1"/>
  <c r="CQ9" i="1"/>
  <c r="CR9" i="1"/>
  <c r="CS9" i="1"/>
  <c r="CT9" i="1"/>
  <c r="CV9" i="1"/>
  <c r="AG9" i="1"/>
  <c r="DE9" i="1"/>
  <c r="DF9" i="1"/>
  <c r="DG9" i="1"/>
  <c r="DH9" i="1"/>
  <c r="DJ9" i="1"/>
  <c r="AH9" i="1"/>
  <c r="D9" i="1"/>
  <c r="B9" i="1"/>
  <c r="P9" i="1"/>
  <c r="BS8" i="1"/>
  <c r="CG8" i="1"/>
  <c r="CU8" i="1"/>
  <c r="DI8" i="1"/>
  <c r="DW8" i="1"/>
  <c r="BO8" i="1"/>
  <c r="BP8" i="1"/>
  <c r="BQ8" i="1"/>
  <c r="BR8" i="1"/>
  <c r="BT8" i="1"/>
  <c r="AE8" i="1"/>
  <c r="CC8" i="1"/>
  <c r="CD8" i="1"/>
  <c r="CE8" i="1"/>
  <c r="CF8" i="1"/>
  <c r="CH8" i="1"/>
  <c r="AF8" i="1"/>
  <c r="CQ8" i="1"/>
  <c r="CR8" i="1"/>
  <c r="CS8" i="1"/>
  <c r="CT8" i="1"/>
  <c r="CV8" i="1"/>
  <c r="AG8" i="1"/>
  <c r="DE8" i="1"/>
  <c r="DF8" i="1"/>
  <c r="DG8" i="1"/>
  <c r="DH8" i="1"/>
  <c r="DJ8" i="1"/>
  <c r="AH8" i="1"/>
  <c r="D8" i="1"/>
  <c r="B8" i="1"/>
  <c r="P8" i="1"/>
  <c r="BS7" i="1"/>
  <c r="CG7" i="1"/>
  <c r="CU7" i="1"/>
  <c r="DI7" i="1"/>
  <c r="DW7" i="1"/>
  <c r="BO7" i="1"/>
  <c r="BP7" i="1"/>
  <c r="BQ7" i="1"/>
  <c r="BR7" i="1"/>
  <c r="BT7" i="1"/>
  <c r="AE7" i="1"/>
  <c r="CC7" i="1"/>
  <c r="CD7" i="1"/>
  <c r="CE7" i="1"/>
  <c r="CF7" i="1"/>
  <c r="CH7" i="1"/>
  <c r="AF7" i="1"/>
  <c r="CQ7" i="1"/>
  <c r="CR7" i="1"/>
  <c r="CS7" i="1"/>
  <c r="CT7" i="1"/>
  <c r="CV7" i="1"/>
  <c r="AG7" i="1"/>
  <c r="DE7" i="1"/>
  <c r="DF7" i="1"/>
  <c r="DG7" i="1"/>
  <c r="DH7" i="1"/>
  <c r="DJ7" i="1"/>
  <c r="AH7" i="1"/>
  <c r="D7" i="1"/>
  <c r="B7" i="1"/>
  <c r="P7" i="1"/>
  <c r="BS6" i="1"/>
  <c r="CG6" i="1"/>
  <c r="CU6" i="1"/>
  <c r="DI6" i="1"/>
  <c r="DW6" i="1"/>
  <c r="BO6" i="1"/>
  <c r="BP6" i="1"/>
  <c r="BQ6" i="1"/>
  <c r="BR6" i="1"/>
  <c r="BT6" i="1"/>
  <c r="AE6" i="1"/>
  <c r="CC6" i="1"/>
  <c r="CD6" i="1"/>
  <c r="CE6" i="1"/>
  <c r="CF6" i="1"/>
  <c r="CH6" i="1"/>
  <c r="AF6" i="1"/>
  <c r="CQ6" i="1"/>
  <c r="CR6" i="1"/>
  <c r="CS6" i="1"/>
  <c r="CT6" i="1"/>
  <c r="CV6" i="1"/>
  <c r="AG6" i="1"/>
  <c r="DE6" i="1"/>
  <c r="DF6" i="1"/>
  <c r="DG6" i="1"/>
  <c r="DH6" i="1"/>
  <c r="DJ6" i="1"/>
  <c r="AH6" i="1"/>
  <c r="D6" i="1"/>
  <c r="B6" i="1"/>
  <c r="P6" i="1"/>
  <c r="P5" i="1"/>
  <c r="P4" i="1"/>
  <c r="P3" i="1"/>
  <c r="F36" i="4"/>
  <c r="BS2" i="1"/>
  <c r="F29" i="4"/>
  <c r="CG2" i="1"/>
  <c r="CU2" i="1"/>
  <c r="DI2" i="1"/>
  <c r="DW2" i="1"/>
  <c r="BO2" i="1"/>
  <c r="C36" i="4"/>
  <c r="BP2" i="1"/>
  <c r="BQ2" i="1"/>
  <c r="BR2" i="1"/>
  <c r="G36" i="4"/>
  <c r="BT2" i="1"/>
  <c r="AE2" i="1"/>
  <c r="CC2" i="1"/>
  <c r="C29" i="4"/>
  <c r="CD2" i="1"/>
  <c r="CE2" i="1"/>
  <c r="CF2" i="1"/>
  <c r="G29" i="4"/>
  <c r="CH2" i="1"/>
  <c r="AF2" i="1"/>
  <c r="CQ2" i="1"/>
  <c r="CR2" i="1"/>
  <c r="CS2" i="1"/>
  <c r="CT2" i="1"/>
  <c r="CV2" i="1"/>
  <c r="AG2" i="1"/>
  <c r="DE2" i="1"/>
  <c r="DF2" i="1"/>
  <c r="DG2" i="1"/>
  <c r="DH2" i="1"/>
  <c r="DJ2" i="1"/>
  <c r="AH2" i="1"/>
  <c r="D2" i="1"/>
  <c r="B2" i="1"/>
  <c r="P2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2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DY2" i="1"/>
  <c r="EC2" i="1"/>
  <c r="DS2" i="1"/>
  <c r="DT2" i="1"/>
  <c r="DU2" i="1"/>
  <c r="DV2" i="1"/>
  <c r="DX2" i="1"/>
  <c r="AI2" i="1"/>
  <c r="W2" i="1"/>
  <c r="EA2" i="1"/>
  <c r="EB2" i="1"/>
  <c r="ED2" i="1"/>
  <c r="HS2" i="1"/>
  <c r="DY3" i="1"/>
  <c r="EC3" i="1"/>
  <c r="ED3" i="1"/>
  <c r="HS3" i="1"/>
  <c r="DY4" i="1"/>
  <c r="EC4" i="1"/>
  <c r="ED4" i="1"/>
  <c r="HS4" i="1"/>
  <c r="DY5" i="1"/>
  <c r="EC5" i="1"/>
  <c r="ED5" i="1"/>
  <c r="HS5" i="1"/>
  <c r="DY6" i="1"/>
  <c r="EC6" i="1"/>
  <c r="ED6" i="1"/>
  <c r="HS6" i="1"/>
  <c r="DY7" i="1"/>
  <c r="EC7" i="1"/>
  <c r="ED7" i="1"/>
  <c r="HS7" i="1"/>
  <c r="DY8" i="1"/>
  <c r="EC8" i="1"/>
  <c r="ED8" i="1"/>
  <c r="HS8" i="1"/>
  <c r="DY9" i="1"/>
  <c r="EC9" i="1"/>
  <c r="ED9" i="1"/>
  <c r="HS9" i="1"/>
  <c r="DY10" i="1"/>
  <c r="EC10" i="1"/>
  <c r="ED10" i="1"/>
  <c r="HS10" i="1"/>
  <c r="DY11" i="1"/>
  <c r="EC11" i="1"/>
  <c r="ED11" i="1"/>
  <c r="HS11" i="1"/>
  <c r="DY12" i="1"/>
  <c r="EC12" i="1"/>
  <c r="ED12" i="1"/>
  <c r="HS12" i="1"/>
  <c r="DY13" i="1"/>
  <c r="EC13" i="1"/>
  <c r="ED13" i="1"/>
  <c r="HS13" i="1"/>
  <c r="DY14" i="1"/>
  <c r="EC14" i="1"/>
  <c r="ED14" i="1"/>
  <c r="HS14" i="1"/>
  <c r="DY15" i="1"/>
  <c r="EC15" i="1"/>
  <c r="ED15" i="1"/>
  <c r="HS15" i="1"/>
  <c r="DY16" i="1"/>
  <c r="EC16" i="1"/>
  <c r="ED16" i="1"/>
  <c r="HS16" i="1"/>
  <c r="DY17" i="1"/>
  <c r="EC17" i="1"/>
  <c r="ED17" i="1"/>
  <c r="HS17" i="1"/>
  <c r="DY18" i="1"/>
  <c r="EC18" i="1"/>
  <c r="ED18" i="1"/>
  <c r="HS18" i="1"/>
  <c r="DY19" i="1"/>
  <c r="EC19" i="1"/>
  <c r="ED19" i="1"/>
  <c r="HS19" i="1"/>
  <c r="DY20" i="1"/>
  <c r="EC20" i="1"/>
  <c r="ED20" i="1"/>
  <c r="HS20" i="1"/>
  <c r="DY21" i="1"/>
  <c r="EC21" i="1"/>
  <c r="ED21" i="1"/>
  <c r="HS21" i="1"/>
  <c r="DY22" i="1"/>
  <c r="EC22" i="1"/>
  <c r="ED22" i="1"/>
  <c r="HS22" i="1"/>
  <c r="DY23" i="1"/>
  <c r="EC23" i="1"/>
  <c r="ED23" i="1"/>
  <c r="HS23" i="1"/>
  <c r="DY24" i="1"/>
  <c r="EC24" i="1"/>
  <c r="ED24" i="1"/>
  <c r="HS24" i="1"/>
  <c r="DY25" i="1"/>
  <c r="EC25" i="1"/>
  <c r="ED25" i="1"/>
  <c r="HS25" i="1"/>
  <c r="DY26" i="1"/>
  <c r="EC26" i="1"/>
  <c r="ED26" i="1"/>
  <c r="HS26" i="1"/>
  <c r="DY27" i="1"/>
  <c r="EC27" i="1"/>
  <c r="ED27" i="1"/>
  <c r="HS27" i="1"/>
  <c r="DY28" i="1"/>
  <c r="EC28" i="1"/>
  <c r="ED28" i="1"/>
  <c r="HS28" i="1"/>
  <c r="DY29" i="1"/>
  <c r="EC29" i="1"/>
  <c r="ED29" i="1"/>
  <c r="HS29" i="1"/>
  <c r="DY30" i="1"/>
  <c r="EC30" i="1"/>
  <c r="ED30" i="1"/>
  <c r="HS30" i="1"/>
  <c r="DY31" i="1"/>
  <c r="EC31" i="1"/>
  <c r="ED31" i="1"/>
  <c r="HS31" i="1"/>
  <c r="DY32" i="1"/>
  <c r="EC32" i="1"/>
  <c r="ED32" i="1"/>
  <c r="HS32" i="1"/>
  <c r="DY33" i="1"/>
  <c r="EC33" i="1"/>
  <c r="ED33" i="1"/>
  <c r="HS33" i="1"/>
  <c r="DY34" i="1"/>
  <c r="EC34" i="1"/>
  <c r="ED34" i="1"/>
  <c r="HS34" i="1"/>
  <c r="DY35" i="1"/>
  <c r="EC35" i="1"/>
  <c r="ED35" i="1"/>
  <c r="HS35" i="1"/>
  <c r="DY36" i="1"/>
  <c r="EC36" i="1"/>
  <c r="ED36" i="1"/>
  <c r="HS36" i="1"/>
  <c r="DY37" i="1"/>
  <c r="EC37" i="1"/>
  <c r="ED37" i="1"/>
  <c r="HS37" i="1"/>
  <c r="DY38" i="1"/>
  <c r="EC38" i="1"/>
  <c r="ED38" i="1"/>
  <c r="HS38" i="1"/>
  <c r="DY39" i="1"/>
  <c r="EC39" i="1"/>
  <c r="ED39" i="1"/>
  <c r="HS39" i="1"/>
  <c r="DY40" i="1"/>
  <c r="EC40" i="1"/>
  <c r="ED40" i="1"/>
  <c r="HS40" i="1"/>
  <c r="DY41" i="1"/>
  <c r="EC41" i="1"/>
  <c r="ED41" i="1"/>
  <c r="HS41" i="1"/>
  <c r="DY42" i="1"/>
  <c r="EC42" i="1"/>
  <c r="ED42" i="1"/>
  <c r="HS42" i="1"/>
  <c r="DY43" i="1"/>
  <c r="EC43" i="1"/>
  <c r="ED43" i="1"/>
  <c r="HS43" i="1"/>
  <c r="DY44" i="1"/>
  <c r="EC44" i="1"/>
  <c r="ED44" i="1"/>
  <c r="HS44" i="1"/>
  <c r="DY45" i="1"/>
  <c r="EC45" i="1"/>
  <c r="ED45" i="1"/>
  <c r="HS45" i="1"/>
  <c r="DY46" i="1"/>
  <c r="EC46" i="1"/>
  <c r="ED46" i="1"/>
  <c r="HS46" i="1"/>
  <c r="DY47" i="1"/>
  <c r="EC47" i="1"/>
  <c r="ED47" i="1"/>
  <c r="HS47" i="1"/>
  <c r="DY48" i="1"/>
  <c r="EC48" i="1"/>
  <c r="ED48" i="1"/>
  <c r="HS48" i="1"/>
  <c r="DY49" i="1"/>
  <c r="EC49" i="1"/>
  <c r="ED49" i="1"/>
  <c r="HS49" i="1"/>
  <c r="DY50" i="1"/>
  <c r="EC50" i="1"/>
  <c r="ED50" i="1"/>
  <c r="HS50" i="1"/>
  <c r="DY51" i="1"/>
  <c r="EC51" i="1"/>
  <c r="ED51" i="1"/>
  <c r="HS51" i="1"/>
  <c r="DY52" i="1"/>
  <c r="EC52" i="1"/>
  <c r="ED52" i="1"/>
  <c r="HS52" i="1"/>
  <c r="HT2" i="1"/>
  <c r="HT3" i="1"/>
  <c r="HT4" i="1"/>
  <c r="HT5" i="1"/>
  <c r="HT6" i="1"/>
  <c r="HT7" i="1"/>
  <c r="HT8" i="1"/>
  <c r="HT9" i="1"/>
  <c r="HT10" i="1"/>
  <c r="HT11" i="1"/>
  <c r="HT12" i="1"/>
  <c r="HT13" i="1"/>
  <c r="HT14" i="1"/>
  <c r="HT15" i="1"/>
  <c r="HT16" i="1"/>
  <c r="HT17" i="1"/>
  <c r="HT18" i="1"/>
  <c r="HT19" i="1"/>
  <c r="HT20" i="1"/>
  <c r="HT21" i="1"/>
  <c r="HT22" i="1"/>
  <c r="HT23" i="1"/>
  <c r="HT24" i="1"/>
  <c r="HT25" i="1"/>
  <c r="HT26" i="1"/>
  <c r="HT27" i="1"/>
  <c r="HT28" i="1"/>
  <c r="HT29" i="1"/>
  <c r="HT30" i="1"/>
  <c r="HT31" i="1"/>
  <c r="HT32" i="1"/>
  <c r="HT33" i="1"/>
  <c r="HT34" i="1"/>
  <c r="HT35" i="1"/>
  <c r="HT36" i="1"/>
  <c r="HT37" i="1"/>
  <c r="HT38" i="1"/>
  <c r="HT39" i="1"/>
  <c r="HT40" i="1"/>
  <c r="HT41" i="1"/>
  <c r="HT42" i="1"/>
  <c r="HT43" i="1"/>
  <c r="HT44" i="1"/>
  <c r="HT45" i="1"/>
  <c r="HT46" i="1"/>
  <c r="HT47" i="1"/>
  <c r="HT48" i="1"/>
  <c r="HT49" i="1"/>
  <c r="HT50" i="1"/>
  <c r="HT51" i="1"/>
  <c r="HT52" i="1"/>
  <c r="HU2" i="1"/>
  <c r="HU3" i="1"/>
  <c r="HU4" i="1"/>
  <c r="HU5" i="1"/>
  <c r="HU6" i="1"/>
  <c r="HU7" i="1"/>
  <c r="HU8" i="1"/>
  <c r="HU9" i="1"/>
  <c r="HU10" i="1"/>
  <c r="HU11" i="1"/>
  <c r="HU12" i="1"/>
  <c r="HU13" i="1"/>
  <c r="HU14" i="1"/>
  <c r="HU15" i="1"/>
  <c r="HU16" i="1"/>
  <c r="HU17" i="1"/>
  <c r="HU18" i="1"/>
  <c r="HU19" i="1"/>
  <c r="HU20" i="1"/>
  <c r="HU21" i="1"/>
  <c r="HU22" i="1"/>
  <c r="HU23" i="1"/>
  <c r="HU24" i="1"/>
  <c r="HU25" i="1"/>
  <c r="HU26" i="1"/>
  <c r="HU27" i="1"/>
  <c r="HU28" i="1"/>
  <c r="HU29" i="1"/>
  <c r="HU30" i="1"/>
  <c r="HU31" i="1"/>
  <c r="HU32" i="1"/>
  <c r="HU33" i="1"/>
  <c r="HU34" i="1"/>
  <c r="HU35" i="1"/>
  <c r="HU36" i="1"/>
  <c r="HU37" i="1"/>
  <c r="HU38" i="1"/>
  <c r="HU39" i="1"/>
  <c r="HU40" i="1"/>
  <c r="HU41" i="1"/>
  <c r="HU42" i="1"/>
  <c r="HU43" i="1"/>
  <c r="HU44" i="1"/>
  <c r="HU45" i="1"/>
  <c r="HU46" i="1"/>
  <c r="HU47" i="1"/>
  <c r="HU48" i="1"/>
  <c r="HU49" i="1"/>
  <c r="HU50" i="1"/>
  <c r="HU51" i="1"/>
  <c r="HU52" i="1"/>
  <c r="HV2" i="1"/>
  <c r="HV3" i="1"/>
  <c r="HV4" i="1"/>
  <c r="HV5" i="1"/>
  <c r="HV6" i="1"/>
  <c r="HV7" i="1"/>
  <c r="HV8" i="1"/>
  <c r="HV9" i="1"/>
  <c r="HV10" i="1"/>
  <c r="HV11" i="1"/>
  <c r="HV12" i="1"/>
  <c r="HV13" i="1"/>
  <c r="HV14" i="1"/>
  <c r="HV15" i="1"/>
  <c r="HV16" i="1"/>
  <c r="HV17" i="1"/>
  <c r="HV18" i="1"/>
  <c r="HV19" i="1"/>
  <c r="HV20" i="1"/>
  <c r="HV21" i="1"/>
  <c r="HV22" i="1"/>
  <c r="HV23" i="1"/>
  <c r="HV24" i="1"/>
  <c r="HV25" i="1"/>
  <c r="HV26" i="1"/>
  <c r="HV27" i="1"/>
  <c r="HV28" i="1"/>
  <c r="HV29" i="1"/>
  <c r="HV30" i="1"/>
  <c r="HV31" i="1"/>
  <c r="HV32" i="1"/>
  <c r="HV33" i="1"/>
  <c r="HV34" i="1"/>
  <c r="HV35" i="1"/>
  <c r="HV36" i="1"/>
  <c r="HV37" i="1"/>
  <c r="HV38" i="1"/>
  <c r="HV39" i="1"/>
  <c r="HV40" i="1"/>
  <c r="HV41" i="1"/>
  <c r="HV42" i="1"/>
  <c r="HV43" i="1"/>
  <c r="HV44" i="1"/>
  <c r="HV45" i="1"/>
  <c r="HV46" i="1"/>
  <c r="HV47" i="1"/>
  <c r="HV48" i="1"/>
  <c r="HV49" i="1"/>
  <c r="HV50" i="1"/>
  <c r="HV51" i="1"/>
  <c r="HV52" i="1"/>
  <c r="HW2" i="1"/>
  <c r="HW3" i="1"/>
  <c r="HW4" i="1"/>
  <c r="HW5" i="1"/>
  <c r="HW6" i="1"/>
  <c r="HW7" i="1"/>
  <c r="HW8" i="1"/>
  <c r="HW9" i="1"/>
  <c r="HW10" i="1"/>
  <c r="HW11" i="1"/>
  <c r="HW12" i="1"/>
  <c r="HW13" i="1"/>
  <c r="HW14" i="1"/>
  <c r="HW15" i="1"/>
  <c r="HW16" i="1"/>
  <c r="HW17" i="1"/>
  <c r="HW18" i="1"/>
  <c r="HW19" i="1"/>
  <c r="HW20" i="1"/>
  <c r="HW21" i="1"/>
  <c r="HW22" i="1"/>
  <c r="HW23" i="1"/>
  <c r="HW24" i="1"/>
  <c r="HW25" i="1"/>
  <c r="HW26" i="1"/>
  <c r="HW27" i="1"/>
  <c r="HW28" i="1"/>
  <c r="HW29" i="1"/>
  <c r="HW30" i="1"/>
  <c r="HW31" i="1"/>
  <c r="HW32" i="1"/>
  <c r="HW33" i="1"/>
  <c r="HW34" i="1"/>
  <c r="HW35" i="1"/>
  <c r="HW36" i="1"/>
  <c r="HW37" i="1"/>
  <c r="HW38" i="1"/>
  <c r="HW39" i="1"/>
  <c r="HW40" i="1"/>
  <c r="HW41" i="1"/>
  <c r="HW42" i="1"/>
  <c r="HW43" i="1"/>
  <c r="HW44" i="1"/>
  <c r="HW45" i="1"/>
  <c r="HW46" i="1"/>
  <c r="HW47" i="1"/>
  <c r="HW48" i="1"/>
  <c r="HW49" i="1"/>
  <c r="HW50" i="1"/>
  <c r="HW51" i="1"/>
  <c r="HW52" i="1"/>
  <c r="HX2" i="1"/>
  <c r="HX3" i="1"/>
  <c r="HX4" i="1"/>
  <c r="HX5" i="1"/>
  <c r="HX6" i="1"/>
  <c r="HX7" i="1"/>
  <c r="HX8" i="1"/>
  <c r="HX9" i="1"/>
  <c r="HX10" i="1"/>
  <c r="HX11" i="1"/>
  <c r="HX12" i="1"/>
  <c r="HX13" i="1"/>
  <c r="HX14" i="1"/>
  <c r="HX15" i="1"/>
  <c r="HX16" i="1"/>
  <c r="HX17" i="1"/>
  <c r="HX18" i="1"/>
  <c r="HX19" i="1"/>
  <c r="HX20" i="1"/>
  <c r="HX21" i="1"/>
  <c r="HX22" i="1"/>
  <c r="HX23" i="1"/>
  <c r="HX24" i="1"/>
  <c r="HX25" i="1"/>
  <c r="HX26" i="1"/>
  <c r="HX27" i="1"/>
  <c r="HX28" i="1"/>
  <c r="HX29" i="1"/>
  <c r="HX30" i="1"/>
  <c r="HX31" i="1"/>
  <c r="HX32" i="1"/>
  <c r="HX33" i="1"/>
  <c r="HX34" i="1"/>
  <c r="HX35" i="1"/>
  <c r="HX36" i="1"/>
  <c r="HX37" i="1"/>
  <c r="HX38" i="1"/>
  <c r="HX39" i="1"/>
  <c r="HX40" i="1"/>
  <c r="HX41" i="1"/>
  <c r="HX42" i="1"/>
  <c r="HX43" i="1"/>
  <c r="HX44" i="1"/>
  <c r="HX45" i="1"/>
  <c r="HX46" i="1"/>
  <c r="HX47" i="1"/>
  <c r="HX48" i="1"/>
  <c r="HX49" i="1"/>
  <c r="HX50" i="1"/>
  <c r="HX51" i="1"/>
  <c r="HX52" i="1"/>
  <c r="HY2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HY18" i="1"/>
  <c r="HY19" i="1"/>
  <c r="HY20" i="1"/>
  <c r="HY21" i="1"/>
  <c r="HY22" i="1"/>
  <c r="HY23" i="1"/>
  <c r="HY24" i="1"/>
  <c r="HY25" i="1"/>
  <c r="HY26" i="1"/>
  <c r="HY27" i="1"/>
  <c r="HY28" i="1"/>
  <c r="HY29" i="1"/>
  <c r="HY30" i="1"/>
  <c r="HY31" i="1"/>
  <c r="HY32" i="1"/>
  <c r="HY33" i="1"/>
  <c r="HY34" i="1"/>
  <c r="HY35" i="1"/>
  <c r="HY36" i="1"/>
  <c r="HY37" i="1"/>
  <c r="HY38" i="1"/>
  <c r="HY39" i="1"/>
  <c r="HY40" i="1"/>
  <c r="HY41" i="1"/>
  <c r="HY42" i="1"/>
  <c r="HY43" i="1"/>
  <c r="HY44" i="1"/>
  <c r="HY45" i="1"/>
  <c r="HY46" i="1"/>
  <c r="HY47" i="1"/>
  <c r="HY48" i="1"/>
  <c r="HY49" i="1"/>
  <c r="HY50" i="1"/>
  <c r="HY51" i="1"/>
  <c r="HY52" i="1"/>
  <c r="HZ2" i="1"/>
  <c r="HZ3" i="1"/>
  <c r="HZ4" i="1"/>
  <c r="HZ5" i="1"/>
  <c r="HZ6" i="1"/>
  <c r="HZ7" i="1"/>
  <c r="HZ8" i="1"/>
  <c r="HZ9" i="1"/>
  <c r="HZ10" i="1"/>
  <c r="HZ11" i="1"/>
  <c r="HZ12" i="1"/>
  <c r="HZ13" i="1"/>
  <c r="HZ14" i="1"/>
  <c r="HZ15" i="1"/>
  <c r="HZ16" i="1"/>
  <c r="HZ17" i="1"/>
  <c r="HZ18" i="1"/>
  <c r="HZ19" i="1"/>
  <c r="HZ20" i="1"/>
  <c r="HZ21" i="1"/>
  <c r="HZ22" i="1"/>
  <c r="HZ23" i="1"/>
  <c r="HZ24" i="1"/>
  <c r="HZ25" i="1"/>
  <c r="HZ26" i="1"/>
  <c r="HZ27" i="1"/>
  <c r="HZ28" i="1"/>
  <c r="HZ29" i="1"/>
  <c r="HZ30" i="1"/>
  <c r="HZ31" i="1"/>
  <c r="HZ32" i="1"/>
  <c r="HZ33" i="1"/>
  <c r="HZ34" i="1"/>
  <c r="HZ35" i="1"/>
  <c r="HZ36" i="1"/>
  <c r="HZ37" i="1"/>
  <c r="HZ38" i="1"/>
  <c r="HZ39" i="1"/>
  <c r="HZ40" i="1"/>
  <c r="HZ41" i="1"/>
  <c r="HZ42" i="1"/>
  <c r="HZ43" i="1"/>
  <c r="HZ44" i="1"/>
  <c r="HZ45" i="1"/>
  <c r="HZ46" i="1"/>
  <c r="HZ47" i="1"/>
  <c r="HZ48" i="1"/>
  <c r="HZ49" i="1"/>
  <c r="HZ50" i="1"/>
  <c r="HZ51" i="1"/>
  <c r="HZ52" i="1"/>
  <c r="IA2" i="1"/>
  <c r="IA3" i="1"/>
  <c r="IA4" i="1"/>
  <c r="IA5" i="1"/>
  <c r="IA6" i="1"/>
  <c r="IA7" i="1"/>
  <c r="IA8" i="1"/>
  <c r="IA9" i="1"/>
  <c r="IA10" i="1"/>
  <c r="IA11" i="1"/>
  <c r="IA12" i="1"/>
  <c r="IA13" i="1"/>
  <c r="IA14" i="1"/>
  <c r="IA15" i="1"/>
  <c r="IA16" i="1"/>
  <c r="IA17" i="1"/>
  <c r="IA18" i="1"/>
  <c r="IA19" i="1"/>
  <c r="IA20" i="1"/>
  <c r="IA21" i="1"/>
  <c r="IA22" i="1"/>
  <c r="IA23" i="1"/>
  <c r="IA24" i="1"/>
  <c r="IA25" i="1"/>
  <c r="IA26" i="1"/>
  <c r="IA27" i="1"/>
  <c r="IA28" i="1"/>
  <c r="IA29" i="1"/>
  <c r="IA30" i="1"/>
  <c r="IA31" i="1"/>
  <c r="IA32" i="1"/>
  <c r="IA33" i="1"/>
  <c r="IA34" i="1"/>
  <c r="IA35" i="1"/>
  <c r="IA36" i="1"/>
  <c r="IA37" i="1"/>
  <c r="IA38" i="1"/>
  <c r="IA39" i="1"/>
  <c r="IA40" i="1"/>
  <c r="IA41" i="1"/>
  <c r="IA42" i="1"/>
  <c r="IA43" i="1"/>
  <c r="IA44" i="1"/>
  <c r="IA45" i="1"/>
  <c r="IA46" i="1"/>
  <c r="IA47" i="1"/>
  <c r="IA48" i="1"/>
  <c r="IA49" i="1"/>
  <c r="IA50" i="1"/>
  <c r="IA51" i="1"/>
  <c r="IA52" i="1"/>
  <c r="HJ2" i="1"/>
  <c r="HJ3" i="1"/>
  <c r="HJ4" i="1"/>
  <c r="HJ5" i="1"/>
  <c r="HJ6" i="1"/>
  <c r="HJ7" i="1"/>
  <c r="HJ8" i="1"/>
  <c r="HJ9" i="1"/>
  <c r="HJ10" i="1"/>
  <c r="HJ11" i="1"/>
  <c r="HJ12" i="1"/>
  <c r="HJ13" i="1"/>
  <c r="HJ14" i="1"/>
  <c r="HJ15" i="1"/>
  <c r="HJ16" i="1"/>
  <c r="HJ17" i="1"/>
  <c r="HJ18" i="1"/>
  <c r="HJ19" i="1"/>
  <c r="HJ20" i="1"/>
  <c r="HJ21" i="1"/>
  <c r="HJ22" i="1"/>
  <c r="HJ23" i="1"/>
  <c r="HJ24" i="1"/>
  <c r="HJ25" i="1"/>
  <c r="HJ26" i="1"/>
  <c r="HJ27" i="1"/>
  <c r="HJ28" i="1"/>
  <c r="HJ29" i="1"/>
  <c r="HJ30" i="1"/>
  <c r="HJ31" i="1"/>
  <c r="HJ32" i="1"/>
  <c r="HJ33" i="1"/>
  <c r="HJ34" i="1"/>
  <c r="HJ35" i="1"/>
  <c r="HJ36" i="1"/>
  <c r="HJ37" i="1"/>
  <c r="HJ38" i="1"/>
  <c r="HJ39" i="1"/>
  <c r="HJ40" i="1"/>
  <c r="HJ41" i="1"/>
  <c r="HJ42" i="1"/>
  <c r="HJ43" i="1"/>
  <c r="HJ44" i="1"/>
  <c r="HJ45" i="1"/>
  <c r="HJ46" i="1"/>
  <c r="HJ47" i="1"/>
  <c r="HJ48" i="1"/>
  <c r="HJ49" i="1"/>
  <c r="HJ50" i="1"/>
  <c r="HJ51" i="1"/>
  <c r="HJ52" i="1"/>
  <c r="HK2" i="1"/>
  <c r="HK3" i="1"/>
  <c r="HK4" i="1"/>
  <c r="HK5" i="1"/>
  <c r="HK6" i="1"/>
  <c r="HK7" i="1"/>
  <c r="HK8" i="1"/>
  <c r="HK9" i="1"/>
  <c r="HK10" i="1"/>
  <c r="HK11" i="1"/>
  <c r="HK12" i="1"/>
  <c r="HK13" i="1"/>
  <c r="HK14" i="1"/>
  <c r="HK15" i="1"/>
  <c r="HK16" i="1"/>
  <c r="HK17" i="1"/>
  <c r="HK18" i="1"/>
  <c r="HK19" i="1"/>
  <c r="HK20" i="1"/>
  <c r="HK21" i="1"/>
  <c r="HK22" i="1"/>
  <c r="HK23" i="1"/>
  <c r="HK24" i="1"/>
  <c r="HK25" i="1"/>
  <c r="HK26" i="1"/>
  <c r="HK27" i="1"/>
  <c r="HK28" i="1"/>
  <c r="HK29" i="1"/>
  <c r="HK30" i="1"/>
  <c r="HK31" i="1"/>
  <c r="HK32" i="1"/>
  <c r="HK33" i="1"/>
  <c r="HK34" i="1"/>
  <c r="HK35" i="1"/>
  <c r="HK36" i="1"/>
  <c r="HK37" i="1"/>
  <c r="HK38" i="1"/>
  <c r="HK39" i="1"/>
  <c r="HK40" i="1"/>
  <c r="HK41" i="1"/>
  <c r="HK42" i="1"/>
  <c r="HK43" i="1"/>
  <c r="HK44" i="1"/>
  <c r="HK45" i="1"/>
  <c r="HK46" i="1"/>
  <c r="HK47" i="1"/>
  <c r="HK48" i="1"/>
  <c r="HK49" i="1"/>
  <c r="HK50" i="1"/>
  <c r="HK51" i="1"/>
  <c r="HK52" i="1"/>
  <c r="HL2" i="1"/>
  <c r="HL3" i="1"/>
  <c r="HL4" i="1"/>
  <c r="HL5" i="1"/>
  <c r="HL6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21" i="1"/>
  <c r="HL22" i="1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38" i="1"/>
  <c r="HL39" i="1"/>
  <c r="HL40" i="1"/>
  <c r="HL41" i="1"/>
  <c r="HL42" i="1"/>
  <c r="HL43" i="1"/>
  <c r="HL44" i="1"/>
  <c r="HL45" i="1"/>
  <c r="HL46" i="1"/>
  <c r="HL47" i="1"/>
  <c r="HL48" i="1"/>
  <c r="HL49" i="1"/>
  <c r="HL50" i="1"/>
  <c r="HL51" i="1"/>
  <c r="HL52" i="1"/>
  <c r="HM2" i="1"/>
  <c r="HM3" i="1"/>
  <c r="HM4" i="1"/>
  <c r="HM5" i="1"/>
  <c r="HM6" i="1"/>
  <c r="HM7" i="1"/>
  <c r="HM8" i="1"/>
  <c r="HM9" i="1"/>
  <c r="HM10" i="1"/>
  <c r="HM11" i="1"/>
  <c r="HM12" i="1"/>
  <c r="HM13" i="1"/>
  <c r="HM14" i="1"/>
  <c r="HM15" i="1"/>
  <c r="HM16" i="1"/>
  <c r="HM17" i="1"/>
  <c r="HM18" i="1"/>
  <c r="HM19" i="1"/>
  <c r="HM20" i="1"/>
  <c r="HM21" i="1"/>
  <c r="HM22" i="1"/>
  <c r="HM23" i="1"/>
  <c r="HM24" i="1"/>
  <c r="HM25" i="1"/>
  <c r="HM26" i="1"/>
  <c r="HM27" i="1"/>
  <c r="HM28" i="1"/>
  <c r="HM29" i="1"/>
  <c r="HM30" i="1"/>
  <c r="HM31" i="1"/>
  <c r="HM32" i="1"/>
  <c r="HM33" i="1"/>
  <c r="HM34" i="1"/>
  <c r="HM35" i="1"/>
  <c r="HM36" i="1"/>
  <c r="HM37" i="1"/>
  <c r="HM38" i="1"/>
  <c r="HM39" i="1"/>
  <c r="HM40" i="1"/>
  <c r="HM41" i="1"/>
  <c r="HM42" i="1"/>
  <c r="HM43" i="1"/>
  <c r="HM44" i="1"/>
  <c r="HM45" i="1"/>
  <c r="HM46" i="1"/>
  <c r="HM47" i="1"/>
  <c r="HM48" i="1"/>
  <c r="HM49" i="1"/>
  <c r="HM50" i="1"/>
  <c r="HM51" i="1"/>
  <c r="HM52" i="1"/>
  <c r="HN2" i="1"/>
  <c r="HN3" i="1"/>
  <c r="HN4" i="1"/>
  <c r="HN5" i="1"/>
  <c r="HN6" i="1"/>
  <c r="HN7" i="1"/>
  <c r="HN8" i="1"/>
  <c r="HN9" i="1"/>
  <c r="HN10" i="1"/>
  <c r="HN11" i="1"/>
  <c r="HN12" i="1"/>
  <c r="HN13" i="1"/>
  <c r="HN14" i="1"/>
  <c r="HN15" i="1"/>
  <c r="HN16" i="1"/>
  <c r="HN17" i="1"/>
  <c r="HN18" i="1"/>
  <c r="HN19" i="1"/>
  <c r="HN20" i="1"/>
  <c r="HN21" i="1"/>
  <c r="HN22" i="1"/>
  <c r="HN23" i="1"/>
  <c r="HN24" i="1"/>
  <c r="HN25" i="1"/>
  <c r="HN26" i="1"/>
  <c r="HN27" i="1"/>
  <c r="HN28" i="1"/>
  <c r="HN29" i="1"/>
  <c r="HN30" i="1"/>
  <c r="HN31" i="1"/>
  <c r="HN32" i="1"/>
  <c r="HN33" i="1"/>
  <c r="HN34" i="1"/>
  <c r="HN35" i="1"/>
  <c r="HN36" i="1"/>
  <c r="HN37" i="1"/>
  <c r="HN38" i="1"/>
  <c r="HN39" i="1"/>
  <c r="HN40" i="1"/>
  <c r="HN41" i="1"/>
  <c r="HN42" i="1"/>
  <c r="HN43" i="1"/>
  <c r="HN44" i="1"/>
  <c r="HN45" i="1"/>
  <c r="HN46" i="1"/>
  <c r="HN47" i="1"/>
  <c r="HN48" i="1"/>
  <c r="HN49" i="1"/>
  <c r="HN50" i="1"/>
  <c r="HN51" i="1"/>
  <c r="HN52" i="1"/>
  <c r="HO2" i="1"/>
  <c r="HO3" i="1"/>
  <c r="HO4" i="1"/>
  <c r="HO5" i="1"/>
  <c r="HO6" i="1"/>
  <c r="HO7" i="1"/>
  <c r="HO8" i="1"/>
  <c r="HO9" i="1"/>
  <c r="HO10" i="1"/>
  <c r="HO11" i="1"/>
  <c r="HO12" i="1"/>
  <c r="HO13" i="1"/>
  <c r="HO14" i="1"/>
  <c r="HO15" i="1"/>
  <c r="HO16" i="1"/>
  <c r="HO17" i="1"/>
  <c r="HO18" i="1"/>
  <c r="HO19" i="1"/>
  <c r="HO20" i="1"/>
  <c r="HO21" i="1"/>
  <c r="HO22" i="1"/>
  <c r="HO23" i="1"/>
  <c r="HO24" i="1"/>
  <c r="HO25" i="1"/>
  <c r="HO26" i="1"/>
  <c r="HO27" i="1"/>
  <c r="HO28" i="1"/>
  <c r="HO29" i="1"/>
  <c r="HO30" i="1"/>
  <c r="HO31" i="1"/>
  <c r="HO32" i="1"/>
  <c r="HO33" i="1"/>
  <c r="HO34" i="1"/>
  <c r="HO35" i="1"/>
  <c r="HO36" i="1"/>
  <c r="HO37" i="1"/>
  <c r="HO38" i="1"/>
  <c r="HO39" i="1"/>
  <c r="HO40" i="1"/>
  <c r="HO41" i="1"/>
  <c r="HO42" i="1"/>
  <c r="HO43" i="1"/>
  <c r="HO44" i="1"/>
  <c r="HO45" i="1"/>
  <c r="HO46" i="1"/>
  <c r="HO47" i="1"/>
  <c r="HO48" i="1"/>
  <c r="HO49" i="1"/>
  <c r="HO50" i="1"/>
  <c r="HO51" i="1"/>
  <c r="HO52" i="1"/>
  <c r="HP2" i="1"/>
  <c r="HP3" i="1"/>
  <c r="HP4" i="1"/>
  <c r="HP5" i="1"/>
  <c r="HP6" i="1"/>
  <c r="HP7" i="1"/>
  <c r="HP8" i="1"/>
  <c r="HP9" i="1"/>
  <c r="HP10" i="1"/>
  <c r="HP11" i="1"/>
  <c r="HP12" i="1"/>
  <c r="HP13" i="1"/>
  <c r="HP14" i="1"/>
  <c r="HP15" i="1"/>
  <c r="HP16" i="1"/>
  <c r="HP17" i="1"/>
  <c r="HP18" i="1"/>
  <c r="HP19" i="1"/>
  <c r="HP20" i="1"/>
  <c r="HP21" i="1"/>
  <c r="HP22" i="1"/>
  <c r="HP23" i="1"/>
  <c r="HP24" i="1"/>
  <c r="HP25" i="1"/>
  <c r="HP26" i="1"/>
  <c r="HP27" i="1"/>
  <c r="HP28" i="1"/>
  <c r="HP29" i="1"/>
  <c r="HP30" i="1"/>
  <c r="HP31" i="1"/>
  <c r="HP32" i="1"/>
  <c r="HP33" i="1"/>
  <c r="HP34" i="1"/>
  <c r="HP35" i="1"/>
  <c r="HP36" i="1"/>
  <c r="HP37" i="1"/>
  <c r="HP38" i="1"/>
  <c r="HP39" i="1"/>
  <c r="HP40" i="1"/>
  <c r="HP41" i="1"/>
  <c r="HP42" i="1"/>
  <c r="HP43" i="1"/>
  <c r="HP44" i="1"/>
  <c r="HP45" i="1"/>
  <c r="HP46" i="1"/>
  <c r="HP47" i="1"/>
  <c r="HP48" i="1"/>
  <c r="HP49" i="1"/>
  <c r="HP50" i="1"/>
  <c r="HP51" i="1"/>
  <c r="HP52" i="1"/>
  <c r="HQ2" i="1"/>
  <c r="HQ3" i="1"/>
  <c r="HQ4" i="1"/>
  <c r="HQ5" i="1"/>
  <c r="HQ6" i="1"/>
  <c r="HQ7" i="1"/>
  <c r="HQ8" i="1"/>
  <c r="HQ9" i="1"/>
  <c r="HQ10" i="1"/>
  <c r="HQ11" i="1"/>
  <c r="HQ12" i="1"/>
  <c r="HQ13" i="1"/>
  <c r="HQ14" i="1"/>
  <c r="HQ15" i="1"/>
  <c r="HQ16" i="1"/>
  <c r="HQ17" i="1"/>
  <c r="HQ18" i="1"/>
  <c r="HQ19" i="1"/>
  <c r="HQ20" i="1"/>
  <c r="HQ21" i="1"/>
  <c r="HQ22" i="1"/>
  <c r="HQ23" i="1"/>
  <c r="HQ24" i="1"/>
  <c r="HQ25" i="1"/>
  <c r="HQ26" i="1"/>
  <c r="HQ27" i="1"/>
  <c r="HQ28" i="1"/>
  <c r="HQ29" i="1"/>
  <c r="HQ30" i="1"/>
  <c r="HQ31" i="1"/>
  <c r="HQ32" i="1"/>
  <c r="HQ33" i="1"/>
  <c r="HQ34" i="1"/>
  <c r="HQ35" i="1"/>
  <c r="HQ36" i="1"/>
  <c r="HQ37" i="1"/>
  <c r="HQ38" i="1"/>
  <c r="HQ39" i="1"/>
  <c r="HQ40" i="1"/>
  <c r="HQ41" i="1"/>
  <c r="HQ42" i="1"/>
  <c r="HQ43" i="1"/>
  <c r="HQ44" i="1"/>
  <c r="HQ45" i="1"/>
  <c r="HQ46" i="1"/>
  <c r="HQ47" i="1"/>
  <c r="HQ48" i="1"/>
  <c r="HQ49" i="1"/>
  <c r="HQ50" i="1"/>
  <c r="HQ51" i="1"/>
  <c r="HQ52" i="1"/>
  <c r="HI2" i="1"/>
  <c r="HI3" i="1"/>
  <c r="HI4" i="1"/>
  <c r="HI5" i="1"/>
  <c r="HI6" i="1"/>
  <c r="HI7" i="1"/>
  <c r="HI8" i="1"/>
  <c r="HI9" i="1"/>
  <c r="HI10" i="1"/>
  <c r="HI11" i="1"/>
  <c r="HI12" i="1"/>
  <c r="HI13" i="1"/>
  <c r="HI14" i="1"/>
  <c r="HI15" i="1"/>
  <c r="HI16" i="1"/>
  <c r="HI17" i="1"/>
  <c r="HI18" i="1"/>
  <c r="HI19" i="1"/>
  <c r="HI20" i="1"/>
  <c r="HI21" i="1"/>
  <c r="HI22" i="1"/>
  <c r="HI23" i="1"/>
  <c r="HI24" i="1"/>
  <c r="HI25" i="1"/>
  <c r="HI26" i="1"/>
  <c r="HI27" i="1"/>
  <c r="HI28" i="1"/>
  <c r="HI29" i="1"/>
  <c r="HI30" i="1"/>
  <c r="HI31" i="1"/>
  <c r="HI32" i="1"/>
  <c r="HI33" i="1"/>
  <c r="HI34" i="1"/>
  <c r="HI35" i="1"/>
  <c r="HI36" i="1"/>
  <c r="HI37" i="1"/>
  <c r="HI38" i="1"/>
  <c r="HI39" i="1"/>
  <c r="HI40" i="1"/>
  <c r="HI41" i="1"/>
  <c r="HI42" i="1"/>
  <c r="HI43" i="1"/>
  <c r="HI44" i="1"/>
  <c r="HI45" i="1"/>
  <c r="HI46" i="1"/>
  <c r="HI47" i="1"/>
  <c r="HI48" i="1"/>
  <c r="HI49" i="1"/>
  <c r="HI50" i="1"/>
  <c r="HI51" i="1"/>
  <c r="HI52" i="1"/>
  <c r="DS3" i="1"/>
  <c r="DT3" i="1"/>
  <c r="DU3" i="1"/>
  <c r="DV3" i="1"/>
  <c r="DX3" i="1"/>
  <c r="AI3" i="1"/>
  <c r="EA3" i="1"/>
  <c r="EB3" i="1"/>
  <c r="DS4" i="1"/>
  <c r="DT4" i="1"/>
  <c r="DU4" i="1"/>
  <c r="DV4" i="1"/>
  <c r="DX4" i="1"/>
  <c r="AI4" i="1"/>
  <c r="EA4" i="1"/>
  <c r="EB4" i="1"/>
  <c r="DS5" i="1"/>
  <c r="DT5" i="1"/>
  <c r="DU5" i="1"/>
  <c r="DV5" i="1"/>
  <c r="DX5" i="1"/>
  <c r="AI5" i="1"/>
  <c r="EA5" i="1"/>
  <c r="EB5" i="1"/>
  <c r="DS6" i="1"/>
  <c r="DT6" i="1"/>
  <c r="DU6" i="1"/>
  <c r="DV6" i="1"/>
  <c r="DX6" i="1"/>
  <c r="AI6" i="1"/>
  <c r="EA6" i="1"/>
  <c r="EB6" i="1"/>
  <c r="DS7" i="1"/>
  <c r="DT7" i="1"/>
  <c r="DU7" i="1"/>
  <c r="DV7" i="1"/>
  <c r="DX7" i="1"/>
  <c r="AI7" i="1"/>
  <c r="EA7" i="1"/>
  <c r="EB7" i="1"/>
  <c r="DS8" i="1"/>
  <c r="DT8" i="1"/>
  <c r="DU8" i="1"/>
  <c r="DV8" i="1"/>
  <c r="DX8" i="1"/>
  <c r="AI8" i="1"/>
  <c r="EA8" i="1"/>
  <c r="EB8" i="1"/>
  <c r="DS9" i="1"/>
  <c r="DT9" i="1"/>
  <c r="DU9" i="1"/>
  <c r="DV9" i="1"/>
  <c r="DX9" i="1"/>
  <c r="AI9" i="1"/>
  <c r="EA9" i="1"/>
  <c r="EB9" i="1"/>
  <c r="DS10" i="1"/>
  <c r="DT10" i="1"/>
  <c r="DU10" i="1"/>
  <c r="DV10" i="1"/>
  <c r="DX10" i="1"/>
  <c r="AI10" i="1"/>
  <c r="EA10" i="1"/>
  <c r="EB10" i="1"/>
  <c r="DS11" i="1"/>
  <c r="DT11" i="1"/>
  <c r="DU11" i="1"/>
  <c r="DV11" i="1"/>
  <c r="DX11" i="1"/>
  <c r="AI11" i="1"/>
  <c r="EA11" i="1"/>
  <c r="EB11" i="1"/>
  <c r="DS12" i="1"/>
  <c r="DT12" i="1"/>
  <c r="DU12" i="1"/>
  <c r="DV12" i="1"/>
  <c r="DX12" i="1"/>
  <c r="AI12" i="1"/>
  <c r="EA12" i="1"/>
  <c r="EB12" i="1"/>
  <c r="DS13" i="1"/>
  <c r="DT13" i="1"/>
  <c r="DU13" i="1"/>
  <c r="DV13" i="1"/>
  <c r="DX13" i="1"/>
  <c r="AI13" i="1"/>
  <c r="EA13" i="1"/>
  <c r="EB13" i="1"/>
  <c r="DS14" i="1"/>
  <c r="DT14" i="1"/>
  <c r="DU14" i="1"/>
  <c r="DV14" i="1"/>
  <c r="DX14" i="1"/>
  <c r="AI14" i="1"/>
  <c r="EA14" i="1"/>
  <c r="EB14" i="1"/>
  <c r="DS15" i="1"/>
  <c r="DT15" i="1"/>
  <c r="DU15" i="1"/>
  <c r="DV15" i="1"/>
  <c r="DX15" i="1"/>
  <c r="AI15" i="1"/>
  <c r="EA15" i="1"/>
  <c r="EB15" i="1"/>
  <c r="DS16" i="1"/>
  <c r="DT16" i="1"/>
  <c r="DU16" i="1"/>
  <c r="DV16" i="1"/>
  <c r="DX16" i="1"/>
  <c r="AI16" i="1"/>
  <c r="EA16" i="1"/>
  <c r="EB16" i="1"/>
  <c r="DS17" i="1"/>
  <c r="DT17" i="1"/>
  <c r="DU17" i="1"/>
  <c r="DV17" i="1"/>
  <c r="DX17" i="1"/>
  <c r="AI17" i="1"/>
  <c r="EA17" i="1"/>
  <c r="EB17" i="1"/>
  <c r="DS18" i="1"/>
  <c r="DT18" i="1"/>
  <c r="DU18" i="1"/>
  <c r="DV18" i="1"/>
  <c r="DX18" i="1"/>
  <c r="AI18" i="1"/>
  <c r="EA18" i="1"/>
  <c r="EB18" i="1"/>
  <c r="DS19" i="1"/>
  <c r="DT19" i="1"/>
  <c r="DU19" i="1"/>
  <c r="DV19" i="1"/>
  <c r="DX19" i="1"/>
  <c r="AI19" i="1"/>
  <c r="EA19" i="1"/>
  <c r="EB19" i="1"/>
  <c r="DS20" i="1"/>
  <c r="DT20" i="1"/>
  <c r="DU20" i="1"/>
  <c r="DV20" i="1"/>
  <c r="DX20" i="1"/>
  <c r="AI20" i="1"/>
  <c r="EA20" i="1"/>
  <c r="EB20" i="1"/>
  <c r="DS21" i="1"/>
  <c r="DT21" i="1"/>
  <c r="DU21" i="1"/>
  <c r="DV21" i="1"/>
  <c r="DX21" i="1"/>
  <c r="AI21" i="1"/>
  <c r="EA21" i="1"/>
  <c r="EB21" i="1"/>
  <c r="DS22" i="1"/>
  <c r="DT22" i="1"/>
  <c r="DU22" i="1"/>
  <c r="DV22" i="1"/>
  <c r="DX22" i="1"/>
  <c r="AI22" i="1"/>
  <c r="EA22" i="1"/>
  <c r="EB22" i="1"/>
  <c r="DS23" i="1"/>
  <c r="DT23" i="1"/>
  <c r="DU23" i="1"/>
  <c r="DV23" i="1"/>
  <c r="DX23" i="1"/>
  <c r="AI23" i="1"/>
  <c r="EA23" i="1"/>
  <c r="EB23" i="1"/>
  <c r="DS24" i="1"/>
  <c r="DT24" i="1"/>
  <c r="DU24" i="1"/>
  <c r="DV24" i="1"/>
  <c r="DX24" i="1"/>
  <c r="AI24" i="1"/>
  <c r="EA24" i="1"/>
  <c r="EB24" i="1"/>
  <c r="DS25" i="1"/>
  <c r="DT25" i="1"/>
  <c r="DU25" i="1"/>
  <c r="DV25" i="1"/>
  <c r="DX25" i="1"/>
  <c r="AI25" i="1"/>
  <c r="EA25" i="1"/>
  <c r="EB25" i="1"/>
  <c r="DS26" i="1"/>
  <c r="DT26" i="1"/>
  <c r="DU26" i="1"/>
  <c r="DV26" i="1"/>
  <c r="DX26" i="1"/>
  <c r="AI26" i="1"/>
  <c r="EA26" i="1"/>
  <c r="EB26" i="1"/>
  <c r="DS27" i="1"/>
  <c r="DT27" i="1"/>
  <c r="DU27" i="1"/>
  <c r="DV27" i="1"/>
  <c r="DX27" i="1"/>
  <c r="AI27" i="1"/>
  <c r="EA27" i="1"/>
  <c r="EB27" i="1"/>
  <c r="DS28" i="1"/>
  <c r="DT28" i="1"/>
  <c r="DU28" i="1"/>
  <c r="DV28" i="1"/>
  <c r="DX28" i="1"/>
  <c r="AI28" i="1"/>
  <c r="EA28" i="1"/>
  <c r="EB28" i="1"/>
  <c r="DS29" i="1"/>
  <c r="DT29" i="1"/>
  <c r="DU29" i="1"/>
  <c r="DV29" i="1"/>
  <c r="DX29" i="1"/>
  <c r="AI29" i="1"/>
  <c r="EA29" i="1"/>
  <c r="EB29" i="1"/>
  <c r="DS30" i="1"/>
  <c r="DT30" i="1"/>
  <c r="DU30" i="1"/>
  <c r="DV30" i="1"/>
  <c r="DX30" i="1"/>
  <c r="AI30" i="1"/>
  <c r="EA30" i="1"/>
  <c r="EB30" i="1"/>
  <c r="DS31" i="1"/>
  <c r="DT31" i="1"/>
  <c r="DU31" i="1"/>
  <c r="DV31" i="1"/>
  <c r="DX31" i="1"/>
  <c r="AI31" i="1"/>
  <c r="EA31" i="1"/>
  <c r="EB31" i="1"/>
  <c r="DS32" i="1"/>
  <c r="DT32" i="1"/>
  <c r="DU32" i="1"/>
  <c r="DV32" i="1"/>
  <c r="DX32" i="1"/>
  <c r="AI32" i="1"/>
  <c r="EA32" i="1"/>
  <c r="EB32" i="1"/>
  <c r="DS33" i="1"/>
  <c r="DT33" i="1"/>
  <c r="DU33" i="1"/>
  <c r="DV33" i="1"/>
  <c r="DX33" i="1"/>
  <c r="AI33" i="1"/>
  <c r="EA33" i="1"/>
  <c r="EB33" i="1"/>
  <c r="DS34" i="1"/>
  <c r="DT34" i="1"/>
  <c r="DU34" i="1"/>
  <c r="DV34" i="1"/>
  <c r="DX34" i="1"/>
  <c r="AI34" i="1"/>
  <c r="EA34" i="1"/>
  <c r="EB34" i="1"/>
  <c r="DS35" i="1"/>
  <c r="DT35" i="1"/>
  <c r="DU35" i="1"/>
  <c r="DV35" i="1"/>
  <c r="DX35" i="1"/>
  <c r="AI35" i="1"/>
  <c r="EA35" i="1"/>
  <c r="EB35" i="1"/>
  <c r="DS36" i="1"/>
  <c r="DT36" i="1"/>
  <c r="DU36" i="1"/>
  <c r="DV36" i="1"/>
  <c r="DX36" i="1"/>
  <c r="AI36" i="1"/>
  <c r="EA36" i="1"/>
  <c r="EB36" i="1"/>
  <c r="DS37" i="1"/>
  <c r="DT37" i="1"/>
  <c r="DU37" i="1"/>
  <c r="DV37" i="1"/>
  <c r="DX37" i="1"/>
  <c r="AI37" i="1"/>
  <c r="EA37" i="1"/>
  <c r="EB37" i="1"/>
  <c r="DS38" i="1"/>
  <c r="DT38" i="1"/>
  <c r="DU38" i="1"/>
  <c r="DV38" i="1"/>
  <c r="DX38" i="1"/>
  <c r="AI38" i="1"/>
  <c r="EA38" i="1"/>
  <c r="EB38" i="1"/>
  <c r="DS39" i="1"/>
  <c r="DT39" i="1"/>
  <c r="DU39" i="1"/>
  <c r="DV39" i="1"/>
  <c r="DX39" i="1"/>
  <c r="AI39" i="1"/>
  <c r="EA39" i="1"/>
  <c r="EB39" i="1"/>
  <c r="DS40" i="1"/>
  <c r="DT40" i="1"/>
  <c r="DU40" i="1"/>
  <c r="DV40" i="1"/>
  <c r="DX40" i="1"/>
  <c r="AI40" i="1"/>
  <c r="EA40" i="1"/>
  <c r="EB40" i="1"/>
  <c r="DS41" i="1"/>
  <c r="DT41" i="1"/>
  <c r="DU41" i="1"/>
  <c r="DV41" i="1"/>
  <c r="DX41" i="1"/>
  <c r="AI41" i="1"/>
  <c r="EA41" i="1"/>
  <c r="EB41" i="1"/>
  <c r="DS42" i="1"/>
  <c r="DT42" i="1"/>
  <c r="DU42" i="1"/>
  <c r="DV42" i="1"/>
  <c r="DX42" i="1"/>
  <c r="AI42" i="1"/>
  <c r="EA42" i="1"/>
  <c r="EB42" i="1"/>
  <c r="DS43" i="1"/>
  <c r="DT43" i="1"/>
  <c r="DU43" i="1"/>
  <c r="DV43" i="1"/>
  <c r="DX43" i="1"/>
  <c r="AI43" i="1"/>
  <c r="EA43" i="1"/>
  <c r="EB43" i="1"/>
  <c r="DS44" i="1"/>
  <c r="DT44" i="1"/>
  <c r="DU44" i="1"/>
  <c r="DV44" i="1"/>
  <c r="DX44" i="1"/>
  <c r="AI44" i="1"/>
  <c r="EA44" i="1"/>
  <c r="EB44" i="1"/>
  <c r="DS45" i="1"/>
  <c r="DT45" i="1"/>
  <c r="DU45" i="1"/>
  <c r="DV45" i="1"/>
  <c r="DX45" i="1"/>
  <c r="AI45" i="1"/>
  <c r="EA45" i="1"/>
  <c r="EB45" i="1"/>
  <c r="DS46" i="1"/>
  <c r="DT46" i="1"/>
  <c r="DU46" i="1"/>
  <c r="DV46" i="1"/>
  <c r="DX46" i="1"/>
  <c r="AI46" i="1"/>
  <c r="EA46" i="1"/>
  <c r="EB46" i="1"/>
  <c r="DS47" i="1"/>
  <c r="DT47" i="1"/>
  <c r="DU47" i="1"/>
  <c r="DV47" i="1"/>
  <c r="DX47" i="1"/>
  <c r="AI47" i="1"/>
  <c r="EA47" i="1"/>
  <c r="EB47" i="1"/>
  <c r="DS48" i="1"/>
  <c r="DT48" i="1"/>
  <c r="DU48" i="1"/>
  <c r="DV48" i="1"/>
  <c r="DX48" i="1"/>
  <c r="AI48" i="1"/>
  <c r="EA48" i="1"/>
  <c r="EB48" i="1"/>
  <c r="DS49" i="1"/>
  <c r="DT49" i="1"/>
  <c r="DU49" i="1"/>
  <c r="DV49" i="1"/>
  <c r="DX49" i="1"/>
  <c r="AI49" i="1"/>
  <c r="EA49" i="1"/>
  <c r="EB49" i="1"/>
  <c r="DS50" i="1"/>
  <c r="DT50" i="1"/>
  <c r="DU50" i="1"/>
  <c r="DV50" i="1"/>
  <c r="DX50" i="1"/>
  <c r="AI50" i="1"/>
  <c r="EA50" i="1"/>
  <c r="EB50" i="1"/>
  <c r="DS51" i="1"/>
  <c r="DT51" i="1"/>
  <c r="DU51" i="1"/>
  <c r="DV51" i="1"/>
  <c r="DX51" i="1"/>
  <c r="AI51" i="1"/>
  <c r="EA51" i="1"/>
  <c r="EB51" i="1"/>
  <c r="DS52" i="1"/>
  <c r="DT52" i="1"/>
  <c r="DU52" i="1"/>
  <c r="DV52" i="1"/>
  <c r="DX52" i="1"/>
  <c r="AI52" i="1"/>
  <c r="EA52" i="1"/>
  <c r="EB52" i="1"/>
  <c r="DZ2" i="1"/>
  <c r="DZ3" i="1"/>
  <c r="DZ4" i="1"/>
  <c r="DZ5" i="1"/>
  <c r="DZ6" i="1"/>
  <c r="DZ7" i="1"/>
  <c r="DZ8" i="1"/>
  <c r="DZ9" i="1"/>
  <c r="DZ10" i="1"/>
  <c r="DZ11" i="1"/>
  <c r="DZ12" i="1"/>
  <c r="DZ13" i="1"/>
  <c r="DZ14" i="1"/>
  <c r="DZ15" i="1"/>
  <c r="DZ16" i="1"/>
  <c r="DZ17" i="1"/>
  <c r="DZ18" i="1"/>
  <c r="DZ19" i="1"/>
  <c r="DZ20" i="1"/>
  <c r="DZ21" i="1"/>
  <c r="DZ22" i="1"/>
  <c r="DZ23" i="1"/>
  <c r="DZ24" i="1"/>
  <c r="DZ25" i="1"/>
  <c r="DZ26" i="1"/>
  <c r="DZ27" i="1"/>
  <c r="DZ28" i="1"/>
  <c r="DZ29" i="1"/>
  <c r="DZ30" i="1"/>
  <c r="DZ31" i="1"/>
  <c r="DZ32" i="1"/>
  <c r="DZ33" i="1"/>
  <c r="DZ34" i="1"/>
  <c r="DZ35" i="1"/>
  <c r="DZ36" i="1"/>
  <c r="DZ37" i="1"/>
  <c r="DZ38" i="1"/>
  <c r="DZ39" i="1"/>
  <c r="DZ40" i="1"/>
  <c r="DZ41" i="1"/>
  <c r="DZ42" i="1"/>
  <c r="DZ43" i="1"/>
  <c r="DZ44" i="1"/>
  <c r="DZ45" i="1"/>
  <c r="DZ46" i="1"/>
  <c r="DZ47" i="1"/>
  <c r="DZ48" i="1"/>
  <c r="DZ49" i="1"/>
  <c r="DZ50" i="1"/>
  <c r="DZ51" i="1"/>
  <c r="DZ52" i="1"/>
  <c r="DM2" i="1"/>
  <c r="DM3" i="1"/>
  <c r="DM4" i="1"/>
  <c r="DM5" i="1"/>
  <c r="DM6" i="1"/>
  <c r="DM7" i="1"/>
  <c r="DM8" i="1"/>
  <c r="DM9" i="1"/>
  <c r="DM10" i="1"/>
  <c r="DM11" i="1"/>
  <c r="DM12" i="1"/>
  <c r="DM13" i="1"/>
  <c r="DM14" i="1"/>
  <c r="DM15" i="1"/>
  <c r="DM16" i="1"/>
  <c r="DM17" i="1"/>
  <c r="DM18" i="1"/>
  <c r="DM19" i="1"/>
  <c r="DM20" i="1"/>
  <c r="DM21" i="1"/>
  <c r="DM22" i="1"/>
  <c r="DM23" i="1"/>
  <c r="DM24" i="1"/>
  <c r="DM25" i="1"/>
  <c r="DM26" i="1"/>
  <c r="DM27" i="1"/>
  <c r="DM28" i="1"/>
  <c r="DM29" i="1"/>
  <c r="DM30" i="1"/>
  <c r="DM31" i="1"/>
  <c r="DM32" i="1"/>
  <c r="DM33" i="1"/>
  <c r="DM34" i="1"/>
  <c r="DM35" i="1"/>
  <c r="DM36" i="1"/>
  <c r="DM37" i="1"/>
  <c r="DM38" i="1"/>
  <c r="DM39" i="1"/>
  <c r="DM40" i="1"/>
  <c r="DM41" i="1"/>
  <c r="DM42" i="1"/>
  <c r="DM43" i="1"/>
  <c r="DM44" i="1"/>
  <c r="DM45" i="1"/>
  <c r="DM46" i="1"/>
  <c r="DM47" i="1"/>
  <c r="DM48" i="1"/>
  <c r="DM49" i="1"/>
  <c r="DM50" i="1"/>
  <c r="DM51" i="1"/>
  <c r="DM52" i="1"/>
  <c r="BM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H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C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AX2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2" i="12"/>
  <c r="B3" i="12"/>
  <c r="B4" i="12"/>
  <c r="B6" i="12"/>
  <c r="B5" i="12"/>
  <c r="B7" i="12"/>
  <c r="B8" i="12"/>
  <c r="B9" i="12"/>
  <c r="B10" i="12"/>
  <c r="B11" i="12"/>
  <c r="B12" i="12"/>
  <c r="B13" i="12"/>
  <c r="B15" i="12"/>
  <c r="B14" i="12"/>
  <c r="B16" i="12"/>
  <c r="B17" i="12"/>
  <c r="B18" i="12"/>
  <c r="B19" i="12"/>
  <c r="I60" i="13"/>
  <c r="H60" i="13"/>
  <c r="G60" i="13"/>
  <c r="I59" i="13"/>
  <c r="H59" i="13"/>
  <c r="G59" i="13"/>
  <c r="I58" i="13"/>
  <c r="H58" i="13"/>
  <c r="G58" i="13"/>
  <c r="I57" i="13"/>
  <c r="H57" i="13"/>
  <c r="G57" i="13"/>
  <c r="I56" i="13"/>
  <c r="H56" i="13"/>
  <c r="G56" i="13"/>
  <c r="F56" i="13"/>
  <c r="I55" i="13"/>
  <c r="H55" i="13"/>
  <c r="G55" i="13"/>
  <c r="F55" i="13"/>
  <c r="I54" i="13"/>
  <c r="H54" i="13"/>
  <c r="G54" i="13"/>
  <c r="F54" i="13"/>
  <c r="I53" i="13"/>
  <c r="H53" i="13"/>
  <c r="G53" i="13"/>
  <c r="F53" i="13"/>
  <c r="I52" i="13"/>
  <c r="H52" i="13"/>
  <c r="G52" i="13"/>
  <c r="F52" i="13"/>
  <c r="I51" i="13"/>
  <c r="H51" i="13"/>
  <c r="G51" i="13"/>
  <c r="F51" i="13"/>
  <c r="I50" i="13"/>
  <c r="H50" i="13"/>
  <c r="G50" i="13"/>
  <c r="F50" i="13"/>
  <c r="I49" i="13"/>
  <c r="H49" i="13"/>
  <c r="G49" i="13"/>
  <c r="F49" i="13"/>
  <c r="I48" i="13"/>
  <c r="H48" i="13"/>
  <c r="G48" i="13"/>
  <c r="F48" i="13"/>
  <c r="I47" i="13"/>
  <c r="H47" i="13"/>
  <c r="G47" i="13"/>
  <c r="F47" i="13"/>
  <c r="I46" i="13"/>
  <c r="H46" i="13"/>
  <c r="G46" i="13"/>
  <c r="F46" i="13"/>
  <c r="I45" i="13"/>
  <c r="H45" i="13"/>
  <c r="G45" i="13"/>
  <c r="F45" i="13"/>
  <c r="I44" i="13"/>
  <c r="H44" i="13"/>
  <c r="G44" i="13"/>
  <c r="F44" i="13"/>
  <c r="I43" i="13"/>
  <c r="H43" i="13"/>
  <c r="G43" i="13"/>
  <c r="F43" i="13"/>
  <c r="I42" i="13"/>
  <c r="H42" i="13"/>
  <c r="G42" i="13"/>
  <c r="F42" i="13"/>
  <c r="I41" i="13"/>
  <c r="H41" i="13"/>
  <c r="G41" i="13"/>
  <c r="F41" i="13"/>
  <c r="I40" i="13"/>
  <c r="H40" i="13"/>
  <c r="G40" i="13"/>
  <c r="F40" i="13"/>
  <c r="I39" i="13"/>
  <c r="H39" i="13"/>
  <c r="G39" i="13"/>
  <c r="F39" i="13"/>
  <c r="I38" i="13"/>
  <c r="H38" i="13"/>
  <c r="G38" i="13"/>
  <c r="F38" i="13"/>
  <c r="I37" i="13"/>
  <c r="H37" i="13"/>
  <c r="G37" i="13"/>
  <c r="F37" i="13"/>
  <c r="I36" i="13"/>
  <c r="H36" i="13"/>
  <c r="G36" i="13"/>
  <c r="F36" i="13"/>
  <c r="I35" i="13"/>
  <c r="H35" i="13"/>
  <c r="G35" i="13"/>
  <c r="F35" i="13"/>
  <c r="I34" i="13"/>
  <c r="H34" i="13"/>
  <c r="G34" i="13"/>
  <c r="F34" i="13"/>
  <c r="I33" i="13"/>
  <c r="H33" i="13"/>
  <c r="G33" i="13"/>
  <c r="F33" i="13"/>
  <c r="I32" i="13"/>
  <c r="H32" i="13"/>
  <c r="G32" i="13"/>
  <c r="F32" i="13"/>
  <c r="I31" i="13"/>
  <c r="H31" i="13"/>
  <c r="G31" i="13"/>
  <c r="F31" i="13"/>
  <c r="I30" i="13"/>
  <c r="H30" i="13"/>
  <c r="G30" i="13"/>
  <c r="F30" i="13"/>
  <c r="I29" i="13"/>
  <c r="H29" i="13"/>
  <c r="G29" i="13"/>
  <c r="F29" i="13"/>
  <c r="I28" i="13"/>
  <c r="H28" i="13"/>
  <c r="G28" i="13"/>
  <c r="F28" i="13"/>
  <c r="I27" i="13"/>
  <c r="H27" i="13"/>
  <c r="G27" i="13"/>
  <c r="F27" i="13"/>
  <c r="I26" i="13"/>
  <c r="H26" i="13"/>
  <c r="G26" i="13"/>
  <c r="F26" i="13"/>
  <c r="I25" i="13"/>
  <c r="H25" i="13"/>
  <c r="G25" i="13"/>
  <c r="F25" i="13"/>
  <c r="I24" i="13"/>
  <c r="H24" i="13"/>
  <c r="G24" i="13"/>
  <c r="F24" i="13"/>
  <c r="I23" i="13"/>
  <c r="H23" i="13"/>
  <c r="G23" i="13"/>
  <c r="F23" i="13"/>
  <c r="I22" i="13"/>
  <c r="H22" i="13"/>
  <c r="G22" i="13"/>
  <c r="F22" i="13"/>
  <c r="I21" i="13"/>
  <c r="H21" i="13"/>
  <c r="G21" i="13"/>
  <c r="F21" i="13"/>
  <c r="I20" i="13"/>
  <c r="H20" i="13"/>
  <c r="G20" i="13"/>
  <c r="F20" i="13"/>
  <c r="I19" i="13"/>
  <c r="H19" i="13"/>
  <c r="G19" i="13"/>
  <c r="F19" i="13"/>
  <c r="I18" i="13"/>
  <c r="H18" i="13"/>
  <c r="G18" i="13"/>
  <c r="F18" i="13"/>
  <c r="I17" i="13"/>
  <c r="H17" i="13"/>
  <c r="G17" i="13"/>
  <c r="F17" i="13"/>
  <c r="I16" i="13"/>
  <c r="H16" i="13"/>
  <c r="G16" i="13"/>
  <c r="F16" i="13"/>
  <c r="I15" i="13"/>
  <c r="H15" i="13"/>
  <c r="G15" i="13"/>
  <c r="F15" i="13"/>
  <c r="I14" i="13"/>
  <c r="H14" i="13"/>
  <c r="G14" i="13"/>
  <c r="F14" i="13"/>
  <c r="I13" i="13"/>
  <c r="H13" i="13"/>
  <c r="G13" i="13"/>
  <c r="F13" i="13"/>
  <c r="I12" i="13"/>
  <c r="H12" i="13"/>
  <c r="G12" i="13"/>
  <c r="F12" i="13"/>
  <c r="I11" i="13"/>
  <c r="H11" i="13"/>
  <c r="G11" i="13"/>
  <c r="F11" i="13"/>
  <c r="I10" i="13"/>
  <c r="H10" i="13"/>
  <c r="G10" i="13"/>
  <c r="F10" i="13"/>
  <c r="I9" i="13"/>
  <c r="H9" i="13"/>
  <c r="G9" i="13"/>
  <c r="F9" i="13"/>
  <c r="I8" i="13"/>
  <c r="H8" i="13"/>
  <c r="G8" i="13"/>
  <c r="F8" i="13"/>
  <c r="I7" i="13"/>
  <c r="H7" i="13"/>
  <c r="G7" i="13"/>
  <c r="F7" i="13"/>
  <c r="I6" i="13"/>
  <c r="H6" i="13"/>
  <c r="G6" i="13"/>
  <c r="F6" i="13"/>
  <c r="I5" i="13"/>
  <c r="H5" i="13"/>
  <c r="G5" i="13"/>
  <c r="F5" i="13"/>
  <c r="I4" i="13"/>
  <c r="H4" i="13"/>
  <c r="G4" i="13"/>
  <c r="F4" i="13"/>
  <c r="I3" i="13"/>
  <c r="H3" i="13"/>
  <c r="G3" i="13"/>
  <c r="F3" i="13"/>
  <c r="I2" i="13"/>
  <c r="H2" i="13"/>
  <c r="G2" i="13"/>
  <c r="F2" i="13"/>
  <c r="N19" i="12"/>
  <c r="M19" i="12"/>
  <c r="L19" i="12"/>
  <c r="K19" i="12"/>
  <c r="J19" i="12"/>
  <c r="I19" i="12"/>
  <c r="N18" i="12"/>
  <c r="M18" i="12"/>
  <c r="L18" i="12"/>
  <c r="K18" i="12"/>
  <c r="J18" i="12"/>
  <c r="I18" i="12"/>
  <c r="N17" i="12"/>
  <c r="M17" i="12"/>
  <c r="L17" i="12"/>
  <c r="K17" i="12"/>
  <c r="J17" i="12"/>
  <c r="I17" i="12"/>
  <c r="N16" i="12"/>
  <c r="M16" i="12"/>
  <c r="L16" i="12"/>
  <c r="K16" i="12"/>
  <c r="J16" i="12"/>
  <c r="I16" i="12"/>
  <c r="N14" i="12"/>
  <c r="M14" i="12"/>
  <c r="L14" i="12"/>
  <c r="K14" i="12"/>
  <c r="J14" i="12"/>
  <c r="I14" i="12"/>
  <c r="N15" i="12"/>
  <c r="M15" i="12"/>
  <c r="L15" i="12"/>
  <c r="K15" i="12"/>
  <c r="J15" i="12"/>
  <c r="I15" i="12"/>
  <c r="N13" i="12"/>
  <c r="M13" i="12"/>
  <c r="L13" i="12"/>
  <c r="K13" i="12"/>
  <c r="J13" i="12"/>
  <c r="I13" i="12"/>
  <c r="N12" i="12"/>
  <c r="M12" i="12"/>
  <c r="L12" i="12"/>
  <c r="K12" i="12"/>
  <c r="J12" i="12"/>
  <c r="I12" i="12"/>
  <c r="N11" i="12"/>
  <c r="M11" i="12"/>
  <c r="L11" i="12"/>
  <c r="K11" i="12"/>
  <c r="J11" i="12"/>
  <c r="I11" i="12"/>
  <c r="N10" i="12"/>
  <c r="M10" i="12"/>
  <c r="L10" i="12"/>
  <c r="K10" i="12"/>
  <c r="J10" i="12"/>
  <c r="I10" i="12"/>
  <c r="N9" i="12"/>
  <c r="M9" i="12"/>
  <c r="L9" i="12"/>
  <c r="K9" i="12"/>
  <c r="J9" i="12"/>
  <c r="I9" i="12"/>
  <c r="N8" i="12"/>
  <c r="M8" i="12"/>
  <c r="L8" i="12"/>
  <c r="K8" i="12"/>
  <c r="J8" i="12"/>
  <c r="I8" i="12"/>
  <c r="N7" i="12"/>
  <c r="M7" i="12"/>
  <c r="L7" i="12"/>
  <c r="K7" i="12"/>
  <c r="J7" i="12"/>
  <c r="I7" i="12"/>
  <c r="N5" i="12"/>
  <c r="M5" i="12"/>
  <c r="L5" i="12"/>
  <c r="K5" i="12"/>
  <c r="J5" i="12"/>
  <c r="I5" i="12"/>
  <c r="N6" i="12"/>
  <c r="M6" i="12"/>
  <c r="L6" i="12"/>
  <c r="K6" i="12"/>
  <c r="J6" i="12"/>
  <c r="I6" i="12"/>
  <c r="N4" i="12"/>
  <c r="M4" i="12"/>
  <c r="L4" i="12"/>
  <c r="K4" i="12"/>
  <c r="J4" i="12"/>
  <c r="I4" i="12"/>
  <c r="N3" i="12"/>
  <c r="M3" i="12"/>
  <c r="L3" i="12"/>
  <c r="K3" i="12"/>
  <c r="J3" i="12"/>
  <c r="I3" i="12"/>
  <c r="N2" i="12"/>
  <c r="M2" i="12"/>
  <c r="L2" i="12"/>
  <c r="K2" i="12"/>
  <c r="J2" i="12"/>
  <c r="I2" i="12"/>
  <c r="N2" i="1"/>
  <c r="AB2" i="1"/>
  <c r="N3" i="1"/>
  <c r="AB3" i="1"/>
  <c r="N4" i="1"/>
  <c r="AB4" i="1"/>
  <c r="N5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F25" i="4"/>
  <c r="C25" i="4"/>
  <c r="F23" i="4"/>
  <c r="C23" i="4"/>
  <c r="G23" i="4"/>
  <c r="C6" i="8"/>
  <c r="H6" i="8"/>
  <c r="E6" i="8"/>
  <c r="I6" i="8"/>
  <c r="J6" i="8"/>
  <c r="C7" i="8"/>
  <c r="H7" i="8"/>
  <c r="E7" i="8"/>
  <c r="I7" i="8"/>
  <c r="J7" i="8"/>
  <c r="C8" i="8"/>
  <c r="H8" i="8"/>
  <c r="E8" i="8"/>
  <c r="I8" i="8"/>
  <c r="J8" i="8"/>
  <c r="C9" i="8"/>
  <c r="H9" i="8"/>
  <c r="E9" i="8"/>
  <c r="I9" i="8"/>
  <c r="J9" i="8"/>
  <c r="H10" i="8"/>
  <c r="E10" i="8"/>
  <c r="C10" i="8"/>
  <c r="I10" i="8"/>
  <c r="J10" i="8"/>
  <c r="H11" i="8"/>
  <c r="E11" i="8"/>
  <c r="C11" i="8"/>
  <c r="I11" i="8"/>
  <c r="J11" i="8"/>
  <c r="H12" i="8"/>
  <c r="E12" i="8"/>
  <c r="C12" i="8"/>
  <c r="I12" i="8"/>
  <c r="J12" i="8"/>
  <c r="H13" i="8"/>
  <c r="E13" i="8"/>
  <c r="C13" i="8"/>
  <c r="I13" i="8"/>
  <c r="J13" i="8"/>
  <c r="H14" i="8"/>
  <c r="E14" i="8"/>
  <c r="C14" i="8"/>
  <c r="I14" i="8"/>
  <c r="J14" i="8"/>
  <c r="H15" i="8"/>
  <c r="E15" i="8"/>
  <c r="C15" i="8"/>
  <c r="I15" i="8"/>
  <c r="J15" i="8"/>
  <c r="H16" i="8"/>
  <c r="E16" i="8"/>
  <c r="C16" i="8"/>
  <c r="I16" i="8"/>
  <c r="J16" i="8"/>
  <c r="H17" i="8"/>
  <c r="E17" i="8"/>
  <c r="C17" i="8"/>
  <c r="I17" i="8"/>
  <c r="J17" i="8"/>
  <c r="H18" i="8"/>
  <c r="E18" i="8"/>
  <c r="C18" i="8"/>
  <c r="I18" i="8"/>
  <c r="J18" i="8"/>
  <c r="H19" i="8"/>
  <c r="E19" i="8"/>
  <c r="C19" i="8"/>
  <c r="I19" i="8"/>
  <c r="J19" i="8"/>
  <c r="H20" i="8"/>
  <c r="E20" i="8"/>
  <c r="C20" i="8"/>
  <c r="I20" i="8"/>
  <c r="J20" i="8"/>
  <c r="H21" i="8"/>
  <c r="E21" i="8"/>
  <c r="C21" i="8"/>
  <c r="I21" i="8"/>
  <c r="J21" i="8"/>
  <c r="H22" i="8"/>
  <c r="E22" i="8"/>
  <c r="C22" i="8"/>
  <c r="I22" i="8"/>
  <c r="J22" i="8"/>
  <c r="H23" i="8"/>
  <c r="E23" i="8"/>
  <c r="C23" i="8"/>
  <c r="I23" i="8"/>
  <c r="J23" i="8"/>
  <c r="H24" i="8"/>
  <c r="E24" i="8"/>
  <c r="C24" i="8"/>
  <c r="I24" i="8"/>
  <c r="J24" i="8"/>
  <c r="H25" i="8"/>
  <c r="E25" i="8"/>
  <c r="C25" i="8"/>
  <c r="I25" i="8"/>
  <c r="J25" i="8"/>
  <c r="H26" i="8"/>
  <c r="E26" i="8"/>
  <c r="C26" i="8"/>
  <c r="I26" i="8"/>
  <c r="J26" i="8"/>
  <c r="H27" i="8"/>
  <c r="E27" i="8"/>
  <c r="C27" i="8"/>
  <c r="I27" i="8"/>
  <c r="J27" i="8"/>
  <c r="H28" i="8"/>
  <c r="E28" i="8"/>
  <c r="C28" i="8"/>
  <c r="I28" i="8"/>
  <c r="J28" i="8"/>
  <c r="H29" i="8"/>
  <c r="E29" i="8"/>
  <c r="C29" i="8"/>
  <c r="I29" i="8"/>
  <c r="J29" i="8"/>
  <c r="H30" i="8"/>
  <c r="E30" i="8"/>
  <c r="C30" i="8"/>
  <c r="I30" i="8"/>
  <c r="J30" i="8"/>
  <c r="H31" i="8"/>
  <c r="E31" i="8"/>
  <c r="C31" i="8"/>
  <c r="I31" i="8"/>
  <c r="J31" i="8"/>
  <c r="H32" i="8"/>
  <c r="E32" i="8"/>
  <c r="C32" i="8"/>
  <c r="I32" i="8"/>
  <c r="J32" i="8"/>
  <c r="H33" i="8"/>
  <c r="E33" i="8"/>
  <c r="C33" i="8"/>
  <c r="I33" i="8"/>
  <c r="J33" i="8"/>
  <c r="H34" i="8"/>
  <c r="E34" i="8"/>
  <c r="C34" i="8"/>
  <c r="I34" i="8"/>
  <c r="J34" i="8"/>
  <c r="H35" i="8"/>
  <c r="E35" i="8"/>
  <c r="C35" i="8"/>
  <c r="I35" i="8"/>
  <c r="J35" i="8"/>
  <c r="H36" i="8"/>
  <c r="E36" i="8"/>
  <c r="C36" i="8"/>
  <c r="I36" i="8"/>
  <c r="J36" i="8"/>
  <c r="H37" i="8"/>
  <c r="E37" i="8"/>
  <c r="C37" i="8"/>
  <c r="I37" i="8"/>
  <c r="J37" i="8"/>
  <c r="H38" i="8"/>
  <c r="E38" i="8"/>
  <c r="C38" i="8"/>
  <c r="I38" i="8"/>
  <c r="J38" i="8"/>
  <c r="H39" i="8"/>
  <c r="E39" i="8"/>
  <c r="C39" i="8"/>
  <c r="I39" i="8"/>
  <c r="J39" i="8"/>
  <c r="H40" i="8"/>
  <c r="E40" i="8"/>
  <c r="C40" i="8"/>
  <c r="I40" i="8"/>
  <c r="J40" i="8"/>
  <c r="H41" i="8"/>
  <c r="E41" i="8"/>
  <c r="C41" i="8"/>
  <c r="I41" i="8"/>
  <c r="J41" i="8"/>
  <c r="H42" i="8"/>
  <c r="E42" i="8"/>
  <c r="C42" i="8"/>
  <c r="I42" i="8"/>
  <c r="J42" i="8"/>
  <c r="H43" i="8"/>
  <c r="E43" i="8"/>
  <c r="C43" i="8"/>
  <c r="I43" i="8"/>
  <c r="J43" i="8"/>
  <c r="H44" i="8"/>
  <c r="E44" i="8"/>
  <c r="C44" i="8"/>
  <c r="I44" i="8"/>
  <c r="J44" i="8"/>
  <c r="H45" i="8"/>
  <c r="E45" i="8"/>
  <c r="C45" i="8"/>
  <c r="I45" i="8"/>
  <c r="J45" i="8"/>
  <c r="H46" i="8"/>
  <c r="E46" i="8"/>
  <c r="C46" i="8"/>
  <c r="I46" i="8"/>
  <c r="J46" i="8"/>
  <c r="H47" i="8"/>
  <c r="E47" i="8"/>
  <c r="C47" i="8"/>
  <c r="I47" i="8"/>
  <c r="J47" i="8"/>
  <c r="H48" i="8"/>
  <c r="E48" i="8"/>
  <c r="C48" i="8"/>
  <c r="I48" i="8"/>
  <c r="J48" i="8"/>
  <c r="H49" i="8"/>
  <c r="E49" i="8"/>
  <c r="C49" i="8"/>
  <c r="I49" i="8"/>
  <c r="J49" i="8"/>
  <c r="H50" i="8"/>
  <c r="E50" i="8"/>
  <c r="C50" i="8"/>
  <c r="I50" i="8"/>
  <c r="J50" i="8"/>
  <c r="H51" i="8"/>
  <c r="E51" i="8"/>
  <c r="C51" i="8"/>
  <c r="I51" i="8"/>
  <c r="J51" i="8"/>
  <c r="H52" i="8"/>
  <c r="E52" i="8"/>
  <c r="C52" i="8"/>
  <c r="I52" i="8"/>
  <c r="J52" i="8"/>
  <c r="H53" i="8"/>
  <c r="E53" i="8"/>
  <c r="C53" i="8"/>
  <c r="I53" i="8"/>
  <c r="J53" i="8"/>
  <c r="H54" i="8"/>
  <c r="E54" i="8"/>
  <c r="C54" i="8"/>
  <c r="I54" i="8"/>
  <c r="J54" i="8"/>
  <c r="H55" i="8"/>
  <c r="E55" i="8"/>
  <c r="C55" i="8"/>
  <c r="I55" i="8"/>
  <c r="J55" i="8"/>
  <c r="H56" i="8"/>
  <c r="E56" i="8"/>
  <c r="C56" i="8"/>
  <c r="I56" i="8"/>
  <c r="J56" i="8"/>
  <c r="H57" i="8"/>
  <c r="E57" i="8"/>
  <c r="C57" i="8"/>
  <c r="I57" i="8"/>
  <c r="J57" i="8"/>
  <c r="H58" i="8"/>
  <c r="E58" i="8"/>
  <c r="C58" i="8"/>
  <c r="I58" i="8"/>
  <c r="J58" i="8"/>
  <c r="H59" i="8"/>
  <c r="E59" i="8"/>
  <c r="C59" i="8"/>
  <c r="I59" i="8"/>
  <c r="J59" i="8"/>
  <c r="H60" i="8"/>
  <c r="E60" i="8"/>
  <c r="C60" i="8"/>
  <c r="I60" i="8"/>
  <c r="J60" i="8"/>
  <c r="H61" i="8"/>
  <c r="E61" i="8"/>
  <c r="C61" i="8"/>
  <c r="I61" i="8"/>
  <c r="J61" i="8"/>
  <c r="H62" i="8"/>
  <c r="E62" i="8"/>
  <c r="C62" i="8"/>
  <c r="I62" i="8"/>
  <c r="J62" i="8"/>
  <c r="H63" i="8"/>
  <c r="E63" i="8"/>
  <c r="C63" i="8"/>
  <c r="I63" i="8"/>
  <c r="J63" i="8"/>
  <c r="H64" i="8"/>
  <c r="E64" i="8"/>
  <c r="C64" i="8"/>
  <c r="I64" i="8"/>
  <c r="J64" i="8"/>
  <c r="H65" i="8"/>
  <c r="E65" i="8"/>
  <c r="C65" i="8"/>
  <c r="I65" i="8"/>
  <c r="J65" i="8"/>
  <c r="H66" i="8"/>
  <c r="E66" i="8"/>
  <c r="C66" i="8"/>
  <c r="I66" i="8"/>
  <c r="J66" i="8"/>
  <c r="H67" i="8"/>
  <c r="E67" i="8"/>
  <c r="C67" i="8"/>
  <c r="I67" i="8"/>
  <c r="J67" i="8"/>
  <c r="H68" i="8"/>
  <c r="E68" i="8"/>
  <c r="C68" i="8"/>
  <c r="I68" i="8"/>
  <c r="J68" i="8"/>
  <c r="H69" i="8"/>
  <c r="E69" i="8"/>
  <c r="C69" i="8"/>
  <c r="I69" i="8"/>
  <c r="J69" i="8"/>
  <c r="H70" i="8"/>
  <c r="E70" i="8"/>
  <c r="C70" i="8"/>
  <c r="I70" i="8"/>
  <c r="J70" i="8"/>
  <c r="H71" i="8"/>
  <c r="E71" i="8"/>
  <c r="C71" i="8"/>
  <c r="I71" i="8"/>
  <c r="J71" i="8"/>
  <c r="H72" i="8"/>
  <c r="E72" i="8"/>
  <c r="C72" i="8"/>
  <c r="I72" i="8"/>
  <c r="J72" i="8"/>
  <c r="H73" i="8"/>
  <c r="E73" i="8"/>
  <c r="C73" i="8"/>
  <c r="I73" i="8"/>
  <c r="J73" i="8"/>
  <c r="H74" i="8"/>
  <c r="E74" i="8"/>
  <c r="C74" i="8"/>
  <c r="I74" i="8"/>
  <c r="J74" i="8"/>
  <c r="H75" i="8"/>
  <c r="E75" i="8"/>
  <c r="C75" i="8"/>
  <c r="I75" i="8"/>
  <c r="J75" i="8"/>
  <c r="H76" i="8"/>
  <c r="E76" i="8"/>
  <c r="C76" i="8"/>
  <c r="I76" i="8"/>
  <c r="J76" i="8"/>
  <c r="H77" i="8"/>
  <c r="E77" i="8"/>
  <c r="C77" i="8"/>
  <c r="I77" i="8"/>
  <c r="J77" i="8"/>
  <c r="H78" i="8"/>
  <c r="E78" i="8"/>
  <c r="C78" i="8"/>
  <c r="I78" i="8"/>
  <c r="J78" i="8"/>
  <c r="H79" i="8"/>
  <c r="E79" i="8"/>
  <c r="C79" i="8"/>
  <c r="I79" i="8"/>
  <c r="J79" i="8"/>
  <c r="H80" i="8"/>
  <c r="E80" i="8"/>
  <c r="C80" i="8"/>
  <c r="I80" i="8"/>
  <c r="J80" i="8"/>
  <c r="H81" i="8"/>
  <c r="E81" i="8"/>
  <c r="C81" i="8"/>
  <c r="I81" i="8"/>
  <c r="J81" i="8"/>
  <c r="H82" i="8"/>
  <c r="E82" i="8"/>
  <c r="C82" i="8"/>
  <c r="I82" i="8"/>
  <c r="J82" i="8"/>
  <c r="H83" i="8"/>
  <c r="E83" i="8"/>
  <c r="C83" i="8"/>
  <c r="I83" i="8"/>
  <c r="J83" i="8"/>
  <c r="H84" i="8"/>
  <c r="E84" i="8"/>
  <c r="C84" i="8"/>
  <c r="I84" i="8"/>
  <c r="J84" i="8"/>
  <c r="H85" i="8"/>
  <c r="E85" i="8"/>
  <c r="C85" i="8"/>
  <c r="I85" i="8"/>
  <c r="J85" i="8"/>
  <c r="H86" i="8"/>
  <c r="E86" i="8"/>
  <c r="C86" i="8"/>
  <c r="I86" i="8"/>
  <c r="J86" i="8"/>
  <c r="H87" i="8"/>
  <c r="E87" i="8"/>
  <c r="C87" i="8"/>
  <c r="I87" i="8"/>
  <c r="J87" i="8"/>
  <c r="H88" i="8"/>
  <c r="E88" i="8"/>
  <c r="C88" i="8"/>
  <c r="I88" i="8"/>
  <c r="J88" i="8"/>
  <c r="H89" i="8"/>
  <c r="E89" i="8"/>
  <c r="C89" i="8"/>
  <c r="I89" i="8"/>
  <c r="J89" i="8"/>
  <c r="H90" i="8"/>
  <c r="E90" i="8"/>
  <c r="C90" i="8"/>
  <c r="I90" i="8"/>
  <c r="J90" i="8"/>
  <c r="H91" i="8"/>
  <c r="E91" i="8"/>
  <c r="C91" i="8"/>
  <c r="I91" i="8"/>
  <c r="J91" i="8"/>
  <c r="H92" i="8"/>
  <c r="E92" i="8"/>
  <c r="C92" i="8"/>
  <c r="I92" i="8"/>
  <c r="J92" i="8"/>
  <c r="H93" i="8"/>
  <c r="E93" i="8"/>
  <c r="C93" i="8"/>
  <c r="I93" i="8"/>
  <c r="J93" i="8"/>
  <c r="H94" i="8"/>
  <c r="E94" i="8"/>
  <c r="C94" i="8"/>
  <c r="I94" i="8"/>
  <c r="J94" i="8"/>
  <c r="H95" i="8"/>
  <c r="E95" i="8"/>
  <c r="C95" i="8"/>
  <c r="I95" i="8"/>
  <c r="J95" i="8"/>
  <c r="H96" i="8"/>
  <c r="E96" i="8"/>
  <c r="C96" i="8"/>
  <c r="I96" i="8"/>
  <c r="J96" i="8"/>
  <c r="H97" i="8"/>
  <c r="E97" i="8"/>
  <c r="C97" i="8"/>
  <c r="I97" i="8"/>
  <c r="J97" i="8"/>
  <c r="H98" i="8"/>
  <c r="E98" i="8"/>
  <c r="C98" i="8"/>
  <c r="I98" i="8"/>
  <c r="J98" i="8"/>
  <c r="H99" i="8"/>
  <c r="E99" i="8"/>
  <c r="C99" i="8"/>
  <c r="I99" i="8"/>
  <c r="J99" i="8"/>
  <c r="H100" i="8"/>
  <c r="E100" i="8"/>
  <c r="C100" i="8"/>
  <c r="I100" i="8"/>
  <c r="J100" i="8"/>
  <c r="H101" i="8"/>
  <c r="E101" i="8"/>
  <c r="C101" i="8"/>
  <c r="I101" i="8"/>
  <c r="J101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A101" i="4"/>
  <c r="K101" i="4"/>
  <c r="C4" i="9"/>
  <c r="C8" i="9"/>
  <c r="F5" i="4"/>
  <c r="F4" i="4"/>
  <c r="F8" i="4"/>
  <c r="F9" i="4"/>
  <c r="C5" i="4"/>
  <c r="G5" i="4"/>
  <c r="C4" i="4"/>
  <c r="G4" i="4"/>
  <c r="C8" i="4"/>
  <c r="G8" i="4"/>
  <c r="C9" i="4"/>
  <c r="G9" i="4"/>
  <c r="G52" i="4"/>
  <c r="C13" i="4"/>
  <c r="F13" i="4"/>
  <c r="G13" i="4"/>
  <c r="H13" i="4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DO2" i="1"/>
  <c r="DO3" i="1"/>
  <c r="DO4" i="1"/>
  <c r="DO5" i="1"/>
  <c r="DO6" i="1"/>
  <c r="DO7" i="1"/>
  <c r="DO8" i="1"/>
  <c r="DO9" i="1"/>
  <c r="DO10" i="1"/>
  <c r="DO11" i="1"/>
  <c r="DO12" i="1"/>
  <c r="DO13" i="1"/>
  <c r="DO14" i="1"/>
  <c r="DO15" i="1"/>
  <c r="DO16" i="1"/>
  <c r="DO17" i="1"/>
  <c r="DO18" i="1"/>
  <c r="DO19" i="1"/>
  <c r="DO20" i="1"/>
  <c r="DO21" i="1"/>
  <c r="DO22" i="1"/>
  <c r="DO23" i="1"/>
  <c r="DO24" i="1"/>
  <c r="DO25" i="1"/>
  <c r="DO26" i="1"/>
  <c r="DO27" i="1"/>
  <c r="DO28" i="1"/>
  <c r="DO29" i="1"/>
  <c r="DO30" i="1"/>
  <c r="DO31" i="1"/>
  <c r="DO32" i="1"/>
  <c r="DO33" i="1"/>
  <c r="DO34" i="1"/>
  <c r="DO35" i="1"/>
  <c r="DO36" i="1"/>
  <c r="DO37" i="1"/>
  <c r="DO38" i="1"/>
  <c r="DO39" i="1"/>
  <c r="DO40" i="1"/>
  <c r="DO41" i="1"/>
  <c r="DO42" i="1"/>
  <c r="DO43" i="1"/>
  <c r="DO44" i="1"/>
  <c r="DO45" i="1"/>
  <c r="DO46" i="1"/>
  <c r="DO47" i="1"/>
  <c r="DO48" i="1"/>
  <c r="DO49" i="1"/>
  <c r="DO50" i="1"/>
  <c r="DO51" i="1"/>
  <c r="DO52" i="1"/>
  <c r="DL2" i="1"/>
  <c r="DL3" i="1"/>
  <c r="DL4" i="1"/>
  <c r="DL5" i="1"/>
  <c r="DL6" i="1"/>
  <c r="DL7" i="1"/>
  <c r="DL8" i="1"/>
  <c r="DL9" i="1"/>
  <c r="DL10" i="1"/>
  <c r="DL11" i="1"/>
  <c r="DL12" i="1"/>
  <c r="DL13" i="1"/>
  <c r="DL14" i="1"/>
  <c r="DL15" i="1"/>
  <c r="DL16" i="1"/>
  <c r="DL17" i="1"/>
  <c r="DL18" i="1"/>
  <c r="DL19" i="1"/>
  <c r="DL20" i="1"/>
  <c r="DL21" i="1"/>
  <c r="DL22" i="1"/>
  <c r="DL23" i="1"/>
  <c r="DL24" i="1"/>
  <c r="DL25" i="1"/>
  <c r="DL26" i="1"/>
  <c r="DL27" i="1"/>
  <c r="DL28" i="1"/>
  <c r="DL29" i="1"/>
  <c r="DL30" i="1"/>
  <c r="DL31" i="1"/>
  <c r="DL32" i="1"/>
  <c r="DL33" i="1"/>
  <c r="DL34" i="1"/>
  <c r="DL35" i="1"/>
  <c r="DL36" i="1"/>
  <c r="DL37" i="1"/>
  <c r="DL38" i="1"/>
  <c r="DL39" i="1"/>
  <c r="DL40" i="1"/>
  <c r="DL41" i="1"/>
  <c r="DL42" i="1"/>
  <c r="DL43" i="1"/>
  <c r="DL44" i="1"/>
  <c r="DL45" i="1"/>
  <c r="DL46" i="1"/>
  <c r="DL47" i="1"/>
  <c r="DL48" i="1"/>
  <c r="DL49" i="1"/>
  <c r="DL50" i="1"/>
  <c r="DL51" i="1"/>
  <c r="DL52" i="1"/>
  <c r="DK2" i="1"/>
  <c r="DK3" i="1"/>
  <c r="DK4" i="1"/>
  <c r="DK5" i="1"/>
  <c r="DK6" i="1"/>
  <c r="DK7" i="1"/>
  <c r="DK8" i="1"/>
  <c r="DK9" i="1"/>
  <c r="DK10" i="1"/>
  <c r="DK11" i="1"/>
  <c r="DK12" i="1"/>
  <c r="DK13" i="1"/>
  <c r="DK14" i="1"/>
  <c r="DK15" i="1"/>
  <c r="DK16" i="1"/>
  <c r="DK17" i="1"/>
  <c r="DK18" i="1"/>
  <c r="DK19" i="1"/>
  <c r="DK20" i="1"/>
  <c r="DK21" i="1"/>
  <c r="DK22" i="1"/>
  <c r="DK23" i="1"/>
  <c r="DK24" i="1"/>
  <c r="DK25" i="1"/>
  <c r="DK26" i="1"/>
  <c r="DK27" i="1"/>
  <c r="DK28" i="1"/>
  <c r="DK29" i="1"/>
  <c r="DK30" i="1"/>
  <c r="DK31" i="1"/>
  <c r="DK32" i="1"/>
  <c r="DK33" i="1"/>
  <c r="DK34" i="1"/>
  <c r="DK35" i="1"/>
  <c r="DK36" i="1"/>
  <c r="DK37" i="1"/>
  <c r="DK38" i="1"/>
  <c r="DK39" i="1"/>
  <c r="DK40" i="1"/>
  <c r="DK41" i="1"/>
  <c r="DK42" i="1"/>
  <c r="DK43" i="1"/>
  <c r="DK44" i="1"/>
  <c r="DK45" i="1"/>
  <c r="DK46" i="1"/>
  <c r="DK47" i="1"/>
  <c r="DK48" i="1"/>
  <c r="DK49" i="1"/>
  <c r="DK50" i="1"/>
  <c r="DK51" i="1"/>
  <c r="DK52" i="1"/>
  <c r="F52" i="4"/>
  <c r="C52" i="4"/>
  <c r="DA2" i="1"/>
  <c r="DA3" i="1"/>
  <c r="DA4" i="1"/>
  <c r="DA5" i="1"/>
  <c r="DA6" i="1"/>
  <c r="DA7" i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CX2" i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W2" i="1"/>
  <c r="G26" i="4"/>
  <c r="F26" i="4"/>
  <c r="C26" i="4"/>
  <c r="CM2" i="1"/>
  <c r="CM3" i="1"/>
  <c r="CM4" i="1"/>
  <c r="CM5" i="1"/>
  <c r="CM6" i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J2" i="1"/>
  <c r="CJ3" i="1"/>
  <c r="CJ4" i="1"/>
  <c r="CJ5" i="1"/>
  <c r="CJ6" i="1"/>
  <c r="CJ7" i="1"/>
  <c r="CJ8" i="1"/>
  <c r="CJ9" i="1"/>
  <c r="CJ10" i="1"/>
  <c r="CJ11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I2" i="1"/>
  <c r="CI3" i="1"/>
  <c r="CI4" i="1"/>
  <c r="CI5" i="1"/>
  <c r="CI6" i="1"/>
  <c r="CI7" i="1"/>
  <c r="CI8" i="1"/>
  <c r="CI9" i="1"/>
  <c r="CI10" i="1"/>
  <c r="CI11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G62" i="4"/>
  <c r="F62" i="4"/>
  <c r="C62" i="4"/>
  <c r="F11" i="4"/>
  <c r="F20" i="4"/>
  <c r="C11" i="4"/>
  <c r="C20" i="4"/>
  <c r="G11" i="4"/>
  <c r="G20" i="4"/>
  <c r="BY2" i="1"/>
  <c r="BY3" i="1"/>
  <c r="BY4" i="1"/>
  <c r="BY5" i="1"/>
  <c r="BY6" i="1"/>
  <c r="BY7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2" i="1"/>
  <c r="BY23" i="1"/>
  <c r="BY24" i="1"/>
  <c r="BY25" i="1"/>
  <c r="BY26" i="1"/>
  <c r="BY27" i="1"/>
  <c r="BY28" i="1"/>
  <c r="BY29" i="1"/>
  <c r="BY30" i="1"/>
  <c r="BY31" i="1"/>
  <c r="BY32" i="1"/>
  <c r="BY33" i="1"/>
  <c r="BY34" i="1"/>
  <c r="BY35" i="1"/>
  <c r="BY36" i="1"/>
  <c r="BY37" i="1"/>
  <c r="BY38" i="1"/>
  <c r="BY39" i="1"/>
  <c r="BY40" i="1"/>
  <c r="BY41" i="1"/>
  <c r="BY42" i="1"/>
  <c r="BY43" i="1"/>
  <c r="BY44" i="1"/>
  <c r="BY45" i="1"/>
  <c r="BY46" i="1"/>
  <c r="BY47" i="1"/>
  <c r="BY48" i="1"/>
  <c r="BY49" i="1"/>
  <c r="BY50" i="1"/>
  <c r="BY51" i="1"/>
  <c r="BY52" i="1"/>
  <c r="BV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32" i="1"/>
  <c r="BV33" i="1"/>
  <c r="BV34" i="1"/>
  <c r="BV35" i="1"/>
  <c r="BV36" i="1"/>
  <c r="BV37" i="1"/>
  <c r="BV38" i="1"/>
  <c r="BV39" i="1"/>
  <c r="BV40" i="1"/>
  <c r="BV41" i="1"/>
  <c r="BV42" i="1"/>
  <c r="BV43" i="1"/>
  <c r="BV44" i="1"/>
  <c r="BV45" i="1"/>
  <c r="BV46" i="1"/>
  <c r="BV47" i="1"/>
  <c r="BV48" i="1"/>
  <c r="BV49" i="1"/>
  <c r="BV50" i="1"/>
  <c r="BV51" i="1"/>
  <c r="BV52" i="1"/>
  <c r="BU2" i="1"/>
  <c r="BU3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K10" i="3"/>
  <c r="U10" i="3"/>
  <c r="V10" i="3"/>
  <c r="HH53" i="1"/>
  <c r="C74" i="4"/>
  <c r="F74" i="4"/>
  <c r="G74" i="4"/>
  <c r="H74" i="4"/>
  <c r="C73" i="4"/>
  <c r="F73" i="4"/>
  <c r="G73" i="4"/>
  <c r="H73" i="4"/>
  <c r="C72" i="4"/>
  <c r="F72" i="4"/>
  <c r="G72" i="4"/>
  <c r="H72" i="4"/>
  <c r="C71" i="4"/>
  <c r="F71" i="4"/>
  <c r="G71" i="4"/>
  <c r="H71" i="4"/>
  <c r="C70" i="4"/>
  <c r="F70" i="4"/>
  <c r="G70" i="4"/>
  <c r="H70" i="4"/>
  <c r="C69" i="4"/>
  <c r="F69" i="4"/>
  <c r="G69" i="4"/>
  <c r="H69" i="4"/>
  <c r="C68" i="4"/>
  <c r="F68" i="4"/>
  <c r="G68" i="4"/>
  <c r="H68" i="4"/>
  <c r="C67" i="4"/>
  <c r="F67" i="4"/>
  <c r="G67" i="4"/>
  <c r="H67" i="4"/>
  <c r="C66" i="4"/>
  <c r="F66" i="4"/>
  <c r="G66" i="4"/>
  <c r="H66" i="4"/>
  <c r="C65" i="4"/>
  <c r="F65" i="4"/>
  <c r="G65" i="4"/>
  <c r="H65" i="4"/>
  <c r="C64" i="4"/>
  <c r="F64" i="4"/>
  <c r="G64" i="4"/>
  <c r="H64" i="4"/>
  <c r="C63" i="4"/>
  <c r="F63" i="4"/>
  <c r="G63" i="4"/>
  <c r="H63" i="4"/>
  <c r="H62" i="4"/>
  <c r="C61" i="4"/>
  <c r="F61" i="4"/>
  <c r="G61" i="4"/>
  <c r="H61" i="4"/>
  <c r="C60" i="4"/>
  <c r="F60" i="4"/>
  <c r="G60" i="4"/>
  <c r="H60" i="4"/>
  <c r="C59" i="4"/>
  <c r="F59" i="4"/>
  <c r="G59" i="4"/>
  <c r="H59" i="4"/>
  <c r="C58" i="4"/>
  <c r="F58" i="4"/>
  <c r="G58" i="4"/>
  <c r="H58" i="4"/>
  <c r="C57" i="4"/>
  <c r="F57" i="4"/>
  <c r="G57" i="4"/>
  <c r="H57" i="4"/>
  <c r="C56" i="4"/>
  <c r="F56" i="4"/>
  <c r="G56" i="4"/>
  <c r="H56" i="4"/>
  <c r="C55" i="4"/>
  <c r="F55" i="4"/>
  <c r="G55" i="4"/>
  <c r="H55" i="4"/>
  <c r="C54" i="4"/>
  <c r="F54" i="4"/>
  <c r="G54" i="4"/>
  <c r="H54" i="4"/>
  <c r="C53" i="4"/>
  <c r="F53" i="4"/>
  <c r="G53" i="4"/>
  <c r="H53" i="4"/>
  <c r="H52" i="4"/>
  <c r="C51" i="4"/>
  <c r="F51" i="4"/>
  <c r="G51" i="4"/>
  <c r="H51" i="4"/>
  <c r="C50" i="4"/>
  <c r="F50" i="4"/>
  <c r="G50" i="4"/>
  <c r="H50" i="4"/>
  <c r="C49" i="4"/>
  <c r="F49" i="4"/>
  <c r="G49" i="4"/>
  <c r="H49" i="4"/>
  <c r="C48" i="4"/>
  <c r="F48" i="4"/>
  <c r="G48" i="4"/>
  <c r="H48" i="4"/>
  <c r="C47" i="4"/>
  <c r="F47" i="4"/>
  <c r="G47" i="4"/>
  <c r="H47" i="4"/>
  <c r="H46" i="4"/>
  <c r="C45" i="4"/>
  <c r="F45" i="4"/>
  <c r="G45" i="4"/>
  <c r="H45" i="4"/>
  <c r="C44" i="4"/>
  <c r="F44" i="4"/>
  <c r="G44" i="4"/>
  <c r="H44" i="4"/>
  <c r="C43" i="4"/>
  <c r="F43" i="4"/>
  <c r="G43" i="4"/>
  <c r="H43" i="4"/>
  <c r="C42" i="4"/>
  <c r="F42" i="4"/>
  <c r="G42" i="4"/>
  <c r="H42" i="4"/>
  <c r="H41" i="4"/>
  <c r="H40" i="4"/>
  <c r="C39" i="4"/>
  <c r="F39" i="4"/>
  <c r="G39" i="4"/>
  <c r="H39" i="4"/>
  <c r="C38" i="4"/>
  <c r="F38" i="4"/>
  <c r="G38" i="4"/>
  <c r="H38" i="4"/>
  <c r="C37" i="4"/>
  <c r="F37" i="4"/>
  <c r="G37" i="4"/>
  <c r="H37" i="4"/>
  <c r="H36" i="4"/>
  <c r="C35" i="4"/>
  <c r="F35" i="4"/>
  <c r="G35" i="4"/>
  <c r="H35" i="4"/>
  <c r="C34" i="4"/>
  <c r="F34" i="4"/>
  <c r="G34" i="4"/>
  <c r="H34" i="4"/>
  <c r="H33" i="4"/>
  <c r="C32" i="4"/>
  <c r="F32" i="4"/>
  <c r="G32" i="4"/>
  <c r="H32" i="4"/>
  <c r="C31" i="4"/>
  <c r="F31" i="4"/>
  <c r="G31" i="4"/>
  <c r="H31" i="4"/>
  <c r="H30" i="4"/>
  <c r="H29" i="4"/>
  <c r="C28" i="4"/>
  <c r="F28" i="4"/>
  <c r="G28" i="4"/>
  <c r="H28" i="4"/>
  <c r="C27" i="4"/>
  <c r="F27" i="4"/>
  <c r="G27" i="4"/>
  <c r="H27" i="4"/>
  <c r="H26" i="4"/>
  <c r="H25" i="4"/>
  <c r="C24" i="4"/>
  <c r="F24" i="4"/>
  <c r="G24" i="4"/>
  <c r="H24" i="4"/>
  <c r="H23" i="4"/>
  <c r="C22" i="4"/>
  <c r="F22" i="4"/>
  <c r="G22" i="4"/>
  <c r="H22" i="4"/>
  <c r="C21" i="4"/>
  <c r="F21" i="4"/>
  <c r="G21" i="4"/>
  <c r="H21" i="4"/>
  <c r="H20" i="4"/>
  <c r="C19" i="4"/>
  <c r="F19" i="4"/>
  <c r="G19" i="4"/>
  <c r="H19" i="4"/>
  <c r="C18" i="4"/>
  <c r="F18" i="4"/>
  <c r="G18" i="4"/>
  <c r="H18" i="4"/>
  <c r="C17" i="4"/>
  <c r="F17" i="4"/>
  <c r="G17" i="4"/>
  <c r="H17" i="4"/>
  <c r="H16" i="4"/>
  <c r="C15" i="4"/>
  <c r="F15" i="4"/>
  <c r="G15" i="4"/>
  <c r="H15" i="4"/>
  <c r="C14" i="4"/>
  <c r="F14" i="4"/>
  <c r="G14" i="4"/>
  <c r="H14" i="4"/>
  <c r="C12" i="4"/>
  <c r="F12" i="4"/>
  <c r="G12" i="4"/>
  <c r="H12" i="4"/>
  <c r="H11" i="4"/>
  <c r="C10" i="4"/>
  <c r="F10" i="4"/>
  <c r="G10" i="4"/>
  <c r="H10" i="4"/>
  <c r="H9" i="4"/>
  <c r="H8" i="4"/>
  <c r="C7" i="4"/>
  <c r="F7" i="4"/>
  <c r="G7" i="4"/>
  <c r="H7" i="4"/>
  <c r="C6" i="4"/>
  <c r="F6" i="4"/>
  <c r="G6" i="4"/>
  <c r="H6" i="4"/>
  <c r="H5" i="4"/>
  <c r="H4" i="4"/>
  <c r="W3" i="1"/>
  <c r="CY2" i="1"/>
  <c r="CY3" i="1"/>
  <c r="CY4" i="1"/>
  <c r="CY5" i="1"/>
  <c r="CY6" i="1"/>
  <c r="CY7" i="1"/>
  <c r="CY8" i="1"/>
  <c r="CY9" i="1"/>
  <c r="CY10" i="1"/>
  <c r="CY11" i="1"/>
  <c r="CY12" i="1"/>
  <c r="CY13" i="1"/>
  <c r="CY14" i="1"/>
  <c r="CY15" i="1"/>
  <c r="CY16" i="1"/>
  <c r="CY17" i="1"/>
  <c r="CY18" i="1"/>
  <c r="CY19" i="1"/>
  <c r="CY20" i="1"/>
  <c r="CY21" i="1"/>
  <c r="CY22" i="1"/>
  <c r="CY23" i="1"/>
  <c r="CY24" i="1"/>
  <c r="CY25" i="1"/>
  <c r="CY26" i="1"/>
  <c r="CY27" i="1"/>
  <c r="CY28" i="1"/>
  <c r="CY29" i="1"/>
  <c r="CY30" i="1"/>
  <c r="CY31" i="1"/>
  <c r="CY32" i="1"/>
  <c r="CY33" i="1"/>
  <c r="CY34" i="1"/>
  <c r="CY35" i="1"/>
  <c r="CY36" i="1"/>
  <c r="CY37" i="1"/>
  <c r="CY38" i="1"/>
  <c r="CY39" i="1"/>
  <c r="CY40" i="1"/>
  <c r="CY41" i="1"/>
  <c r="CY42" i="1"/>
  <c r="CY43" i="1"/>
  <c r="CY44" i="1"/>
  <c r="CY45" i="1"/>
  <c r="CY46" i="1"/>
  <c r="CY47" i="1"/>
  <c r="CY48" i="1"/>
  <c r="CY49" i="1"/>
  <c r="CY50" i="1"/>
  <c r="CY51" i="1"/>
  <c r="CY52" i="1"/>
  <c r="CK2" i="1"/>
  <c r="BW2" i="1"/>
  <c r="BW3" i="1"/>
  <c r="W5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W19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K52" i="1"/>
  <c r="CK51" i="1"/>
  <c r="CK50" i="1"/>
  <c r="CK49" i="1"/>
  <c r="CK48" i="1"/>
  <c r="CK47" i="1"/>
  <c r="CK46" i="1"/>
  <c r="CK45" i="1"/>
  <c r="CK44" i="1"/>
  <c r="CK43" i="1"/>
  <c r="CK42" i="1"/>
  <c r="CK41" i="1"/>
  <c r="CK40" i="1"/>
  <c r="CK39" i="1"/>
  <c r="CK38" i="1"/>
  <c r="CK37" i="1"/>
  <c r="CK36" i="1"/>
  <c r="CK35" i="1"/>
  <c r="CK34" i="1"/>
  <c r="CK33" i="1"/>
  <c r="CK32" i="1"/>
  <c r="CK31" i="1"/>
  <c r="CK30" i="1"/>
  <c r="CK29" i="1"/>
  <c r="CK28" i="1"/>
  <c r="CK27" i="1"/>
  <c r="CK26" i="1"/>
  <c r="CK25" i="1"/>
  <c r="CK24" i="1"/>
  <c r="CK23" i="1"/>
  <c r="CK22" i="1"/>
  <c r="CK21" i="1"/>
  <c r="CK20" i="1"/>
  <c r="CK19" i="1"/>
  <c r="CK18" i="1"/>
  <c r="CK17" i="1"/>
  <c r="CK16" i="1"/>
  <c r="CK15" i="1"/>
  <c r="CK14" i="1"/>
  <c r="CK13" i="1"/>
  <c r="CK12" i="1"/>
  <c r="CK11" i="1"/>
  <c r="CK10" i="1"/>
  <c r="CK9" i="1"/>
  <c r="CK8" i="1"/>
  <c r="CK7" i="1"/>
  <c r="CK6" i="1"/>
  <c r="CK5" i="1"/>
  <c r="CK4" i="1"/>
  <c r="CK3" i="1"/>
  <c r="AM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L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J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DN2" i="1"/>
  <c r="DP2" i="1"/>
  <c r="DN3" i="1"/>
  <c r="DP3" i="1"/>
  <c r="DP4" i="1"/>
  <c r="DP5" i="1"/>
  <c r="DP6" i="1"/>
  <c r="DP7" i="1"/>
  <c r="DP8" i="1"/>
  <c r="DP9" i="1"/>
  <c r="DP10" i="1"/>
  <c r="DP11" i="1"/>
  <c r="DP12" i="1"/>
  <c r="DP13" i="1"/>
  <c r="DP14" i="1"/>
  <c r="DP15" i="1"/>
  <c r="DP16" i="1"/>
  <c r="DP17" i="1"/>
  <c r="DP18" i="1"/>
  <c r="DP19" i="1"/>
  <c r="DP20" i="1"/>
  <c r="DP21" i="1"/>
  <c r="DP22" i="1"/>
  <c r="DP23" i="1"/>
  <c r="DP24" i="1"/>
  <c r="DP25" i="1"/>
  <c r="DP26" i="1"/>
  <c r="DP27" i="1"/>
  <c r="DP28" i="1"/>
  <c r="DP29" i="1"/>
  <c r="DP30" i="1"/>
  <c r="DP31" i="1"/>
  <c r="DP32" i="1"/>
  <c r="DP33" i="1"/>
  <c r="DP34" i="1"/>
  <c r="DP35" i="1"/>
  <c r="DP36" i="1"/>
  <c r="DP37" i="1"/>
  <c r="DP38" i="1"/>
  <c r="DP39" i="1"/>
  <c r="DP40" i="1"/>
  <c r="DP41" i="1"/>
  <c r="DP42" i="1"/>
  <c r="DP43" i="1"/>
  <c r="DP44" i="1"/>
  <c r="DP45" i="1"/>
  <c r="DP46" i="1"/>
  <c r="DP47" i="1"/>
  <c r="DP48" i="1"/>
  <c r="DP49" i="1"/>
  <c r="DP50" i="1"/>
  <c r="DP51" i="1"/>
  <c r="DP52" i="1"/>
  <c r="CZ2" i="1"/>
  <c r="DB2" i="1"/>
  <c r="CZ3" i="1"/>
  <c r="DB3" i="1"/>
  <c r="CZ4" i="1"/>
  <c r="DB4" i="1"/>
  <c r="DB5" i="1"/>
  <c r="DB6" i="1"/>
  <c r="DB7" i="1"/>
  <c r="DB8" i="1"/>
  <c r="DB9" i="1"/>
  <c r="DB10" i="1"/>
  <c r="DB11" i="1"/>
  <c r="DB12" i="1"/>
  <c r="DB13" i="1"/>
  <c r="DB14" i="1"/>
  <c r="DB15" i="1"/>
  <c r="DB16" i="1"/>
  <c r="DB17" i="1"/>
  <c r="DB18" i="1"/>
  <c r="DB19" i="1"/>
  <c r="DB20" i="1"/>
  <c r="DB21" i="1"/>
  <c r="DB22" i="1"/>
  <c r="DB23" i="1"/>
  <c r="DB24" i="1"/>
  <c r="DB25" i="1"/>
  <c r="DB26" i="1"/>
  <c r="DB27" i="1"/>
  <c r="DB28" i="1"/>
  <c r="DB29" i="1"/>
  <c r="DB30" i="1"/>
  <c r="DB31" i="1"/>
  <c r="DB32" i="1"/>
  <c r="DB33" i="1"/>
  <c r="DB34" i="1"/>
  <c r="DB35" i="1"/>
  <c r="DB36" i="1"/>
  <c r="DB37" i="1"/>
  <c r="DB38" i="1"/>
  <c r="DB39" i="1"/>
  <c r="DB40" i="1"/>
  <c r="DB41" i="1"/>
  <c r="DB42" i="1"/>
  <c r="DB43" i="1"/>
  <c r="DB44" i="1"/>
  <c r="DB45" i="1"/>
  <c r="DB46" i="1"/>
  <c r="DB47" i="1"/>
  <c r="DB48" i="1"/>
  <c r="DB49" i="1"/>
  <c r="DB50" i="1"/>
  <c r="DB51" i="1"/>
  <c r="DB52" i="1"/>
  <c r="CL2" i="1"/>
  <c r="CN2" i="1"/>
  <c r="CL3" i="1"/>
  <c r="CN3" i="1"/>
  <c r="CL4" i="1"/>
  <c r="CN4" i="1"/>
  <c r="CL5" i="1"/>
  <c r="CN5" i="1"/>
  <c r="CN6" i="1"/>
  <c r="CN7" i="1"/>
  <c r="CN8" i="1"/>
  <c r="CN9" i="1"/>
  <c r="CN10" i="1"/>
  <c r="CN11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BX2" i="1"/>
  <c r="BZ2" i="1"/>
  <c r="BX3" i="1"/>
  <c r="BZ3" i="1"/>
  <c r="BX4" i="1"/>
  <c r="BZ4" i="1"/>
  <c r="BX5" i="1"/>
  <c r="BZ5" i="1"/>
  <c r="BZ6" i="1"/>
  <c r="BZ7" i="1"/>
  <c r="BZ8" i="1"/>
  <c r="BZ9" i="1"/>
  <c r="BZ10" i="1"/>
  <c r="BZ11" i="1"/>
  <c r="BZ12" i="1"/>
  <c r="BZ13" i="1"/>
  <c r="BZ14" i="1"/>
  <c r="BZ15" i="1"/>
  <c r="BZ16" i="1"/>
  <c r="BZ17" i="1"/>
  <c r="BZ18" i="1"/>
  <c r="BX19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DN18" i="1"/>
  <c r="DN19" i="1"/>
  <c r="DN20" i="1"/>
  <c r="DN21" i="1"/>
  <c r="DN22" i="1"/>
  <c r="DN23" i="1"/>
  <c r="DN24" i="1"/>
  <c r="DN25" i="1"/>
  <c r="DN26" i="1"/>
  <c r="DN27" i="1"/>
  <c r="DN28" i="1"/>
  <c r="DN29" i="1"/>
  <c r="DN30" i="1"/>
  <c r="DN31" i="1"/>
  <c r="DN32" i="1"/>
  <c r="DN33" i="1"/>
  <c r="DN34" i="1"/>
  <c r="DN35" i="1"/>
  <c r="DN36" i="1"/>
  <c r="DN37" i="1"/>
  <c r="DN38" i="1"/>
  <c r="DN39" i="1"/>
  <c r="DN40" i="1"/>
  <c r="DN41" i="1"/>
  <c r="DN42" i="1"/>
  <c r="DN43" i="1"/>
  <c r="DN44" i="1"/>
  <c r="DN45" i="1"/>
  <c r="DN46" i="1"/>
  <c r="DN47" i="1"/>
  <c r="DN48" i="1"/>
  <c r="DN49" i="1"/>
  <c r="DN50" i="1"/>
  <c r="DN51" i="1"/>
  <c r="DN52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Z18" i="1"/>
  <c r="CZ19" i="1"/>
  <c r="CZ20" i="1"/>
  <c r="CZ21" i="1"/>
  <c r="CZ22" i="1"/>
  <c r="CZ23" i="1"/>
  <c r="CZ24" i="1"/>
  <c r="CZ25" i="1"/>
  <c r="CZ26" i="1"/>
  <c r="CZ27" i="1"/>
  <c r="CZ28" i="1"/>
  <c r="CZ29" i="1"/>
  <c r="CZ30" i="1"/>
  <c r="CZ31" i="1"/>
  <c r="CZ32" i="1"/>
  <c r="CZ33" i="1"/>
  <c r="CZ34" i="1"/>
  <c r="CZ35" i="1"/>
  <c r="CZ36" i="1"/>
  <c r="CZ37" i="1"/>
  <c r="CZ38" i="1"/>
  <c r="CZ39" i="1"/>
  <c r="CZ40" i="1"/>
  <c r="CZ41" i="1"/>
  <c r="CZ42" i="1"/>
  <c r="CZ43" i="1"/>
  <c r="CZ44" i="1"/>
  <c r="CZ45" i="1"/>
  <c r="CZ46" i="1"/>
  <c r="CZ47" i="1"/>
  <c r="CZ48" i="1"/>
  <c r="CZ49" i="1"/>
  <c r="CZ50" i="1"/>
  <c r="CZ51" i="1"/>
  <c r="CZ52" i="1"/>
  <c r="CL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20" i="1"/>
  <c r="BX21" i="1"/>
  <c r="BX22" i="1"/>
  <c r="BX23" i="1"/>
  <c r="BX24" i="1"/>
  <c r="BX25" i="1"/>
  <c r="BX26" i="1"/>
  <c r="BX27" i="1"/>
  <c r="BX28" i="1"/>
  <c r="BX29" i="1"/>
  <c r="BX30" i="1"/>
  <c r="BX31" i="1"/>
  <c r="BX32" i="1"/>
  <c r="BX33" i="1"/>
  <c r="BX34" i="1"/>
  <c r="BX35" i="1"/>
  <c r="BX36" i="1"/>
  <c r="BX37" i="1"/>
  <c r="BX38" i="1"/>
  <c r="BX39" i="1"/>
  <c r="BX40" i="1"/>
  <c r="BX41" i="1"/>
  <c r="BX42" i="1"/>
  <c r="BX43" i="1"/>
  <c r="BX44" i="1"/>
  <c r="BX45" i="1"/>
  <c r="BX46" i="1"/>
  <c r="BX47" i="1"/>
  <c r="BX48" i="1"/>
  <c r="BX49" i="1"/>
  <c r="BX50" i="1"/>
  <c r="BX51" i="1"/>
  <c r="BX52" i="1"/>
  <c r="AR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Q2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P2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X2" i="1"/>
  <c r="AO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F3" i="1"/>
  <c r="G3" i="1"/>
  <c r="H3" i="1"/>
  <c r="I3" i="1"/>
  <c r="F4" i="1"/>
  <c r="G4" i="1"/>
  <c r="H4" i="1"/>
  <c r="I4" i="1"/>
  <c r="F5" i="1"/>
  <c r="G5" i="1"/>
  <c r="H5" i="1"/>
  <c r="I5" i="1"/>
  <c r="F6" i="1"/>
  <c r="G6" i="1"/>
  <c r="H6" i="1"/>
  <c r="I6" i="1"/>
  <c r="F7" i="1"/>
  <c r="G7" i="1"/>
  <c r="H7" i="1"/>
  <c r="I7" i="1"/>
  <c r="F8" i="1"/>
  <c r="G8" i="1"/>
  <c r="H8" i="1"/>
  <c r="I8" i="1"/>
  <c r="F9" i="1"/>
  <c r="G9" i="1"/>
  <c r="H9" i="1"/>
  <c r="I9" i="1"/>
  <c r="F10" i="1"/>
  <c r="G10" i="1"/>
  <c r="H10" i="1"/>
  <c r="I10" i="1"/>
  <c r="F11" i="1"/>
  <c r="G11" i="1"/>
  <c r="H11" i="1"/>
  <c r="I11" i="1"/>
  <c r="F12" i="1"/>
  <c r="G12" i="1"/>
  <c r="H12" i="1"/>
  <c r="I12" i="1"/>
  <c r="F13" i="1"/>
  <c r="G13" i="1"/>
  <c r="H13" i="1"/>
  <c r="I13" i="1"/>
  <c r="F14" i="1"/>
  <c r="G14" i="1"/>
  <c r="H14" i="1"/>
  <c r="I14" i="1"/>
  <c r="F15" i="1"/>
  <c r="G15" i="1"/>
  <c r="H15" i="1"/>
  <c r="I15" i="1"/>
  <c r="F16" i="1"/>
  <c r="G16" i="1"/>
  <c r="H16" i="1"/>
  <c r="I16" i="1"/>
  <c r="F17" i="1"/>
  <c r="G17" i="1"/>
  <c r="H17" i="1"/>
  <c r="I17" i="1"/>
  <c r="F18" i="1"/>
  <c r="G18" i="1"/>
  <c r="H18" i="1"/>
  <c r="I18" i="1"/>
  <c r="F19" i="1"/>
  <c r="G19" i="1"/>
  <c r="H19" i="1"/>
  <c r="I19" i="1"/>
  <c r="F20" i="1"/>
  <c r="G20" i="1"/>
  <c r="H20" i="1"/>
  <c r="I20" i="1"/>
  <c r="F21" i="1"/>
  <c r="G21" i="1"/>
  <c r="H21" i="1"/>
  <c r="I21" i="1"/>
  <c r="F22" i="1"/>
  <c r="G22" i="1"/>
  <c r="H22" i="1"/>
  <c r="I22" i="1"/>
  <c r="F23" i="1"/>
  <c r="G23" i="1"/>
  <c r="H23" i="1"/>
  <c r="I23" i="1"/>
  <c r="F24" i="1"/>
  <c r="G24" i="1"/>
  <c r="H24" i="1"/>
  <c r="I24" i="1"/>
  <c r="F25" i="1"/>
  <c r="G25" i="1"/>
  <c r="H25" i="1"/>
  <c r="I25" i="1"/>
  <c r="F26" i="1"/>
  <c r="G26" i="1"/>
  <c r="H26" i="1"/>
  <c r="I26" i="1"/>
  <c r="F27" i="1"/>
  <c r="G27" i="1"/>
  <c r="H27" i="1"/>
  <c r="I27" i="1"/>
  <c r="F28" i="1"/>
  <c r="G28" i="1"/>
  <c r="H28" i="1"/>
  <c r="I28" i="1"/>
  <c r="F29" i="1"/>
  <c r="G29" i="1"/>
  <c r="H29" i="1"/>
  <c r="I29" i="1"/>
  <c r="F30" i="1"/>
  <c r="G30" i="1"/>
  <c r="H30" i="1"/>
  <c r="I30" i="1"/>
  <c r="F31" i="1"/>
  <c r="G31" i="1"/>
  <c r="H31" i="1"/>
  <c r="I31" i="1"/>
  <c r="F32" i="1"/>
  <c r="G32" i="1"/>
  <c r="H32" i="1"/>
  <c r="I32" i="1"/>
  <c r="F33" i="1"/>
  <c r="G33" i="1"/>
  <c r="H33" i="1"/>
  <c r="I33" i="1"/>
  <c r="F34" i="1"/>
  <c r="G34" i="1"/>
  <c r="H34" i="1"/>
  <c r="I34" i="1"/>
  <c r="F35" i="1"/>
  <c r="G35" i="1"/>
  <c r="H35" i="1"/>
  <c r="I35" i="1"/>
  <c r="F36" i="1"/>
  <c r="G36" i="1"/>
  <c r="H36" i="1"/>
  <c r="I36" i="1"/>
  <c r="F37" i="1"/>
  <c r="G37" i="1"/>
  <c r="H37" i="1"/>
  <c r="I37" i="1"/>
  <c r="F38" i="1"/>
  <c r="G38" i="1"/>
  <c r="H38" i="1"/>
  <c r="I38" i="1"/>
  <c r="F39" i="1"/>
  <c r="G39" i="1"/>
  <c r="H39" i="1"/>
  <c r="I39" i="1"/>
  <c r="F40" i="1"/>
  <c r="G40" i="1"/>
  <c r="H40" i="1"/>
  <c r="I40" i="1"/>
  <c r="F41" i="1"/>
  <c r="G41" i="1"/>
  <c r="H41" i="1"/>
  <c r="I41" i="1"/>
  <c r="F42" i="1"/>
  <c r="G42" i="1"/>
  <c r="H42" i="1"/>
  <c r="I42" i="1"/>
  <c r="F43" i="1"/>
  <c r="G43" i="1"/>
  <c r="H43" i="1"/>
  <c r="I43" i="1"/>
  <c r="F44" i="1"/>
  <c r="G44" i="1"/>
  <c r="H44" i="1"/>
  <c r="I44" i="1"/>
  <c r="F45" i="1"/>
  <c r="G45" i="1"/>
  <c r="H45" i="1"/>
  <c r="I45" i="1"/>
  <c r="F46" i="1"/>
  <c r="G46" i="1"/>
  <c r="H46" i="1"/>
  <c r="I46" i="1"/>
  <c r="F47" i="1"/>
  <c r="G47" i="1"/>
  <c r="H47" i="1"/>
  <c r="I47" i="1"/>
  <c r="F48" i="1"/>
  <c r="G48" i="1"/>
  <c r="H48" i="1"/>
  <c r="I48" i="1"/>
  <c r="F49" i="1"/>
  <c r="G49" i="1"/>
  <c r="H49" i="1"/>
  <c r="I49" i="1"/>
  <c r="F50" i="1"/>
  <c r="G50" i="1"/>
  <c r="H50" i="1"/>
  <c r="I50" i="1"/>
  <c r="F51" i="1"/>
  <c r="G51" i="1"/>
  <c r="H51" i="1"/>
  <c r="I51" i="1"/>
  <c r="BA3" i="1"/>
  <c r="BF3" i="1"/>
  <c r="AV3" i="1"/>
  <c r="BK3" i="1"/>
  <c r="BA4" i="1"/>
  <c r="BF4" i="1"/>
  <c r="AV4" i="1"/>
  <c r="BK4" i="1"/>
  <c r="BA5" i="1"/>
  <c r="BF5" i="1"/>
  <c r="AV5" i="1"/>
  <c r="BK5" i="1"/>
  <c r="BA6" i="1"/>
  <c r="BF6" i="1"/>
  <c r="AV6" i="1"/>
  <c r="BK6" i="1"/>
  <c r="BA7" i="1"/>
  <c r="BF7" i="1"/>
  <c r="AV7" i="1"/>
  <c r="BK7" i="1"/>
  <c r="BA8" i="1"/>
  <c r="BF8" i="1"/>
  <c r="AV8" i="1"/>
  <c r="BK8" i="1"/>
  <c r="BA9" i="1"/>
  <c r="BF9" i="1"/>
  <c r="AV9" i="1"/>
  <c r="BK9" i="1"/>
  <c r="BA10" i="1"/>
  <c r="BF10" i="1"/>
  <c r="AV10" i="1"/>
  <c r="BK10" i="1"/>
  <c r="BA11" i="1"/>
  <c r="BF11" i="1"/>
  <c r="AV11" i="1"/>
  <c r="BK11" i="1"/>
  <c r="BA12" i="1"/>
  <c r="BF12" i="1"/>
  <c r="AV12" i="1"/>
  <c r="BK12" i="1"/>
  <c r="BA13" i="1"/>
  <c r="BF13" i="1"/>
  <c r="AV13" i="1"/>
  <c r="BK13" i="1"/>
  <c r="BA14" i="1"/>
  <c r="BF14" i="1"/>
  <c r="AV14" i="1"/>
  <c r="BK14" i="1"/>
  <c r="BA15" i="1"/>
  <c r="BF15" i="1"/>
  <c r="AV15" i="1"/>
  <c r="BK15" i="1"/>
  <c r="BA16" i="1"/>
  <c r="BF16" i="1"/>
  <c r="AV16" i="1"/>
  <c r="BK16" i="1"/>
  <c r="BA17" i="1"/>
  <c r="BF17" i="1"/>
  <c r="AV17" i="1"/>
  <c r="BK17" i="1"/>
  <c r="BA18" i="1"/>
  <c r="BF18" i="1"/>
  <c r="AV18" i="1"/>
  <c r="BK18" i="1"/>
  <c r="BA19" i="1"/>
  <c r="BF19" i="1"/>
  <c r="AV19" i="1"/>
  <c r="BK19" i="1"/>
  <c r="BA20" i="1"/>
  <c r="BF20" i="1"/>
  <c r="AV20" i="1"/>
  <c r="BK20" i="1"/>
  <c r="BA21" i="1"/>
  <c r="BF21" i="1"/>
  <c r="AV21" i="1"/>
  <c r="BK21" i="1"/>
  <c r="BA22" i="1"/>
  <c r="BF22" i="1"/>
  <c r="AV22" i="1"/>
  <c r="BK22" i="1"/>
  <c r="BA23" i="1"/>
  <c r="BF23" i="1"/>
  <c r="AV23" i="1"/>
  <c r="BK23" i="1"/>
  <c r="BA24" i="1"/>
  <c r="BF24" i="1"/>
  <c r="AV24" i="1"/>
  <c r="BK24" i="1"/>
  <c r="BA25" i="1"/>
  <c r="BF25" i="1"/>
  <c r="AV25" i="1"/>
  <c r="BK25" i="1"/>
  <c r="BA26" i="1"/>
  <c r="BF26" i="1"/>
  <c r="AV26" i="1"/>
  <c r="BK26" i="1"/>
  <c r="BA27" i="1"/>
  <c r="BF27" i="1"/>
  <c r="AV27" i="1"/>
  <c r="BK27" i="1"/>
  <c r="BA28" i="1"/>
  <c r="BF28" i="1"/>
  <c r="AV28" i="1"/>
  <c r="BK28" i="1"/>
  <c r="BA29" i="1"/>
  <c r="BF29" i="1"/>
  <c r="AV29" i="1"/>
  <c r="BK29" i="1"/>
  <c r="BA30" i="1"/>
  <c r="BF30" i="1"/>
  <c r="AV30" i="1"/>
  <c r="BK30" i="1"/>
  <c r="BA31" i="1"/>
  <c r="BF31" i="1"/>
  <c r="AV31" i="1"/>
  <c r="BK31" i="1"/>
  <c r="BA32" i="1"/>
  <c r="BF32" i="1"/>
  <c r="AV32" i="1"/>
  <c r="BK32" i="1"/>
  <c r="BA33" i="1"/>
  <c r="BF33" i="1"/>
  <c r="AV33" i="1"/>
  <c r="BK33" i="1"/>
  <c r="BA34" i="1"/>
  <c r="BF34" i="1"/>
  <c r="AV34" i="1"/>
  <c r="BK34" i="1"/>
  <c r="BA35" i="1"/>
  <c r="BF35" i="1"/>
  <c r="AV35" i="1"/>
  <c r="BK35" i="1"/>
  <c r="BA36" i="1"/>
  <c r="BF36" i="1"/>
  <c r="AV36" i="1"/>
  <c r="BK36" i="1"/>
  <c r="BA37" i="1"/>
  <c r="BF37" i="1"/>
  <c r="AV37" i="1"/>
  <c r="BK37" i="1"/>
  <c r="BA38" i="1"/>
  <c r="BF38" i="1"/>
  <c r="AV38" i="1"/>
  <c r="BK38" i="1"/>
  <c r="BA39" i="1"/>
  <c r="BF39" i="1"/>
  <c r="AV39" i="1"/>
  <c r="BK39" i="1"/>
  <c r="BA40" i="1"/>
  <c r="BF40" i="1"/>
  <c r="AV40" i="1"/>
  <c r="BK40" i="1"/>
  <c r="BA41" i="1"/>
  <c r="BF41" i="1"/>
  <c r="AV41" i="1"/>
  <c r="BK41" i="1"/>
  <c r="BA42" i="1"/>
  <c r="BF42" i="1"/>
  <c r="AV42" i="1"/>
  <c r="BK42" i="1"/>
  <c r="BA43" i="1"/>
  <c r="BF43" i="1"/>
  <c r="AV43" i="1"/>
  <c r="BK43" i="1"/>
  <c r="BA44" i="1"/>
  <c r="BF44" i="1"/>
  <c r="AV44" i="1"/>
  <c r="BK44" i="1"/>
  <c r="BA45" i="1"/>
  <c r="BF45" i="1"/>
  <c r="AV45" i="1"/>
  <c r="BK45" i="1"/>
  <c r="BA46" i="1"/>
  <c r="BF46" i="1"/>
  <c r="AV46" i="1"/>
  <c r="BK46" i="1"/>
  <c r="BA47" i="1"/>
  <c r="BF47" i="1"/>
  <c r="AV47" i="1"/>
  <c r="BK47" i="1"/>
  <c r="BA48" i="1"/>
  <c r="BF48" i="1"/>
  <c r="AV48" i="1"/>
  <c r="BK48" i="1"/>
  <c r="BA49" i="1"/>
  <c r="BF49" i="1"/>
  <c r="AV49" i="1"/>
  <c r="BK49" i="1"/>
  <c r="BA50" i="1"/>
  <c r="BF50" i="1"/>
  <c r="AV50" i="1"/>
  <c r="BK50" i="1"/>
  <c r="BA51" i="1"/>
  <c r="BF51" i="1"/>
  <c r="AV51" i="1"/>
  <c r="BK51" i="1"/>
  <c r="AZ3" i="1"/>
  <c r="BE3" i="1"/>
  <c r="AU3" i="1"/>
  <c r="BJ3" i="1"/>
  <c r="AZ4" i="1"/>
  <c r="BE4" i="1"/>
  <c r="AU4" i="1"/>
  <c r="BJ4" i="1"/>
  <c r="AZ5" i="1"/>
  <c r="BE5" i="1"/>
  <c r="AU5" i="1"/>
  <c r="BJ5" i="1"/>
  <c r="AZ6" i="1"/>
  <c r="BE6" i="1"/>
  <c r="AU6" i="1"/>
  <c r="BJ6" i="1"/>
  <c r="AZ7" i="1"/>
  <c r="BE7" i="1"/>
  <c r="AU7" i="1"/>
  <c r="BJ7" i="1"/>
  <c r="AZ8" i="1"/>
  <c r="BE8" i="1"/>
  <c r="AU8" i="1"/>
  <c r="BJ8" i="1"/>
  <c r="AZ9" i="1"/>
  <c r="BE9" i="1"/>
  <c r="AU9" i="1"/>
  <c r="BJ9" i="1"/>
  <c r="AZ10" i="1"/>
  <c r="BE10" i="1"/>
  <c r="AU10" i="1"/>
  <c r="BJ10" i="1"/>
  <c r="AZ11" i="1"/>
  <c r="BE11" i="1"/>
  <c r="AU11" i="1"/>
  <c r="BJ11" i="1"/>
  <c r="AZ12" i="1"/>
  <c r="BE12" i="1"/>
  <c r="AU12" i="1"/>
  <c r="BJ12" i="1"/>
  <c r="AZ13" i="1"/>
  <c r="BE13" i="1"/>
  <c r="AU13" i="1"/>
  <c r="BJ13" i="1"/>
  <c r="AZ14" i="1"/>
  <c r="BE14" i="1"/>
  <c r="AU14" i="1"/>
  <c r="BJ14" i="1"/>
  <c r="AZ15" i="1"/>
  <c r="BE15" i="1"/>
  <c r="AU15" i="1"/>
  <c r="BJ15" i="1"/>
  <c r="AZ16" i="1"/>
  <c r="BE16" i="1"/>
  <c r="AU16" i="1"/>
  <c r="BJ16" i="1"/>
  <c r="AZ17" i="1"/>
  <c r="BE17" i="1"/>
  <c r="AU17" i="1"/>
  <c r="BJ17" i="1"/>
  <c r="AZ18" i="1"/>
  <c r="BE18" i="1"/>
  <c r="AU18" i="1"/>
  <c r="BJ18" i="1"/>
  <c r="AZ19" i="1"/>
  <c r="BE19" i="1"/>
  <c r="AU19" i="1"/>
  <c r="BJ19" i="1"/>
  <c r="AZ20" i="1"/>
  <c r="BE20" i="1"/>
  <c r="AU20" i="1"/>
  <c r="BJ20" i="1"/>
  <c r="AZ21" i="1"/>
  <c r="BE21" i="1"/>
  <c r="AU21" i="1"/>
  <c r="BJ21" i="1"/>
  <c r="AZ22" i="1"/>
  <c r="BE22" i="1"/>
  <c r="AU22" i="1"/>
  <c r="BJ22" i="1"/>
  <c r="AZ23" i="1"/>
  <c r="BE23" i="1"/>
  <c r="AU23" i="1"/>
  <c r="BJ23" i="1"/>
  <c r="AZ24" i="1"/>
  <c r="BE24" i="1"/>
  <c r="AU24" i="1"/>
  <c r="BJ24" i="1"/>
  <c r="AZ25" i="1"/>
  <c r="BE25" i="1"/>
  <c r="AU25" i="1"/>
  <c r="BJ25" i="1"/>
  <c r="AZ26" i="1"/>
  <c r="BE26" i="1"/>
  <c r="AU26" i="1"/>
  <c r="BJ26" i="1"/>
  <c r="AZ27" i="1"/>
  <c r="BE27" i="1"/>
  <c r="AU27" i="1"/>
  <c r="BJ27" i="1"/>
  <c r="AZ28" i="1"/>
  <c r="BE28" i="1"/>
  <c r="AU28" i="1"/>
  <c r="BJ28" i="1"/>
  <c r="AZ29" i="1"/>
  <c r="BE29" i="1"/>
  <c r="AU29" i="1"/>
  <c r="BJ29" i="1"/>
  <c r="AZ30" i="1"/>
  <c r="BE30" i="1"/>
  <c r="AU30" i="1"/>
  <c r="BJ30" i="1"/>
  <c r="AZ31" i="1"/>
  <c r="BE31" i="1"/>
  <c r="AU31" i="1"/>
  <c r="BJ31" i="1"/>
  <c r="AZ32" i="1"/>
  <c r="BE32" i="1"/>
  <c r="AU32" i="1"/>
  <c r="BJ32" i="1"/>
  <c r="AZ33" i="1"/>
  <c r="BE33" i="1"/>
  <c r="AU33" i="1"/>
  <c r="BJ33" i="1"/>
  <c r="AZ34" i="1"/>
  <c r="BE34" i="1"/>
  <c r="AU34" i="1"/>
  <c r="BJ34" i="1"/>
  <c r="AZ35" i="1"/>
  <c r="BE35" i="1"/>
  <c r="AU35" i="1"/>
  <c r="BJ35" i="1"/>
  <c r="AZ36" i="1"/>
  <c r="BE36" i="1"/>
  <c r="AU36" i="1"/>
  <c r="BJ36" i="1"/>
  <c r="AZ37" i="1"/>
  <c r="BE37" i="1"/>
  <c r="AU37" i="1"/>
  <c r="BJ37" i="1"/>
  <c r="AZ38" i="1"/>
  <c r="BE38" i="1"/>
  <c r="AU38" i="1"/>
  <c r="BJ38" i="1"/>
  <c r="AZ39" i="1"/>
  <c r="BE39" i="1"/>
  <c r="AU39" i="1"/>
  <c r="BJ39" i="1"/>
  <c r="AZ40" i="1"/>
  <c r="BE40" i="1"/>
  <c r="AU40" i="1"/>
  <c r="BJ40" i="1"/>
  <c r="AZ41" i="1"/>
  <c r="BE41" i="1"/>
  <c r="AU41" i="1"/>
  <c r="BJ41" i="1"/>
  <c r="AZ42" i="1"/>
  <c r="BE42" i="1"/>
  <c r="AU42" i="1"/>
  <c r="BJ42" i="1"/>
  <c r="AZ43" i="1"/>
  <c r="BE43" i="1"/>
  <c r="AU43" i="1"/>
  <c r="BJ43" i="1"/>
  <c r="AZ44" i="1"/>
  <c r="BE44" i="1"/>
  <c r="AU44" i="1"/>
  <c r="BJ44" i="1"/>
  <c r="AZ45" i="1"/>
  <c r="BE45" i="1"/>
  <c r="AU45" i="1"/>
  <c r="BJ45" i="1"/>
  <c r="AZ46" i="1"/>
  <c r="BE46" i="1"/>
  <c r="AU46" i="1"/>
  <c r="BJ46" i="1"/>
  <c r="AZ47" i="1"/>
  <c r="BE47" i="1"/>
  <c r="AU47" i="1"/>
  <c r="BJ47" i="1"/>
  <c r="AZ48" i="1"/>
  <c r="BE48" i="1"/>
  <c r="AU48" i="1"/>
  <c r="BJ48" i="1"/>
  <c r="AZ49" i="1"/>
  <c r="BE49" i="1"/>
  <c r="AU49" i="1"/>
  <c r="BJ49" i="1"/>
  <c r="AZ50" i="1"/>
  <c r="BE50" i="1"/>
  <c r="AU50" i="1"/>
  <c r="BJ50" i="1"/>
  <c r="AZ51" i="1"/>
  <c r="BE51" i="1"/>
  <c r="AU51" i="1"/>
  <c r="BJ51" i="1"/>
  <c r="E52" i="1"/>
  <c r="AD52" i="1"/>
  <c r="Y52" i="1"/>
  <c r="Z52" i="1"/>
  <c r="AA52" i="1"/>
  <c r="BJ52" i="1"/>
  <c r="BA52" i="1"/>
  <c r="BF52" i="1"/>
  <c r="BK52" i="1"/>
  <c r="BB52" i="1"/>
  <c r="BG52" i="1"/>
  <c r="AW52" i="1"/>
  <c r="BL52" i="1"/>
  <c r="EG52" i="1"/>
  <c r="EH52" i="1"/>
  <c r="EI52" i="1"/>
  <c r="EJ52" i="1"/>
  <c r="EK52" i="1"/>
  <c r="EL52" i="1"/>
  <c r="EM52" i="1"/>
  <c r="EN52" i="1"/>
  <c r="EO52" i="1"/>
  <c r="EQ52" i="1"/>
  <c r="ER52" i="1"/>
  <c r="ES52" i="1"/>
  <c r="ET52" i="1"/>
  <c r="EU52" i="1"/>
  <c r="EV52" i="1"/>
  <c r="EW52" i="1"/>
  <c r="EX52" i="1"/>
  <c r="EY52" i="1"/>
  <c r="FA52" i="1"/>
  <c r="FB52" i="1"/>
  <c r="FC52" i="1"/>
  <c r="FD52" i="1"/>
  <c r="FE52" i="1"/>
  <c r="FF52" i="1"/>
  <c r="FG52" i="1"/>
  <c r="FH52" i="1"/>
  <c r="FI52" i="1"/>
  <c r="FK52" i="1"/>
  <c r="FL52" i="1"/>
  <c r="FM52" i="1"/>
  <c r="FN52" i="1"/>
  <c r="FO52" i="1"/>
  <c r="FP52" i="1"/>
  <c r="FQ52" i="1"/>
  <c r="FR52" i="1"/>
  <c r="FS52" i="1"/>
  <c r="FU52" i="1"/>
  <c r="FV52" i="1"/>
  <c r="FW52" i="1"/>
  <c r="FX52" i="1"/>
  <c r="FY52" i="1"/>
  <c r="FZ52" i="1"/>
  <c r="GA52" i="1"/>
  <c r="GB52" i="1"/>
  <c r="GC52" i="1"/>
  <c r="GE52" i="1"/>
  <c r="GF52" i="1"/>
  <c r="GG52" i="1"/>
  <c r="GH52" i="1"/>
  <c r="GI52" i="1"/>
  <c r="GJ52" i="1"/>
  <c r="GK52" i="1"/>
  <c r="GL52" i="1"/>
  <c r="GM52" i="1"/>
  <c r="GO52" i="1"/>
  <c r="GP52" i="1"/>
  <c r="GQ52" i="1"/>
  <c r="GR52" i="1"/>
  <c r="GS52" i="1"/>
  <c r="GT52" i="1"/>
  <c r="GU52" i="1"/>
  <c r="GV52" i="1"/>
  <c r="GW52" i="1"/>
  <c r="GY52" i="1"/>
  <c r="GZ52" i="1"/>
  <c r="HA52" i="1"/>
  <c r="HB52" i="1"/>
  <c r="HC52" i="1"/>
  <c r="HD52" i="1"/>
  <c r="HE52" i="1"/>
  <c r="HF52" i="1"/>
  <c r="HG52" i="1"/>
  <c r="AY3" i="1"/>
  <c r="BD3" i="1"/>
  <c r="AT3" i="1"/>
  <c r="BI3" i="1"/>
  <c r="AY4" i="1"/>
  <c r="BD4" i="1"/>
  <c r="AT4" i="1"/>
  <c r="BI4" i="1"/>
  <c r="AY5" i="1"/>
  <c r="BD5" i="1"/>
  <c r="AT5" i="1"/>
  <c r="BI5" i="1"/>
  <c r="AY6" i="1"/>
  <c r="BD6" i="1"/>
  <c r="AT6" i="1"/>
  <c r="BI6" i="1"/>
  <c r="AY7" i="1"/>
  <c r="BD7" i="1"/>
  <c r="AT7" i="1"/>
  <c r="BI7" i="1"/>
  <c r="AY8" i="1"/>
  <c r="BD8" i="1"/>
  <c r="AT8" i="1"/>
  <c r="BI8" i="1"/>
  <c r="AY9" i="1"/>
  <c r="BD9" i="1"/>
  <c r="AT9" i="1"/>
  <c r="BI9" i="1"/>
  <c r="AY10" i="1"/>
  <c r="BD10" i="1"/>
  <c r="AT10" i="1"/>
  <c r="BI10" i="1"/>
  <c r="AY11" i="1"/>
  <c r="BD11" i="1"/>
  <c r="AT11" i="1"/>
  <c r="BI11" i="1"/>
  <c r="AY12" i="1"/>
  <c r="BD12" i="1"/>
  <c r="AT12" i="1"/>
  <c r="BI12" i="1"/>
  <c r="AY13" i="1"/>
  <c r="BD13" i="1"/>
  <c r="AT13" i="1"/>
  <c r="BI13" i="1"/>
  <c r="AY14" i="1"/>
  <c r="BD14" i="1"/>
  <c r="AT14" i="1"/>
  <c r="BI14" i="1"/>
  <c r="AY15" i="1"/>
  <c r="BD15" i="1"/>
  <c r="AT15" i="1"/>
  <c r="BI15" i="1"/>
  <c r="AY16" i="1"/>
  <c r="BD16" i="1"/>
  <c r="AT16" i="1"/>
  <c r="BI16" i="1"/>
  <c r="AY17" i="1"/>
  <c r="BD17" i="1"/>
  <c r="AT17" i="1"/>
  <c r="BI17" i="1"/>
  <c r="AY18" i="1"/>
  <c r="BD18" i="1"/>
  <c r="AT18" i="1"/>
  <c r="BI18" i="1"/>
  <c r="AY19" i="1"/>
  <c r="BD19" i="1"/>
  <c r="AT19" i="1"/>
  <c r="BI19" i="1"/>
  <c r="AY20" i="1"/>
  <c r="BD20" i="1"/>
  <c r="AT20" i="1"/>
  <c r="BI20" i="1"/>
  <c r="AY21" i="1"/>
  <c r="BD21" i="1"/>
  <c r="AT21" i="1"/>
  <c r="BI21" i="1"/>
  <c r="AY22" i="1"/>
  <c r="BD22" i="1"/>
  <c r="AT22" i="1"/>
  <c r="BI22" i="1"/>
  <c r="AY23" i="1"/>
  <c r="BD23" i="1"/>
  <c r="AT23" i="1"/>
  <c r="BI23" i="1"/>
  <c r="AY24" i="1"/>
  <c r="BD24" i="1"/>
  <c r="AT24" i="1"/>
  <c r="BI24" i="1"/>
  <c r="AY25" i="1"/>
  <c r="BD25" i="1"/>
  <c r="AT25" i="1"/>
  <c r="BI25" i="1"/>
  <c r="AY26" i="1"/>
  <c r="BD26" i="1"/>
  <c r="AT26" i="1"/>
  <c r="BI26" i="1"/>
  <c r="AY27" i="1"/>
  <c r="BD27" i="1"/>
  <c r="AT27" i="1"/>
  <c r="BI27" i="1"/>
  <c r="AY28" i="1"/>
  <c r="BD28" i="1"/>
  <c r="AT28" i="1"/>
  <c r="BI28" i="1"/>
  <c r="AY29" i="1"/>
  <c r="BD29" i="1"/>
  <c r="AT29" i="1"/>
  <c r="BI29" i="1"/>
  <c r="AY30" i="1"/>
  <c r="BD30" i="1"/>
  <c r="AT30" i="1"/>
  <c r="BI30" i="1"/>
  <c r="AY31" i="1"/>
  <c r="BD31" i="1"/>
  <c r="AT31" i="1"/>
  <c r="BI31" i="1"/>
  <c r="AY32" i="1"/>
  <c r="BD32" i="1"/>
  <c r="AT32" i="1"/>
  <c r="BI32" i="1"/>
  <c r="AY33" i="1"/>
  <c r="BD33" i="1"/>
  <c r="AT33" i="1"/>
  <c r="BI33" i="1"/>
  <c r="AY34" i="1"/>
  <c r="BD34" i="1"/>
  <c r="AT34" i="1"/>
  <c r="BI34" i="1"/>
  <c r="AY35" i="1"/>
  <c r="BD35" i="1"/>
  <c r="AT35" i="1"/>
  <c r="BI35" i="1"/>
  <c r="AY36" i="1"/>
  <c r="BD36" i="1"/>
  <c r="AT36" i="1"/>
  <c r="BI36" i="1"/>
  <c r="AY37" i="1"/>
  <c r="BD37" i="1"/>
  <c r="AT37" i="1"/>
  <c r="BI37" i="1"/>
  <c r="AY38" i="1"/>
  <c r="BD38" i="1"/>
  <c r="AT38" i="1"/>
  <c r="BI38" i="1"/>
  <c r="AY39" i="1"/>
  <c r="BD39" i="1"/>
  <c r="AT39" i="1"/>
  <c r="BI39" i="1"/>
  <c r="AY40" i="1"/>
  <c r="BD40" i="1"/>
  <c r="AT40" i="1"/>
  <c r="BI40" i="1"/>
  <c r="AY41" i="1"/>
  <c r="BD41" i="1"/>
  <c r="AT41" i="1"/>
  <c r="BI41" i="1"/>
  <c r="AY42" i="1"/>
  <c r="BD42" i="1"/>
  <c r="AT42" i="1"/>
  <c r="BI42" i="1"/>
  <c r="AY43" i="1"/>
  <c r="BD43" i="1"/>
  <c r="AT43" i="1"/>
  <c r="BI43" i="1"/>
  <c r="AY44" i="1"/>
  <c r="BD44" i="1"/>
  <c r="AT44" i="1"/>
  <c r="BI44" i="1"/>
  <c r="AY45" i="1"/>
  <c r="BD45" i="1"/>
  <c r="AT45" i="1"/>
  <c r="BI45" i="1"/>
  <c r="AY46" i="1"/>
  <c r="BD46" i="1"/>
  <c r="AT46" i="1"/>
  <c r="BI46" i="1"/>
  <c r="AY47" i="1"/>
  <c r="BD47" i="1"/>
  <c r="AT47" i="1"/>
  <c r="BI47" i="1"/>
  <c r="AY48" i="1"/>
  <c r="BD48" i="1"/>
  <c r="AT48" i="1"/>
  <c r="BI48" i="1"/>
  <c r="AY49" i="1"/>
  <c r="BD49" i="1"/>
  <c r="AT49" i="1"/>
  <c r="BI49" i="1"/>
  <c r="AY50" i="1"/>
  <c r="BD50" i="1"/>
  <c r="AT50" i="1"/>
  <c r="BI50" i="1"/>
  <c r="AY51" i="1"/>
  <c r="BD51" i="1"/>
  <c r="AT51" i="1"/>
  <c r="BI51" i="1"/>
  <c r="AY52" i="1"/>
  <c r="BD52" i="1"/>
  <c r="AT52" i="1"/>
  <c r="BI52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AT2" i="1"/>
  <c r="BD2" i="1"/>
  <c r="AY2" i="1"/>
  <c r="F2" i="1"/>
  <c r="G2" i="1"/>
  <c r="AW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V2" i="1"/>
  <c r="AU2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BI2" i="1"/>
  <c r="AZ2" i="1"/>
  <c r="BE2" i="1"/>
  <c r="BJ2" i="1"/>
  <c r="BA2" i="1"/>
  <c r="BF2" i="1"/>
  <c r="BK2" i="1"/>
  <c r="BB2" i="1"/>
  <c r="BG2" i="1"/>
  <c r="BL2" i="1"/>
  <c r="H2" i="1"/>
  <c r="I2" i="1"/>
  <c r="EG2" i="1"/>
  <c r="EH2" i="1"/>
  <c r="EI2" i="1"/>
  <c r="EJ2" i="1"/>
  <c r="EK2" i="1"/>
  <c r="EL2" i="1"/>
  <c r="EM2" i="1"/>
  <c r="EN2" i="1"/>
  <c r="EO2" i="1"/>
  <c r="EQ2" i="1"/>
  <c r="ER2" i="1"/>
  <c r="ES2" i="1"/>
  <c r="ET2" i="1"/>
  <c r="EU2" i="1"/>
  <c r="EV2" i="1"/>
  <c r="EW2" i="1"/>
  <c r="EX2" i="1"/>
  <c r="EY2" i="1"/>
  <c r="FA2" i="1"/>
  <c r="FB2" i="1"/>
  <c r="FC2" i="1"/>
  <c r="FD2" i="1"/>
  <c r="FE2" i="1"/>
  <c r="FF2" i="1"/>
  <c r="FG2" i="1"/>
  <c r="FH2" i="1"/>
  <c r="FI2" i="1"/>
  <c r="FK2" i="1"/>
  <c r="FL2" i="1"/>
  <c r="FM2" i="1"/>
  <c r="FN2" i="1"/>
  <c r="FO2" i="1"/>
  <c r="FP2" i="1"/>
  <c r="FQ2" i="1"/>
  <c r="FR2" i="1"/>
  <c r="FS2" i="1"/>
  <c r="FU2" i="1"/>
  <c r="FV2" i="1"/>
  <c r="FW2" i="1"/>
  <c r="FX2" i="1"/>
  <c r="FY2" i="1"/>
  <c r="FZ2" i="1"/>
  <c r="GA2" i="1"/>
  <c r="GB2" i="1"/>
  <c r="GC2" i="1"/>
  <c r="GE2" i="1"/>
  <c r="GF2" i="1"/>
  <c r="GG2" i="1"/>
  <c r="GH2" i="1"/>
  <c r="GI2" i="1"/>
  <c r="GJ2" i="1"/>
  <c r="GK2" i="1"/>
  <c r="GL2" i="1"/>
  <c r="GM2" i="1"/>
  <c r="GO2" i="1"/>
  <c r="GP2" i="1"/>
  <c r="GQ2" i="1"/>
  <c r="GR2" i="1"/>
  <c r="GS2" i="1"/>
  <c r="GT2" i="1"/>
  <c r="GU2" i="1"/>
  <c r="GV2" i="1"/>
  <c r="GW2" i="1"/>
  <c r="GY2" i="1"/>
  <c r="GZ2" i="1"/>
  <c r="HA2" i="1"/>
  <c r="HB2" i="1"/>
  <c r="HC2" i="1"/>
  <c r="HD2" i="1"/>
  <c r="HE2" i="1"/>
  <c r="HF2" i="1"/>
  <c r="HG2" i="1"/>
  <c r="BB3" i="1"/>
  <c r="BG3" i="1"/>
  <c r="BL3" i="1"/>
  <c r="EG3" i="1"/>
  <c r="EH3" i="1"/>
  <c r="EI3" i="1"/>
  <c r="EJ3" i="1"/>
  <c r="EK3" i="1"/>
  <c r="EL3" i="1"/>
  <c r="EM3" i="1"/>
  <c r="EN3" i="1"/>
  <c r="EO3" i="1"/>
  <c r="EQ3" i="1"/>
  <c r="ER3" i="1"/>
  <c r="ES3" i="1"/>
  <c r="ET3" i="1"/>
  <c r="EU3" i="1"/>
  <c r="EV3" i="1"/>
  <c r="EW3" i="1"/>
  <c r="EX3" i="1"/>
  <c r="EY3" i="1"/>
  <c r="FA3" i="1"/>
  <c r="FB3" i="1"/>
  <c r="FC3" i="1"/>
  <c r="FD3" i="1"/>
  <c r="FE3" i="1"/>
  <c r="FF3" i="1"/>
  <c r="FG3" i="1"/>
  <c r="FH3" i="1"/>
  <c r="FI3" i="1"/>
  <c r="FK3" i="1"/>
  <c r="FL3" i="1"/>
  <c r="FM3" i="1"/>
  <c r="FN3" i="1"/>
  <c r="FO3" i="1"/>
  <c r="FP3" i="1"/>
  <c r="FQ3" i="1"/>
  <c r="FR3" i="1"/>
  <c r="FS3" i="1"/>
  <c r="FU3" i="1"/>
  <c r="FV3" i="1"/>
  <c r="FW3" i="1"/>
  <c r="FX3" i="1"/>
  <c r="FY3" i="1"/>
  <c r="FZ3" i="1"/>
  <c r="GA3" i="1"/>
  <c r="GB3" i="1"/>
  <c r="GC3" i="1"/>
  <c r="GE3" i="1"/>
  <c r="GF3" i="1"/>
  <c r="GG3" i="1"/>
  <c r="GH3" i="1"/>
  <c r="GI3" i="1"/>
  <c r="GJ3" i="1"/>
  <c r="GK3" i="1"/>
  <c r="GL3" i="1"/>
  <c r="GM3" i="1"/>
  <c r="GO3" i="1"/>
  <c r="GP3" i="1"/>
  <c r="GQ3" i="1"/>
  <c r="GR3" i="1"/>
  <c r="GS3" i="1"/>
  <c r="GT3" i="1"/>
  <c r="GU3" i="1"/>
  <c r="GV3" i="1"/>
  <c r="GW3" i="1"/>
  <c r="GY3" i="1"/>
  <c r="GZ3" i="1"/>
  <c r="HA3" i="1"/>
  <c r="HB3" i="1"/>
  <c r="HC3" i="1"/>
  <c r="HD3" i="1"/>
  <c r="HE3" i="1"/>
  <c r="HF3" i="1"/>
  <c r="HG3" i="1"/>
  <c r="BB4" i="1"/>
  <c r="BG4" i="1"/>
  <c r="BL4" i="1"/>
  <c r="EG4" i="1"/>
  <c r="EH4" i="1"/>
  <c r="EI4" i="1"/>
  <c r="EJ4" i="1"/>
  <c r="EK4" i="1"/>
  <c r="EL4" i="1"/>
  <c r="EM4" i="1"/>
  <c r="EN4" i="1"/>
  <c r="EO4" i="1"/>
  <c r="EQ4" i="1"/>
  <c r="ER4" i="1"/>
  <c r="ES4" i="1"/>
  <c r="ET4" i="1"/>
  <c r="EU4" i="1"/>
  <c r="EV4" i="1"/>
  <c r="EW4" i="1"/>
  <c r="EX4" i="1"/>
  <c r="EY4" i="1"/>
  <c r="FA4" i="1"/>
  <c r="FB4" i="1"/>
  <c r="FC4" i="1"/>
  <c r="FD4" i="1"/>
  <c r="FE4" i="1"/>
  <c r="FF4" i="1"/>
  <c r="FG4" i="1"/>
  <c r="FH4" i="1"/>
  <c r="FI4" i="1"/>
  <c r="FK4" i="1"/>
  <c r="FL4" i="1"/>
  <c r="FM4" i="1"/>
  <c r="FN4" i="1"/>
  <c r="FO4" i="1"/>
  <c r="FP4" i="1"/>
  <c r="FQ4" i="1"/>
  <c r="FR4" i="1"/>
  <c r="FS4" i="1"/>
  <c r="FU4" i="1"/>
  <c r="FV4" i="1"/>
  <c r="FW4" i="1"/>
  <c r="FX4" i="1"/>
  <c r="FY4" i="1"/>
  <c r="FZ4" i="1"/>
  <c r="GA4" i="1"/>
  <c r="GB4" i="1"/>
  <c r="GC4" i="1"/>
  <c r="GE4" i="1"/>
  <c r="GF4" i="1"/>
  <c r="GG4" i="1"/>
  <c r="GH4" i="1"/>
  <c r="GI4" i="1"/>
  <c r="GJ4" i="1"/>
  <c r="GK4" i="1"/>
  <c r="GL4" i="1"/>
  <c r="GM4" i="1"/>
  <c r="GO4" i="1"/>
  <c r="GP4" i="1"/>
  <c r="GQ4" i="1"/>
  <c r="GR4" i="1"/>
  <c r="GS4" i="1"/>
  <c r="GT4" i="1"/>
  <c r="GU4" i="1"/>
  <c r="GV4" i="1"/>
  <c r="GW4" i="1"/>
  <c r="GY4" i="1"/>
  <c r="GZ4" i="1"/>
  <c r="HA4" i="1"/>
  <c r="HB4" i="1"/>
  <c r="HC4" i="1"/>
  <c r="HD4" i="1"/>
  <c r="HE4" i="1"/>
  <c r="HF4" i="1"/>
  <c r="HG4" i="1"/>
  <c r="BB5" i="1"/>
  <c r="BG5" i="1"/>
  <c r="BL5" i="1"/>
  <c r="EG5" i="1"/>
  <c r="EH5" i="1"/>
  <c r="EI5" i="1"/>
  <c r="EJ5" i="1"/>
  <c r="EK5" i="1"/>
  <c r="EL5" i="1"/>
  <c r="EM5" i="1"/>
  <c r="EN5" i="1"/>
  <c r="EO5" i="1"/>
  <c r="EQ5" i="1"/>
  <c r="ER5" i="1"/>
  <c r="ES5" i="1"/>
  <c r="ET5" i="1"/>
  <c r="EU5" i="1"/>
  <c r="EV5" i="1"/>
  <c r="EW5" i="1"/>
  <c r="EX5" i="1"/>
  <c r="EY5" i="1"/>
  <c r="FA5" i="1"/>
  <c r="FB5" i="1"/>
  <c r="FC5" i="1"/>
  <c r="FD5" i="1"/>
  <c r="FE5" i="1"/>
  <c r="FF5" i="1"/>
  <c r="FG5" i="1"/>
  <c r="FH5" i="1"/>
  <c r="FI5" i="1"/>
  <c r="FK5" i="1"/>
  <c r="FL5" i="1"/>
  <c r="FM5" i="1"/>
  <c r="FN5" i="1"/>
  <c r="FO5" i="1"/>
  <c r="FP5" i="1"/>
  <c r="FQ5" i="1"/>
  <c r="FR5" i="1"/>
  <c r="FS5" i="1"/>
  <c r="FU5" i="1"/>
  <c r="FV5" i="1"/>
  <c r="FW5" i="1"/>
  <c r="FX5" i="1"/>
  <c r="FY5" i="1"/>
  <c r="FZ5" i="1"/>
  <c r="GA5" i="1"/>
  <c r="GB5" i="1"/>
  <c r="GC5" i="1"/>
  <c r="GE5" i="1"/>
  <c r="GF5" i="1"/>
  <c r="GG5" i="1"/>
  <c r="GH5" i="1"/>
  <c r="GI5" i="1"/>
  <c r="GJ5" i="1"/>
  <c r="GK5" i="1"/>
  <c r="GL5" i="1"/>
  <c r="GM5" i="1"/>
  <c r="GO5" i="1"/>
  <c r="GP5" i="1"/>
  <c r="GQ5" i="1"/>
  <c r="GR5" i="1"/>
  <c r="GS5" i="1"/>
  <c r="GT5" i="1"/>
  <c r="GU5" i="1"/>
  <c r="GV5" i="1"/>
  <c r="GW5" i="1"/>
  <c r="GY5" i="1"/>
  <c r="GZ5" i="1"/>
  <c r="HA5" i="1"/>
  <c r="HB5" i="1"/>
  <c r="HC5" i="1"/>
  <c r="HD5" i="1"/>
  <c r="HE5" i="1"/>
  <c r="HF5" i="1"/>
  <c r="HG5" i="1"/>
  <c r="BB6" i="1"/>
  <c r="BG6" i="1"/>
  <c r="BL6" i="1"/>
  <c r="EG6" i="1"/>
  <c r="EH6" i="1"/>
  <c r="EI6" i="1"/>
  <c r="EJ6" i="1"/>
  <c r="EK6" i="1"/>
  <c r="EL6" i="1"/>
  <c r="EM6" i="1"/>
  <c r="EN6" i="1"/>
  <c r="EO6" i="1"/>
  <c r="EQ6" i="1"/>
  <c r="ER6" i="1"/>
  <c r="ES6" i="1"/>
  <c r="ET6" i="1"/>
  <c r="EU6" i="1"/>
  <c r="EV6" i="1"/>
  <c r="EW6" i="1"/>
  <c r="EX6" i="1"/>
  <c r="EY6" i="1"/>
  <c r="FA6" i="1"/>
  <c r="FB6" i="1"/>
  <c r="FC6" i="1"/>
  <c r="FD6" i="1"/>
  <c r="FE6" i="1"/>
  <c r="FF6" i="1"/>
  <c r="FG6" i="1"/>
  <c r="FH6" i="1"/>
  <c r="FI6" i="1"/>
  <c r="FK6" i="1"/>
  <c r="FL6" i="1"/>
  <c r="FM6" i="1"/>
  <c r="FN6" i="1"/>
  <c r="FO6" i="1"/>
  <c r="FP6" i="1"/>
  <c r="FQ6" i="1"/>
  <c r="FR6" i="1"/>
  <c r="FS6" i="1"/>
  <c r="FU6" i="1"/>
  <c r="FV6" i="1"/>
  <c r="FW6" i="1"/>
  <c r="FX6" i="1"/>
  <c r="FY6" i="1"/>
  <c r="FZ6" i="1"/>
  <c r="GA6" i="1"/>
  <c r="GB6" i="1"/>
  <c r="GC6" i="1"/>
  <c r="GE6" i="1"/>
  <c r="GF6" i="1"/>
  <c r="GG6" i="1"/>
  <c r="GH6" i="1"/>
  <c r="GI6" i="1"/>
  <c r="GJ6" i="1"/>
  <c r="GK6" i="1"/>
  <c r="GL6" i="1"/>
  <c r="GM6" i="1"/>
  <c r="GO6" i="1"/>
  <c r="GP6" i="1"/>
  <c r="GQ6" i="1"/>
  <c r="GR6" i="1"/>
  <c r="GS6" i="1"/>
  <c r="GT6" i="1"/>
  <c r="GU6" i="1"/>
  <c r="GV6" i="1"/>
  <c r="GW6" i="1"/>
  <c r="GY6" i="1"/>
  <c r="GZ6" i="1"/>
  <c r="HA6" i="1"/>
  <c r="HB6" i="1"/>
  <c r="HC6" i="1"/>
  <c r="HD6" i="1"/>
  <c r="HE6" i="1"/>
  <c r="HF6" i="1"/>
  <c r="HG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GY7" i="1"/>
  <c r="GY8" i="1"/>
  <c r="GY9" i="1"/>
  <c r="GY10" i="1"/>
  <c r="GY11" i="1"/>
  <c r="GY12" i="1"/>
  <c r="GY13" i="1"/>
  <c r="GY14" i="1"/>
  <c r="GY15" i="1"/>
  <c r="GY16" i="1"/>
  <c r="GY17" i="1"/>
  <c r="GY18" i="1"/>
  <c r="GY19" i="1"/>
  <c r="GY20" i="1"/>
  <c r="GY21" i="1"/>
  <c r="GY22" i="1"/>
  <c r="GY23" i="1"/>
  <c r="GY24" i="1"/>
  <c r="GY25" i="1"/>
  <c r="GY26" i="1"/>
  <c r="GY27" i="1"/>
  <c r="GY28" i="1"/>
  <c r="GY29" i="1"/>
  <c r="GY30" i="1"/>
  <c r="GY31" i="1"/>
  <c r="GY32" i="1"/>
  <c r="GY33" i="1"/>
  <c r="GY34" i="1"/>
  <c r="GY35" i="1"/>
  <c r="GY36" i="1"/>
  <c r="GY37" i="1"/>
  <c r="GY38" i="1"/>
  <c r="GY39" i="1"/>
  <c r="GY40" i="1"/>
  <c r="GY41" i="1"/>
  <c r="GY42" i="1"/>
  <c r="GY43" i="1"/>
  <c r="GY44" i="1"/>
  <c r="GY45" i="1"/>
  <c r="GY46" i="1"/>
  <c r="GY47" i="1"/>
  <c r="GY48" i="1"/>
  <c r="GY49" i="1"/>
  <c r="GY50" i="1"/>
  <c r="GY51" i="1"/>
  <c r="GZ7" i="1"/>
  <c r="GZ8" i="1"/>
  <c r="GZ9" i="1"/>
  <c r="GZ10" i="1"/>
  <c r="GZ11" i="1"/>
  <c r="GZ12" i="1"/>
  <c r="GZ13" i="1"/>
  <c r="GZ14" i="1"/>
  <c r="GZ15" i="1"/>
  <c r="GZ16" i="1"/>
  <c r="GZ17" i="1"/>
  <c r="GZ18" i="1"/>
  <c r="GZ19" i="1"/>
  <c r="GZ20" i="1"/>
  <c r="GZ21" i="1"/>
  <c r="GZ22" i="1"/>
  <c r="GZ23" i="1"/>
  <c r="GZ24" i="1"/>
  <c r="GZ25" i="1"/>
  <c r="GZ26" i="1"/>
  <c r="GZ27" i="1"/>
  <c r="GZ28" i="1"/>
  <c r="GZ29" i="1"/>
  <c r="GZ30" i="1"/>
  <c r="GZ31" i="1"/>
  <c r="GZ32" i="1"/>
  <c r="GZ33" i="1"/>
  <c r="GZ34" i="1"/>
  <c r="GZ35" i="1"/>
  <c r="GZ36" i="1"/>
  <c r="GZ37" i="1"/>
  <c r="GZ38" i="1"/>
  <c r="GZ39" i="1"/>
  <c r="GZ40" i="1"/>
  <c r="GZ41" i="1"/>
  <c r="GZ42" i="1"/>
  <c r="GZ43" i="1"/>
  <c r="GZ44" i="1"/>
  <c r="GZ45" i="1"/>
  <c r="GZ46" i="1"/>
  <c r="GZ47" i="1"/>
  <c r="GZ48" i="1"/>
  <c r="GZ49" i="1"/>
  <c r="GZ50" i="1"/>
  <c r="GZ51" i="1"/>
  <c r="HA7" i="1"/>
  <c r="HA8" i="1"/>
  <c r="HA9" i="1"/>
  <c r="HA10" i="1"/>
  <c r="HA11" i="1"/>
  <c r="HA12" i="1"/>
  <c r="HA13" i="1"/>
  <c r="HA14" i="1"/>
  <c r="HA15" i="1"/>
  <c r="HA16" i="1"/>
  <c r="HA17" i="1"/>
  <c r="HA18" i="1"/>
  <c r="HA19" i="1"/>
  <c r="HA20" i="1"/>
  <c r="HA21" i="1"/>
  <c r="HA22" i="1"/>
  <c r="HA23" i="1"/>
  <c r="HA24" i="1"/>
  <c r="HA25" i="1"/>
  <c r="HA26" i="1"/>
  <c r="HA27" i="1"/>
  <c r="HA28" i="1"/>
  <c r="HA29" i="1"/>
  <c r="HA30" i="1"/>
  <c r="HA31" i="1"/>
  <c r="HA32" i="1"/>
  <c r="HA33" i="1"/>
  <c r="HA34" i="1"/>
  <c r="HA35" i="1"/>
  <c r="HA36" i="1"/>
  <c r="HA37" i="1"/>
  <c r="HA38" i="1"/>
  <c r="HA39" i="1"/>
  <c r="HA40" i="1"/>
  <c r="HA41" i="1"/>
  <c r="HA42" i="1"/>
  <c r="HA43" i="1"/>
  <c r="HA44" i="1"/>
  <c r="HA45" i="1"/>
  <c r="HA46" i="1"/>
  <c r="HA47" i="1"/>
  <c r="HA48" i="1"/>
  <c r="HA49" i="1"/>
  <c r="HA50" i="1"/>
  <c r="HA51" i="1"/>
  <c r="HB7" i="1"/>
  <c r="HB8" i="1"/>
  <c r="HB9" i="1"/>
  <c r="HB10" i="1"/>
  <c r="HB11" i="1"/>
  <c r="HB12" i="1"/>
  <c r="HB13" i="1"/>
  <c r="HB14" i="1"/>
  <c r="HB15" i="1"/>
  <c r="HB16" i="1"/>
  <c r="HB17" i="1"/>
  <c r="HB18" i="1"/>
  <c r="HB19" i="1"/>
  <c r="HB20" i="1"/>
  <c r="HB21" i="1"/>
  <c r="HB22" i="1"/>
  <c r="HB23" i="1"/>
  <c r="HB24" i="1"/>
  <c r="HB25" i="1"/>
  <c r="HB26" i="1"/>
  <c r="HB27" i="1"/>
  <c r="HB28" i="1"/>
  <c r="HB29" i="1"/>
  <c r="HB30" i="1"/>
  <c r="HB31" i="1"/>
  <c r="HB32" i="1"/>
  <c r="HB33" i="1"/>
  <c r="HB34" i="1"/>
  <c r="HB35" i="1"/>
  <c r="HB36" i="1"/>
  <c r="HB37" i="1"/>
  <c r="HB38" i="1"/>
  <c r="HB39" i="1"/>
  <c r="HB40" i="1"/>
  <c r="HB41" i="1"/>
  <c r="HB42" i="1"/>
  <c r="HB43" i="1"/>
  <c r="HB44" i="1"/>
  <c r="HB45" i="1"/>
  <c r="HB46" i="1"/>
  <c r="HB47" i="1"/>
  <c r="HB48" i="1"/>
  <c r="HB49" i="1"/>
  <c r="HB50" i="1"/>
  <c r="HB51" i="1"/>
  <c r="HC7" i="1"/>
  <c r="HC8" i="1"/>
  <c r="HC9" i="1"/>
  <c r="HC10" i="1"/>
  <c r="HC11" i="1"/>
  <c r="HC12" i="1"/>
  <c r="HC13" i="1"/>
  <c r="HC14" i="1"/>
  <c r="HC15" i="1"/>
  <c r="HC16" i="1"/>
  <c r="HC17" i="1"/>
  <c r="HC18" i="1"/>
  <c r="HC19" i="1"/>
  <c r="HC20" i="1"/>
  <c r="HC21" i="1"/>
  <c r="HC22" i="1"/>
  <c r="HC23" i="1"/>
  <c r="HC24" i="1"/>
  <c r="HC25" i="1"/>
  <c r="HC26" i="1"/>
  <c r="HC27" i="1"/>
  <c r="HC28" i="1"/>
  <c r="HC29" i="1"/>
  <c r="HC30" i="1"/>
  <c r="HC31" i="1"/>
  <c r="HC32" i="1"/>
  <c r="HC33" i="1"/>
  <c r="HC34" i="1"/>
  <c r="HC35" i="1"/>
  <c r="HC36" i="1"/>
  <c r="HC37" i="1"/>
  <c r="HC38" i="1"/>
  <c r="HC39" i="1"/>
  <c r="HC40" i="1"/>
  <c r="HC41" i="1"/>
  <c r="HC42" i="1"/>
  <c r="HC43" i="1"/>
  <c r="HC44" i="1"/>
  <c r="HC45" i="1"/>
  <c r="HC46" i="1"/>
  <c r="HC47" i="1"/>
  <c r="HC48" i="1"/>
  <c r="HC49" i="1"/>
  <c r="HC50" i="1"/>
  <c r="HC51" i="1"/>
  <c r="HD7" i="1"/>
  <c r="HD8" i="1"/>
  <c r="HD9" i="1"/>
  <c r="HD10" i="1"/>
  <c r="HD11" i="1"/>
  <c r="HD12" i="1"/>
  <c r="HD13" i="1"/>
  <c r="HD14" i="1"/>
  <c r="HD15" i="1"/>
  <c r="HD16" i="1"/>
  <c r="HD17" i="1"/>
  <c r="HD18" i="1"/>
  <c r="HD19" i="1"/>
  <c r="HD20" i="1"/>
  <c r="HD21" i="1"/>
  <c r="HD22" i="1"/>
  <c r="HD23" i="1"/>
  <c r="HD24" i="1"/>
  <c r="HD25" i="1"/>
  <c r="HD26" i="1"/>
  <c r="HD27" i="1"/>
  <c r="HD28" i="1"/>
  <c r="HD29" i="1"/>
  <c r="HD30" i="1"/>
  <c r="HD31" i="1"/>
  <c r="HD32" i="1"/>
  <c r="HD33" i="1"/>
  <c r="HD34" i="1"/>
  <c r="HD35" i="1"/>
  <c r="HD36" i="1"/>
  <c r="HD37" i="1"/>
  <c r="HD38" i="1"/>
  <c r="HD39" i="1"/>
  <c r="HD40" i="1"/>
  <c r="HD41" i="1"/>
  <c r="HD42" i="1"/>
  <c r="HD43" i="1"/>
  <c r="HD44" i="1"/>
  <c r="HD45" i="1"/>
  <c r="HD46" i="1"/>
  <c r="HD47" i="1"/>
  <c r="HD48" i="1"/>
  <c r="HD49" i="1"/>
  <c r="HD50" i="1"/>
  <c r="HD51" i="1"/>
  <c r="HE7" i="1"/>
  <c r="HE8" i="1"/>
  <c r="HE9" i="1"/>
  <c r="HE10" i="1"/>
  <c r="HE11" i="1"/>
  <c r="HE12" i="1"/>
  <c r="HE13" i="1"/>
  <c r="HE14" i="1"/>
  <c r="HE15" i="1"/>
  <c r="HE16" i="1"/>
  <c r="HE17" i="1"/>
  <c r="HE18" i="1"/>
  <c r="HE19" i="1"/>
  <c r="HE20" i="1"/>
  <c r="HE21" i="1"/>
  <c r="HE22" i="1"/>
  <c r="HE23" i="1"/>
  <c r="HE24" i="1"/>
  <c r="HE25" i="1"/>
  <c r="HE26" i="1"/>
  <c r="HE27" i="1"/>
  <c r="HE28" i="1"/>
  <c r="HE29" i="1"/>
  <c r="HE30" i="1"/>
  <c r="HE31" i="1"/>
  <c r="HE32" i="1"/>
  <c r="HE33" i="1"/>
  <c r="HE34" i="1"/>
  <c r="HE35" i="1"/>
  <c r="HE36" i="1"/>
  <c r="HE37" i="1"/>
  <c r="HE38" i="1"/>
  <c r="HE39" i="1"/>
  <c r="HE40" i="1"/>
  <c r="HE41" i="1"/>
  <c r="HE42" i="1"/>
  <c r="HE43" i="1"/>
  <c r="HE44" i="1"/>
  <c r="HE45" i="1"/>
  <c r="HE46" i="1"/>
  <c r="HE47" i="1"/>
  <c r="HE48" i="1"/>
  <c r="HE49" i="1"/>
  <c r="HE50" i="1"/>
  <c r="HE51" i="1"/>
  <c r="HF7" i="1"/>
  <c r="HF8" i="1"/>
  <c r="HF9" i="1"/>
  <c r="HF10" i="1"/>
  <c r="HF11" i="1"/>
  <c r="HF12" i="1"/>
  <c r="HF13" i="1"/>
  <c r="HF14" i="1"/>
  <c r="HF15" i="1"/>
  <c r="HF16" i="1"/>
  <c r="HF17" i="1"/>
  <c r="HF18" i="1"/>
  <c r="HF19" i="1"/>
  <c r="HF20" i="1"/>
  <c r="HF21" i="1"/>
  <c r="HF22" i="1"/>
  <c r="HF23" i="1"/>
  <c r="HF24" i="1"/>
  <c r="HF25" i="1"/>
  <c r="HF26" i="1"/>
  <c r="HF27" i="1"/>
  <c r="HF28" i="1"/>
  <c r="HF29" i="1"/>
  <c r="HF30" i="1"/>
  <c r="HF31" i="1"/>
  <c r="HF32" i="1"/>
  <c r="HF33" i="1"/>
  <c r="HF34" i="1"/>
  <c r="HF35" i="1"/>
  <c r="HF36" i="1"/>
  <c r="HF37" i="1"/>
  <c r="HF38" i="1"/>
  <c r="HF39" i="1"/>
  <c r="HF40" i="1"/>
  <c r="HF41" i="1"/>
  <c r="HF42" i="1"/>
  <c r="HF43" i="1"/>
  <c r="HF44" i="1"/>
  <c r="HF45" i="1"/>
  <c r="HF46" i="1"/>
  <c r="HF47" i="1"/>
  <c r="HF48" i="1"/>
  <c r="HF49" i="1"/>
  <c r="HF50" i="1"/>
  <c r="HF51" i="1"/>
  <c r="HG7" i="1"/>
  <c r="HG8" i="1"/>
  <c r="HG9" i="1"/>
  <c r="HG10" i="1"/>
  <c r="HG11" i="1"/>
  <c r="HG12" i="1"/>
  <c r="HG13" i="1"/>
  <c r="HG14" i="1"/>
  <c r="HG15" i="1"/>
  <c r="HG16" i="1"/>
  <c r="HG17" i="1"/>
  <c r="HG18" i="1"/>
  <c r="HG19" i="1"/>
  <c r="HG20" i="1"/>
  <c r="HG21" i="1"/>
  <c r="HG22" i="1"/>
  <c r="HG23" i="1"/>
  <c r="HG24" i="1"/>
  <c r="HG25" i="1"/>
  <c r="HG26" i="1"/>
  <c r="HG27" i="1"/>
  <c r="HG28" i="1"/>
  <c r="HG29" i="1"/>
  <c r="HG30" i="1"/>
  <c r="HG31" i="1"/>
  <c r="HG32" i="1"/>
  <c r="HG33" i="1"/>
  <c r="HG34" i="1"/>
  <c r="HG35" i="1"/>
  <c r="HG36" i="1"/>
  <c r="HG37" i="1"/>
  <c r="HG38" i="1"/>
  <c r="HG39" i="1"/>
  <c r="HG40" i="1"/>
  <c r="HG41" i="1"/>
  <c r="HG42" i="1"/>
  <c r="HG43" i="1"/>
  <c r="HG44" i="1"/>
  <c r="HG45" i="1"/>
  <c r="HG46" i="1"/>
  <c r="HG47" i="1"/>
  <c r="HG48" i="1"/>
  <c r="HG49" i="1"/>
  <c r="HG50" i="1"/>
  <c r="HG51" i="1"/>
  <c r="GP7" i="1"/>
  <c r="GP8" i="1"/>
  <c r="GP9" i="1"/>
  <c r="GP10" i="1"/>
  <c r="GP11" i="1"/>
  <c r="GP12" i="1"/>
  <c r="GP13" i="1"/>
  <c r="GP14" i="1"/>
  <c r="GP15" i="1"/>
  <c r="GP16" i="1"/>
  <c r="GP17" i="1"/>
  <c r="GP18" i="1"/>
  <c r="GP19" i="1"/>
  <c r="GP20" i="1"/>
  <c r="GP21" i="1"/>
  <c r="GP22" i="1"/>
  <c r="GP23" i="1"/>
  <c r="GP24" i="1"/>
  <c r="GP25" i="1"/>
  <c r="GP26" i="1"/>
  <c r="GP27" i="1"/>
  <c r="GP28" i="1"/>
  <c r="GP29" i="1"/>
  <c r="GP30" i="1"/>
  <c r="GP31" i="1"/>
  <c r="GP32" i="1"/>
  <c r="GP33" i="1"/>
  <c r="GP34" i="1"/>
  <c r="GP35" i="1"/>
  <c r="GP36" i="1"/>
  <c r="GP37" i="1"/>
  <c r="GP38" i="1"/>
  <c r="GP39" i="1"/>
  <c r="GP40" i="1"/>
  <c r="GP41" i="1"/>
  <c r="GP42" i="1"/>
  <c r="GP43" i="1"/>
  <c r="GP44" i="1"/>
  <c r="GP45" i="1"/>
  <c r="GP46" i="1"/>
  <c r="GP47" i="1"/>
  <c r="GP48" i="1"/>
  <c r="GP49" i="1"/>
  <c r="GP50" i="1"/>
  <c r="GP51" i="1"/>
  <c r="GQ7" i="1"/>
  <c r="GQ8" i="1"/>
  <c r="GQ9" i="1"/>
  <c r="GQ10" i="1"/>
  <c r="GQ11" i="1"/>
  <c r="GQ12" i="1"/>
  <c r="GQ13" i="1"/>
  <c r="GQ14" i="1"/>
  <c r="GQ15" i="1"/>
  <c r="GQ16" i="1"/>
  <c r="GQ17" i="1"/>
  <c r="GQ18" i="1"/>
  <c r="GQ19" i="1"/>
  <c r="GQ20" i="1"/>
  <c r="GQ21" i="1"/>
  <c r="GQ22" i="1"/>
  <c r="GQ23" i="1"/>
  <c r="GQ24" i="1"/>
  <c r="GQ25" i="1"/>
  <c r="GQ26" i="1"/>
  <c r="GQ27" i="1"/>
  <c r="GQ28" i="1"/>
  <c r="GQ29" i="1"/>
  <c r="GQ30" i="1"/>
  <c r="GQ31" i="1"/>
  <c r="GQ32" i="1"/>
  <c r="GQ33" i="1"/>
  <c r="GQ34" i="1"/>
  <c r="GQ35" i="1"/>
  <c r="GQ36" i="1"/>
  <c r="GQ37" i="1"/>
  <c r="GQ38" i="1"/>
  <c r="GQ39" i="1"/>
  <c r="GQ40" i="1"/>
  <c r="GQ41" i="1"/>
  <c r="GQ42" i="1"/>
  <c r="GQ43" i="1"/>
  <c r="GQ44" i="1"/>
  <c r="GQ45" i="1"/>
  <c r="GQ46" i="1"/>
  <c r="GQ47" i="1"/>
  <c r="GQ48" i="1"/>
  <c r="GQ49" i="1"/>
  <c r="GQ50" i="1"/>
  <c r="GQ51" i="1"/>
  <c r="GR7" i="1"/>
  <c r="GR8" i="1"/>
  <c r="GR9" i="1"/>
  <c r="GR10" i="1"/>
  <c r="GR11" i="1"/>
  <c r="GR12" i="1"/>
  <c r="GR13" i="1"/>
  <c r="GR14" i="1"/>
  <c r="GR15" i="1"/>
  <c r="GR16" i="1"/>
  <c r="GR17" i="1"/>
  <c r="GR18" i="1"/>
  <c r="GR19" i="1"/>
  <c r="GR20" i="1"/>
  <c r="GR21" i="1"/>
  <c r="GR22" i="1"/>
  <c r="GR23" i="1"/>
  <c r="GR24" i="1"/>
  <c r="GR25" i="1"/>
  <c r="GR26" i="1"/>
  <c r="GR27" i="1"/>
  <c r="GR28" i="1"/>
  <c r="GR29" i="1"/>
  <c r="GR30" i="1"/>
  <c r="GR31" i="1"/>
  <c r="GR32" i="1"/>
  <c r="GR33" i="1"/>
  <c r="GR34" i="1"/>
  <c r="GR35" i="1"/>
  <c r="GR36" i="1"/>
  <c r="GR37" i="1"/>
  <c r="GR38" i="1"/>
  <c r="GR39" i="1"/>
  <c r="GR40" i="1"/>
  <c r="GR41" i="1"/>
  <c r="GR42" i="1"/>
  <c r="GR43" i="1"/>
  <c r="GR44" i="1"/>
  <c r="GR45" i="1"/>
  <c r="GR46" i="1"/>
  <c r="GR47" i="1"/>
  <c r="GR48" i="1"/>
  <c r="GR49" i="1"/>
  <c r="GR50" i="1"/>
  <c r="GR51" i="1"/>
  <c r="GS7" i="1"/>
  <c r="GS8" i="1"/>
  <c r="GS9" i="1"/>
  <c r="GS10" i="1"/>
  <c r="GS11" i="1"/>
  <c r="GS12" i="1"/>
  <c r="GS13" i="1"/>
  <c r="GS14" i="1"/>
  <c r="GS15" i="1"/>
  <c r="GS16" i="1"/>
  <c r="GS17" i="1"/>
  <c r="GS18" i="1"/>
  <c r="GS19" i="1"/>
  <c r="GS20" i="1"/>
  <c r="GS21" i="1"/>
  <c r="GS22" i="1"/>
  <c r="GS23" i="1"/>
  <c r="GS24" i="1"/>
  <c r="GS25" i="1"/>
  <c r="GS26" i="1"/>
  <c r="GS27" i="1"/>
  <c r="GS28" i="1"/>
  <c r="GS29" i="1"/>
  <c r="GS30" i="1"/>
  <c r="GS31" i="1"/>
  <c r="GS32" i="1"/>
  <c r="GS33" i="1"/>
  <c r="GS34" i="1"/>
  <c r="GS35" i="1"/>
  <c r="GS36" i="1"/>
  <c r="GS37" i="1"/>
  <c r="GS38" i="1"/>
  <c r="GS39" i="1"/>
  <c r="GS40" i="1"/>
  <c r="GS41" i="1"/>
  <c r="GS42" i="1"/>
  <c r="GS43" i="1"/>
  <c r="GS44" i="1"/>
  <c r="GS45" i="1"/>
  <c r="GS46" i="1"/>
  <c r="GS47" i="1"/>
  <c r="GS48" i="1"/>
  <c r="GS49" i="1"/>
  <c r="GS50" i="1"/>
  <c r="GS51" i="1"/>
  <c r="GT7" i="1"/>
  <c r="GT8" i="1"/>
  <c r="GT9" i="1"/>
  <c r="GT10" i="1"/>
  <c r="GT11" i="1"/>
  <c r="GT12" i="1"/>
  <c r="GT13" i="1"/>
  <c r="GT14" i="1"/>
  <c r="GT15" i="1"/>
  <c r="GT16" i="1"/>
  <c r="GT17" i="1"/>
  <c r="GT18" i="1"/>
  <c r="GT19" i="1"/>
  <c r="GT20" i="1"/>
  <c r="GT21" i="1"/>
  <c r="GT22" i="1"/>
  <c r="GT23" i="1"/>
  <c r="GT24" i="1"/>
  <c r="GT25" i="1"/>
  <c r="GT26" i="1"/>
  <c r="GT27" i="1"/>
  <c r="GT28" i="1"/>
  <c r="GT29" i="1"/>
  <c r="GT30" i="1"/>
  <c r="GT31" i="1"/>
  <c r="GT32" i="1"/>
  <c r="GT33" i="1"/>
  <c r="GT34" i="1"/>
  <c r="GT35" i="1"/>
  <c r="GT36" i="1"/>
  <c r="GT37" i="1"/>
  <c r="GT38" i="1"/>
  <c r="GT39" i="1"/>
  <c r="GT40" i="1"/>
  <c r="GT41" i="1"/>
  <c r="GT42" i="1"/>
  <c r="GT43" i="1"/>
  <c r="GT44" i="1"/>
  <c r="GT45" i="1"/>
  <c r="GT46" i="1"/>
  <c r="GT47" i="1"/>
  <c r="GT48" i="1"/>
  <c r="GT49" i="1"/>
  <c r="GT50" i="1"/>
  <c r="GT51" i="1"/>
  <c r="GU7" i="1"/>
  <c r="GU8" i="1"/>
  <c r="GU9" i="1"/>
  <c r="GU10" i="1"/>
  <c r="GU11" i="1"/>
  <c r="GU12" i="1"/>
  <c r="GU13" i="1"/>
  <c r="GU14" i="1"/>
  <c r="GU15" i="1"/>
  <c r="GU16" i="1"/>
  <c r="GU17" i="1"/>
  <c r="GU18" i="1"/>
  <c r="GU19" i="1"/>
  <c r="GU20" i="1"/>
  <c r="GU21" i="1"/>
  <c r="GU22" i="1"/>
  <c r="GU23" i="1"/>
  <c r="GU24" i="1"/>
  <c r="GU25" i="1"/>
  <c r="GU26" i="1"/>
  <c r="GU27" i="1"/>
  <c r="GU28" i="1"/>
  <c r="GU29" i="1"/>
  <c r="GU30" i="1"/>
  <c r="GU31" i="1"/>
  <c r="GU32" i="1"/>
  <c r="GU33" i="1"/>
  <c r="GU34" i="1"/>
  <c r="GU35" i="1"/>
  <c r="GU36" i="1"/>
  <c r="GU37" i="1"/>
  <c r="GU38" i="1"/>
  <c r="GU39" i="1"/>
  <c r="GU40" i="1"/>
  <c r="GU41" i="1"/>
  <c r="GU42" i="1"/>
  <c r="GU43" i="1"/>
  <c r="GU44" i="1"/>
  <c r="GU45" i="1"/>
  <c r="GU46" i="1"/>
  <c r="GU47" i="1"/>
  <c r="GU48" i="1"/>
  <c r="GU49" i="1"/>
  <c r="GU50" i="1"/>
  <c r="GU51" i="1"/>
  <c r="GV7" i="1"/>
  <c r="GV8" i="1"/>
  <c r="GV9" i="1"/>
  <c r="GV10" i="1"/>
  <c r="GV11" i="1"/>
  <c r="GV12" i="1"/>
  <c r="GV13" i="1"/>
  <c r="GV14" i="1"/>
  <c r="GV15" i="1"/>
  <c r="GV16" i="1"/>
  <c r="GV17" i="1"/>
  <c r="GV18" i="1"/>
  <c r="GV19" i="1"/>
  <c r="GV20" i="1"/>
  <c r="GV21" i="1"/>
  <c r="GV22" i="1"/>
  <c r="GV23" i="1"/>
  <c r="GV24" i="1"/>
  <c r="GV25" i="1"/>
  <c r="GV26" i="1"/>
  <c r="GV27" i="1"/>
  <c r="GV28" i="1"/>
  <c r="GV29" i="1"/>
  <c r="GV30" i="1"/>
  <c r="GV31" i="1"/>
  <c r="GV32" i="1"/>
  <c r="GV33" i="1"/>
  <c r="GV34" i="1"/>
  <c r="GV35" i="1"/>
  <c r="GV36" i="1"/>
  <c r="GV37" i="1"/>
  <c r="GV38" i="1"/>
  <c r="GV39" i="1"/>
  <c r="GV40" i="1"/>
  <c r="GV41" i="1"/>
  <c r="GV42" i="1"/>
  <c r="GV43" i="1"/>
  <c r="GV44" i="1"/>
  <c r="GV45" i="1"/>
  <c r="GV46" i="1"/>
  <c r="GV47" i="1"/>
  <c r="GV48" i="1"/>
  <c r="GV49" i="1"/>
  <c r="GV50" i="1"/>
  <c r="GV51" i="1"/>
  <c r="GW7" i="1"/>
  <c r="GW8" i="1"/>
  <c r="GW9" i="1"/>
  <c r="GW10" i="1"/>
  <c r="GW11" i="1"/>
  <c r="GW12" i="1"/>
  <c r="GW13" i="1"/>
  <c r="GW14" i="1"/>
  <c r="GW15" i="1"/>
  <c r="GW16" i="1"/>
  <c r="GW17" i="1"/>
  <c r="GW18" i="1"/>
  <c r="GW19" i="1"/>
  <c r="GW20" i="1"/>
  <c r="GW21" i="1"/>
  <c r="GW22" i="1"/>
  <c r="GW23" i="1"/>
  <c r="GW24" i="1"/>
  <c r="GW25" i="1"/>
  <c r="GW26" i="1"/>
  <c r="GW27" i="1"/>
  <c r="GW28" i="1"/>
  <c r="GW29" i="1"/>
  <c r="GW30" i="1"/>
  <c r="GW31" i="1"/>
  <c r="GW32" i="1"/>
  <c r="GW33" i="1"/>
  <c r="GW34" i="1"/>
  <c r="GW35" i="1"/>
  <c r="GW36" i="1"/>
  <c r="GW37" i="1"/>
  <c r="GW38" i="1"/>
  <c r="GW39" i="1"/>
  <c r="GW40" i="1"/>
  <c r="GW41" i="1"/>
  <c r="GW42" i="1"/>
  <c r="GW43" i="1"/>
  <c r="GW44" i="1"/>
  <c r="GW45" i="1"/>
  <c r="GW46" i="1"/>
  <c r="GW47" i="1"/>
  <c r="GW48" i="1"/>
  <c r="GW49" i="1"/>
  <c r="GW50" i="1"/>
  <c r="GW51" i="1"/>
  <c r="GO7" i="1"/>
  <c r="GO8" i="1"/>
  <c r="GO9" i="1"/>
  <c r="GO10" i="1"/>
  <c r="GO11" i="1"/>
  <c r="GO12" i="1"/>
  <c r="GO13" i="1"/>
  <c r="GO14" i="1"/>
  <c r="GO15" i="1"/>
  <c r="GO16" i="1"/>
  <c r="GO17" i="1"/>
  <c r="GO18" i="1"/>
  <c r="GO19" i="1"/>
  <c r="GO20" i="1"/>
  <c r="GO21" i="1"/>
  <c r="GO22" i="1"/>
  <c r="GO23" i="1"/>
  <c r="GO24" i="1"/>
  <c r="GO25" i="1"/>
  <c r="GO26" i="1"/>
  <c r="GO27" i="1"/>
  <c r="GO28" i="1"/>
  <c r="GO29" i="1"/>
  <c r="GO30" i="1"/>
  <c r="GO31" i="1"/>
  <c r="GO32" i="1"/>
  <c r="GO33" i="1"/>
  <c r="GO34" i="1"/>
  <c r="GO35" i="1"/>
  <c r="GO36" i="1"/>
  <c r="GO37" i="1"/>
  <c r="GO38" i="1"/>
  <c r="GO39" i="1"/>
  <c r="GO40" i="1"/>
  <c r="GO41" i="1"/>
  <c r="GO42" i="1"/>
  <c r="GO43" i="1"/>
  <c r="GO44" i="1"/>
  <c r="GO45" i="1"/>
  <c r="GO46" i="1"/>
  <c r="GO47" i="1"/>
  <c r="GO48" i="1"/>
  <c r="GO49" i="1"/>
  <c r="GO50" i="1"/>
  <c r="GO51" i="1"/>
  <c r="GE7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22" i="1"/>
  <c r="GE23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38" i="1"/>
  <c r="GE39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F7" i="1"/>
  <c r="GF8" i="1"/>
  <c r="GF9" i="1"/>
  <c r="GF10" i="1"/>
  <c r="GF11" i="1"/>
  <c r="GF12" i="1"/>
  <c r="GF13" i="1"/>
  <c r="GF14" i="1"/>
  <c r="GF15" i="1"/>
  <c r="GF16" i="1"/>
  <c r="GF17" i="1"/>
  <c r="GF18" i="1"/>
  <c r="GF19" i="1"/>
  <c r="GF20" i="1"/>
  <c r="GF21" i="1"/>
  <c r="GF22" i="1"/>
  <c r="GF23" i="1"/>
  <c r="GF24" i="1"/>
  <c r="GF25" i="1"/>
  <c r="GF26" i="1"/>
  <c r="GF27" i="1"/>
  <c r="GF28" i="1"/>
  <c r="GF29" i="1"/>
  <c r="GF30" i="1"/>
  <c r="GF31" i="1"/>
  <c r="GF32" i="1"/>
  <c r="GF33" i="1"/>
  <c r="GF34" i="1"/>
  <c r="GF35" i="1"/>
  <c r="GF36" i="1"/>
  <c r="GF37" i="1"/>
  <c r="GF38" i="1"/>
  <c r="GF39" i="1"/>
  <c r="GF40" i="1"/>
  <c r="GF41" i="1"/>
  <c r="GF42" i="1"/>
  <c r="GF43" i="1"/>
  <c r="GF44" i="1"/>
  <c r="GF45" i="1"/>
  <c r="GF46" i="1"/>
  <c r="GF47" i="1"/>
  <c r="GF48" i="1"/>
  <c r="GF49" i="1"/>
  <c r="GF50" i="1"/>
  <c r="GF51" i="1"/>
  <c r="GG7" i="1"/>
  <c r="GG8" i="1"/>
  <c r="GG9" i="1"/>
  <c r="GG10" i="1"/>
  <c r="GG11" i="1"/>
  <c r="GG12" i="1"/>
  <c r="GG13" i="1"/>
  <c r="GG14" i="1"/>
  <c r="GG15" i="1"/>
  <c r="GG16" i="1"/>
  <c r="GG17" i="1"/>
  <c r="GG18" i="1"/>
  <c r="GG19" i="1"/>
  <c r="GG20" i="1"/>
  <c r="GG21" i="1"/>
  <c r="GG22" i="1"/>
  <c r="GG23" i="1"/>
  <c r="GG24" i="1"/>
  <c r="GG25" i="1"/>
  <c r="GG26" i="1"/>
  <c r="GG27" i="1"/>
  <c r="GG28" i="1"/>
  <c r="GG29" i="1"/>
  <c r="GG30" i="1"/>
  <c r="GG31" i="1"/>
  <c r="GG32" i="1"/>
  <c r="GG33" i="1"/>
  <c r="GG34" i="1"/>
  <c r="GG35" i="1"/>
  <c r="GG36" i="1"/>
  <c r="GG37" i="1"/>
  <c r="GG38" i="1"/>
  <c r="GG39" i="1"/>
  <c r="GG40" i="1"/>
  <c r="GG41" i="1"/>
  <c r="GG42" i="1"/>
  <c r="GG43" i="1"/>
  <c r="GG44" i="1"/>
  <c r="GG45" i="1"/>
  <c r="GG46" i="1"/>
  <c r="GG47" i="1"/>
  <c r="GG48" i="1"/>
  <c r="GG49" i="1"/>
  <c r="GG50" i="1"/>
  <c r="GG51" i="1"/>
  <c r="GH7" i="1"/>
  <c r="GH8" i="1"/>
  <c r="GH9" i="1"/>
  <c r="GH10" i="1"/>
  <c r="GH11" i="1"/>
  <c r="GH12" i="1"/>
  <c r="GH13" i="1"/>
  <c r="GH14" i="1"/>
  <c r="GH15" i="1"/>
  <c r="GH16" i="1"/>
  <c r="GH17" i="1"/>
  <c r="GH18" i="1"/>
  <c r="GH19" i="1"/>
  <c r="GH20" i="1"/>
  <c r="GH21" i="1"/>
  <c r="GH22" i="1"/>
  <c r="GH23" i="1"/>
  <c r="GH24" i="1"/>
  <c r="GH25" i="1"/>
  <c r="GH26" i="1"/>
  <c r="GH27" i="1"/>
  <c r="GH28" i="1"/>
  <c r="GH29" i="1"/>
  <c r="GH30" i="1"/>
  <c r="GH31" i="1"/>
  <c r="GH32" i="1"/>
  <c r="GH33" i="1"/>
  <c r="GH34" i="1"/>
  <c r="GH35" i="1"/>
  <c r="GH36" i="1"/>
  <c r="GH37" i="1"/>
  <c r="GH38" i="1"/>
  <c r="GH39" i="1"/>
  <c r="GH40" i="1"/>
  <c r="GH41" i="1"/>
  <c r="GH42" i="1"/>
  <c r="GH43" i="1"/>
  <c r="GH44" i="1"/>
  <c r="GH45" i="1"/>
  <c r="GH46" i="1"/>
  <c r="GH47" i="1"/>
  <c r="GH48" i="1"/>
  <c r="GH49" i="1"/>
  <c r="GH50" i="1"/>
  <c r="GH51" i="1"/>
  <c r="GI7" i="1"/>
  <c r="GI8" i="1"/>
  <c r="GI9" i="1"/>
  <c r="GI10" i="1"/>
  <c r="GI11" i="1"/>
  <c r="GI12" i="1"/>
  <c r="GI13" i="1"/>
  <c r="GI14" i="1"/>
  <c r="GI15" i="1"/>
  <c r="GI16" i="1"/>
  <c r="GI17" i="1"/>
  <c r="GI18" i="1"/>
  <c r="GI19" i="1"/>
  <c r="GI20" i="1"/>
  <c r="GI21" i="1"/>
  <c r="GI22" i="1"/>
  <c r="GI23" i="1"/>
  <c r="GI24" i="1"/>
  <c r="GI25" i="1"/>
  <c r="GI26" i="1"/>
  <c r="GI27" i="1"/>
  <c r="GI28" i="1"/>
  <c r="GI29" i="1"/>
  <c r="GI30" i="1"/>
  <c r="GI31" i="1"/>
  <c r="GI32" i="1"/>
  <c r="GI33" i="1"/>
  <c r="GI34" i="1"/>
  <c r="GI35" i="1"/>
  <c r="GI36" i="1"/>
  <c r="GI37" i="1"/>
  <c r="GI38" i="1"/>
  <c r="GI39" i="1"/>
  <c r="GI40" i="1"/>
  <c r="GI41" i="1"/>
  <c r="GI42" i="1"/>
  <c r="GI43" i="1"/>
  <c r="GI44" i="1"/>
  <c r="GI45" i="1"/>
  <c r="GI46" i="1"/>
  <c r="GI47" i="1"/>
  <c r="GI48" i="1"/>
  <c r="GI49" i="1"/>
  <c r="GI50" i="1"/>
  <c r="GI51" i="1"/>
  <c r="GJ7" i="1"/>
  <c r="GJ8" i="1"/>
  <c r="GJ9" i="1"/>
  <c r="GJ10" i="1"/>
  <c r="GJ11" i="1"/>
  <c r="GJ12" i="1"/>
  <c r="GJ13" i="1"/>
  <c r="GJ14" i="1"/>
  <c r="GJ15" i="1"/>
  <c r="GJ16" i="1"/>
  <c r="GJ17" i="1"/>
  <c r="GJ18" i="1"/>
  <c r="GJ19" i="1"/>
  <c r="GJ20" i="1"/>
  <c r="GJ21" i="1"/>
  <c r="GJ22" i="1"/>
  <c r="GJ23" i="1"/>
  <c r="GJ24" i="1"/>
  <c r="GJ25" i="1"/>
  <c r="GJ26" i="1"/>
  <c r="GJ27" i="1"/>
  <c r="GJ28" i="1"/>
  <c r="GJ29" i="1"/>
  <c r="GJ30" i="1"/>
  <c r="GJ31" i="1"/>
  <c r="GJ32" i="1"/>
  <c r="GJ33" i="1"/>
  <c r="GJ34" i="1"/>
  <c r="GJ35" i="1"/>
  <c r="GJ36" i="1"/>
  <c r="GJ37" i="1"/>
  <c r="GJ38" i="1"/>
  <c r="GJ39" i="1"/>
  <c r="GJ40" i="1"/>
  <c r="GJ41" i="1"/>
  <c r="GJ42" i="1"/>
  <c r="GJ43" i="1"/>
  <c r="GJ44" i="1"/>
  <c r="GJ45" i="1"/>
  <c r="GJ46" i="1"/>
  <c r="GJ47" i="1"/>
  <c r="GJ48" i="1"/>
  <c r="GJ49" i="1"/>
  <c r="GJ50" i="1"/>
  <c r="GJ51" i="1"/>
  <c r="GK7" i="1"/>
  <c r="GK8" i="1"/>
  <c r="GK9" i="1"/>
  <c r="GK10" i="1"/>
  <c r="GK11" i="1"/>
  <c r="GK12" i="1"/>
  <c r="GK13" i="1"/>
  <c r="GK14" i="1"/>
  <c r="GK15" i="1"/>
  <c r="GK16" i="1"/>
  <c r="GK17" i="1"/>
  <c r="GK18" i="1"/>
  <c r="GK19" i="1"/>
  <c r="GK20" i="1"/>
  <c r="GK21" i="1"/>
  <c r="GK22" i="1"/>
  <c r="GK23" i="1"/>
  <c r="GK24" i="1"/>
  <c r="GK25" i="1"/>
  <c r="GK26" i="1"/>
  <c r="GK27" i="1"/>
  <c r="GK28" i="1"/>
  <c r="GK29" i="1"/>
  <c r="GK30" i="1"/>
  <c r="GK31" i="1"/>
  <c r="GK32" i="1"/>
  <c r="GK33" i="1"/>
  <c r="GK34" i="1"/>
  <c r="GK35" i="1"/>
  <c r="GK36" i="1"/>
  <c r="GK37" i="1"/>
  <c r="GK38" i="1"/>
  <c r="GK39" i="1"/>
  <c r="GK40" i="1"/>
  <c r="GK41" i="1"/>
  <c r="GK42" i="1"/>
  <c r="GK43" i="1"/>
  <c r="GK44" i="1"/>
  <c r="GK45" i="1"/>
  <c r="GK46" i="1"/>
  <c r="GK47" i="1"/>
  <c r="GK48" i="1"/>
  <c r="GK49" i="1"/>
  <c r="GK50" i="1"/>
  <c r="GK51" i="1"/>
  <c r="GL7" i="1"/>
  <c r="GL8" i="1"/>
  <c r="GL9" i="1"/>
  <c r="GL10" i="1"/>
  <c r="GL11" i="1"/>
  <c r="GL12" i="1"/>
  <c r="GL13" i="1"/>
  <c r="GL14" i="1"/>
  <c r="GL15" i="1"/>
  <c r="GL16" i="1"/>
  <c r="GL17" i="1"/>
  <c r="GL18" i="1"/>
  <c r="GL19" i="1"/>
  <c r="GL20" i="1"/>
  <c r="GL21" i="1"/>
  <c r="GL22" i="1"/>
  <c r="GL23" i="1"/>
  <c r="GL24" i="1"/>
  <c r="GL25" i="1"/>
  <c r="GL26" i="1"/>
  <c r="GL27" i="1"/>
  <c r="GL28" i="1"/>
  <c r="GL29" i="1"/>
  <c r="GL30" i="1"/>
  <c r="GL31" i="1"/>
  <c r="GL32" i="1"/>
  <c r="GL33" i="1"/>
  <c r="GL34" i="1"/>
  <c r="GL35" i="1"/>
  <c r="GL36" i="1"/>
  <c r="GL37" i="1"/>
  <c r="GL38" i="1"/>
  <c r="GL39" i="1"/>
  <c r="GL40" i="1"/>
  <c r="GL41" i="1"/>
  <c r="GL42" i="1"/>
  <c r="GL43" i="1"/>
  <c r="GL44" i="1"/>
  <c r="GL45" i="1"/>
  <c r="GL46" i="1"/>
  <c r="GL47" i="1"/>
  <c r="GL48" i="1"/>
  <c r="GL49" i="1"/>
  <c r="GL50" i="1"/>
  <c r="GL51" i="1"/>
  <c r="GM7" i="1"/>
  <c r="GM8" i="1"/>
  <c r="GM9" i="1"/>
  <c r="GM10" i="1"/>
  <c r="GM11" i="1"/>
  <c r="GM12" i="1"/>
  <c r="GM13" i="1"/>
  <c r="GM14" i="1"/>
  <c r="GM15" i="1"/>
  <c r="GM16" i="1"/>
  <c r="GM17" i="1"/>
  <c r="GM18" i="1"/>
  <c r="GM19" i="1"/>
  <c r="GM20" i="1"/>
  <c r="GM21" i="1"/>
  <c r="GM22" i="1"/>
  <c r="GM23" i="1"/>
  <c r="GM24" i="1"/>
  <c r="GM25" i="1"/>
  <c r="GM26" i="1"/>
  <c r="GM27" i="1"/>
  <c r="GM28" i="1"/>
  <c r="GM29" i="1"/>
  <c r="GM30" i="1"/>
  <c r="GM31" i="1"/>
  <c r="GM32" i="1"/>
  <c r="GM33" i="1"/>
  <c r="GM34" i="1"/>
  <c r="GM35" i="1"/>
  <c r="GM36" i="1"/>
  <c r="GM37" i="1"/>
  <c r="GM38" i="1"/>
  <c r="GM39" i="1"/>
  <c r="GM40" i="1"/>
  <c r="GM41" i="1"/>
  <c r="GM42" i="1"/>
  <c r="GM43" i="1"/>
  <c r="GM44" i="1"/>
  <c r="GM45" i="1"/>
  <c r="GM46" i="1"/>
  <c r="GM47" i="1"/>
  <c r="GM48" i="1"/>
  <c r="GM49" i="1"/>
  <c r="GM50" i="1"/>
  <c r="GM51" i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1" i="1"/>
  <c r="FV22" i="1"/>
  <c r="FV23" i="1"/>
  <c r="FV24" i="1"/>
  <c r="FV25" i="1"/>
  <c r="FV26" i="1"/>
  <c r="FV27" i="1"/>
  <c r="FV28" i="1"/>
  <c r="FV29" i="1"/>
  <c r="FV30" i="1"/>
  <c r="FV31" i="1"/>
  <c r="FV32" i="1"/>
  <c r="FV33" i="1"/>
  <c r="FV34" i="1"/>
  <c r="FV35" i="1"/>
  <c r="FV36" i="1"/>
  <c r="FV37" i="1"/>
  <c r="FV38" i="1"/>
  <c r="FV39" i="1"/>
  <c r="FV40" i="1"/>
  <c r="FV41" i="1"/>
  <c r="FV42" i="1"/>
  <c r="FV43" i="1"/>
  <c r="FV44" i="1"/>
  <c r="FV45" i="1"/>
  <c r="FV46" i="1"/>
  <c r="FV47" i="1"/>
  <c r="FV48" i="1"/>
  <c r="FV49" i="1"/>
  <c r="FV50" i="1"/>
  <c r="FV51" i="1"/>
  <c r="FW7" i="1"/>
  <c r="FW8" i="1"/>
  <c r="FW9" i="1"/>
  <c r="FW10" i="1"/>
  <c r="FW11" i="1"/>
  <c r="FW12" i="1"/>
  <c r="FW13" i="1"/>
  <c r="FW14" i="1"/>
  <c r="FW15" i="1"/>
  <c r="FW16" i="1"/>
  <c r="FW17" i="1"/>
  <c r="FW18" i="1"/>
  <c r="FW19" i="1"/>
  <c r="FW20" i="1"/>
  <c r="FW21" i="1"/>
  <c r="FW22" i="1"/>
  <c r="FW23" i="1"/>
  <c r="FW24" i="1"/>
  <c r="FW25" i="1"/>
  <c r="FW26" i="1"/>
  <c r="FW27" i="1"/>
  <c r="FW28" i="1"/>
  <c r="FW29" i="1"/>
  <c r="FW30" i="1"/>
  <c r="FW31" i="1"/>
  <c r="FW32" i="1"/>
  <c r="FW33" i="1"/>
  <c r="FW34" i="1"/>
  <c r="FW35" i="1"/>
  <c r="FW36" i="1"/>
  <c r="FW37" i="1"/>
  <c r="FW38" i="1"/>
  <c r="FW39" i="1"/>
  <c r="FW40" i="1"/>
  <c r="FW41" i="1"/>
  <c r="FW42" i="1"/>
  <c r="FW43" i="1"/>
  <c r="FW44" i="1"/>
  <c r="FW45" i="1"/>
  <c r="FW46" i="1"/>
  <c r="FW47" i="1"/>
  <c r="FW48" i="1"/>
  <c r="FW49" i="1"/>
  <c r="FW50" i="1"/>
  <c r="FW51" i="1"/>
  <c r="FX7" i="1"/>
  <c r="FX8" i="1"/>
  <c r="FX9" i="1"/>
  <c r="FX10" i="1"/>
  <c r="FX11" i="1"/>
  <c r="FX12" i="1"/>
  <c r="FX13" i="1"/>
  <c r="FX14" i="1"/>
  <c r="FX15" i="1"/>
  <c r="FX16" i="1"/>
  <c r="FX17" i="1"/>
  <c r="FX18" i="1"/>
  <c r="FX19" i="1"/>
  <c r="FX20" i="1"/>
  <c r="FX21" i="1"/>
  <c r="FX22" i="1"/>
  <c r="FX23" i="1"/>
  <c r="FX24" i="1"/>
  <c r="FX25" i="1"/>
  <c r="FX26" i="1"/>
  <c r="FX27" i="1"/>
  <c r="FX28" i="1"/>
  <c r="FX29" i="1"/>
  <c r="FX30" i="1"/>
  <c r="FX31" i="1"/>
  <c r="FX32" i="1"/>
  <c r="FX33" i="1"/>
  <c r="FX34" i="1"/>
  <c r="FX35" i="1"/>
  <c r="FX36" i="1"/>
  <c r="FX37" i="1"/>
  <c r="FX38" i="1"/>
  <c r="FX39" i="1"/>
  <c r="FX40" i="1"/>
  <c r="FX41" i="1"/>
  <c r="FX42" i="1"/>
  <c r="FX43" i="1"/>
  <c r="FX44" i="1"/>
  <c r="FX45" i="1"/>
  <c r="FX46" i="1"/>
  <c r="FX47" i="1"/>
  <c r="FX48" i="1"/>
  <c r="FX49" i="1"/>
  <c r="FX50" i="1"/>
  <c r="FX51" i="1"/>
  <c r="FY7" i="1"/>
  <c r="FY8" i="1"/>
  <c r="FY9" i="1"/>
  <c r="FY10" i="1"/>
  <c r="FY11" i="1"/>
  <c r="FY12" i="1"/>
  <c r="FY13" i="1"/>
  <c r="FY14" i="1"/>
  <c r="FY15" i="1"/>
  <c r="FY16" i="1"/>
  <c r="FY17" i="1"/>
  <c r="FY18" i="1"/>
  <c r="FY19" i="1"/>
  <c r="FY20" i="1"/>
  <c r="FY21" i="1"/>
  <c r="FY22" i="1"/>
  <c r="FY23" i="1"/>
  <c r="FY24" i="1"/>
  <c r="FY25" i="1"/>
  <c r="FY26" i="1"/>
  <c r="FY27" i="1"/>
  <c r="FY28" i="1"/>
  <c r="FY29" i="1"/>
  <c r="FY30" i="1"/>
  <c r="FY31" i="1"/>
  <c r="FY32" i="1"/>
  <c r="FY33" i="1"/>
  <c r="FY34" i="1"/>
  <c r="FY35" i="1"/>
  <c r="FY36" i="1"/>
  <c r="FY37" i="1"/>
  <c r="FY38" i="1"/>
  <c r="FY39" i="1"/>
  <c r="FY40" i="1"/>
  <c r="FY41" i="1"/>
  <c r="FY42" i="1"/>
  <c r="FY43" i="1"/>
  <c r="FY44" i="1"/>
  <c r="FY45" i="1"/>
  <c r="FY46" i="1"/>
  <c r="FY47" i="1"/>
  <c r="FY48" i="1"/>
  <c r="FY49" i="1"/>
  <c r="FY50" i="1"/>
  <c r="FY51" i="1"/>
  <c r="FZ7" i="1"/>
  <c r="FZ8" i="1"/>
  <c r="FZ9" i="1"/>
  <c r="FZ10" i="1"/>
  <c r="FZ11" i="1"/>
  <c r="FZ12" i="1"/>
  <c r="FZ13" i="1"/>
  <c r="FZ14" i="1"/>
  <c r="FZ15" i="1"/>
  <c r="FZ16" i="1"/>
  <c r="FZ17" i="1"/>
  <c r="FZ18" i="1"/>
  <c r="FZ19" i="1"/>
  <c r="FZ20" i="1"/>
  <c r="FZ21" i="1"/>
  <c r="FZ22" i="1"/>
  <c r="FZ23" i="1"/>
  <c r="FZ24" i="1"/>
  <c r="FZ25" i="1"/>
  <c r="FZ26" i="1"/>
  <c r="FZ27" i="1"/>
  <c r="FZ28" i="1"/>
  <c r="FZ29" i="1"/>
  <c r="FZ30" i="1"/>
  <c r="FZ31" i="1"/>
  <c r="FZ32" i="1"/>
  <c r="FZ33" i="1"/>
  <c r="FZ34" i="1"/>
  <c r="FZ35" i="1"/>
  <c r="FZ36" i="1"/>
  <c r="FZ37" i="1"/>
  <c r="FZ38" i="1"/>
  <c r="FZ39" i="1"/>
  <c r="FZ40" i="1"/>
  <c r="FZ41" i="1"/>
  <c r="FZ42" i="1"/>
  <c r="FZ43" i="1"/>
  <c r="FZ44" i="1"/>
  <c r="FZ45" i="1"/>
  <c r="FZ46" i="1"/>
  <c r="FZ47" i="1"/>
  <c r="FZ48" i="1"/>
  <c r="FZ49" i="1"/>
  <c r="FZ50" i="1"/>
  <c r="FZ51" i="1"/>
  <c r="GA7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22" i="1"/>
  <c r="GA23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38" i="1"/>
  <c r="GA39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B7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22" i="1"/>
  <c r="GB23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38" i="1"/>
  <c r="GB39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C7" i="1"/>
  <c r="GC8" i="1"/>
  <c r="GC9" i="1"/>
  <c r="GC10" i="1"/>
  <c r="GC11" i="1"/>
  <c r="GC12" i="1"/>
  <c r="GC13" i="1"/>
  <c r="GC14" i="1"/>
  <c r="GC15" i="1"/>
  <c r="GC16" i="1"/>
  <c r="GC17" i="1"/>
  <c r="GC18" i="1"/>
  <c r="GC19" i="1"/>
  <c r="GC20" i="1"/>
  <c r="GC21" i="1"/>
  <c r="GC22" i="1"/>
  <c r="GC23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38" i="1"/>
  <c r="GC39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FU7" i="1"/>
  <c r="FU8" i="1"/>
  <c r="FU9" i="1"/>
  <c r="FU10" i="1"/>
  <c r="FU11" i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K7" i="1"/>
  <c r="FK8" i="1"/>
  <c r="FK9" i="1"/>
  <c r="FK10" i="1"/>
  <c r="FK11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L7" i="1"/>
  <c r="FL8" i="1"/>
  <c r="FL9" i="1"/>
  <c r="FL10" i="1"/>
  <c r="FL11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M7" i="1"/>
  <c r="FM8" i="1"/>
  <c r="FM9" i="1"/>
  <c r="FM10" i="1"/>
  <c r="FM11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N7" i="1"/>
  <c r="FN8" i="1"/>
  <c r="FN9" i="1"/>
  <c r="FN10" i="1"/>
  <c r="FN11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O7" i="1"/>
  <c r="FO8" i="1"/>
  <c r="FO9" i="1"/>
  <c r="FO10" i="1"/>
  <c r="FO11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P7" i="1"/>
  <c r="FP8" i="1"/>
  <c r="FP9" i="1"/>
  <c r="FP10" i="1"/>
  <c r="FP11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Q7" i="1"/>
  <c r="FQ8" i="1"/>
  <c r="FQ9" i="1"/>
  <c r="FQ10" i="1"/>
  <c r="FQ11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R7" i="1"/>
  <c r="FR8" i="1"/>
  <c r="FR9" i="1"/>
  <c r="FR10" i="1"/>
  <c r="FR11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S7" i="1"/>
  <c r="FS8" i="1"/>
  <c r="FS9" i="1"/>
  <c r="FS10" i="1"/>
  <c r="FS11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B7" i="1"/>
  <c r="FB8" i="1"/>
  <c r="FB9" i="1"/>
  <c r="FB10" i="1"/>
  <c r="FB11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C7" i="1"/>
  <c r="FC8" i="1"/>
  <c r="FC9" i="1"/>
  <c r="FC10" i="1"/>
  <c r="FC11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D7" i="1"/>
  <c r="FD8" i="1"/>
  <c r="FD9" i="1"/>
  <c r="FD10" i="1"/>
  <c r="FD11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E7" i="1"/>
  <c r="FE8" i="1"/>
  <c r="FE9" i="1"/>
  <c r="FE10" i="1"/>
  <c r="FE11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F7" i="1"/>
  <c r="FF8" i="1"/>
  <c r="FF9" i="1"/>
  <c r="FF10" i="1"/>
  <c r="FF11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G7" i="1"/>
  <c r="FG8" i="1"/>
  <c r="FG9" i="1"/>
  <c r="FG10" i="1"/>
  <c r="FG11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H7" i="1"/>
  <c r="FH8" i="1"/>
  <c r="FH9" i="1"/>
  <c r="FH10" i="1"/>
  <c r="FH11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I7" i="1"/>
  <c r="FI8" i="1"/>
  <c r="FI9" i="1"/>
  <c r="FI10" i="1"/>
  <c r="FI11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A7" i="1"/>
  <c r="FA8" i="1"/>
  <c r="FA9" i="1"/>
  <c r="FA10" i="1"/>
  <c r="FA11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EQ7" i="1"/>
  <c r="EQ8" i="1"/>
  <c r="EQ9" i="1"/>
  <c r="EQ10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R7" i="1"/>
  <c r="ER8" i="1"/>
  <c r="ER9" i="1"/>
  <c r="ER10" i="1"/>
  <c r="ER11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S7" i="1"/>
  <c r="ES8" i="1"/>
  <c r="ES9" i="1"/>
  <c r="ES10" i="1"/>
  <c r="ES11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U7" i="1"/>
  <c r="EU8" i="1"/>
  <c r="EU9" i="1"/>
  <c r="EU10" i="1"/>
  <c r="EU11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V7" i="1"/>
  <c r="EV8" i="1"/>
  <c r="EV9" i="1"/>
  <c r="EV10" i="1"/>
  <c r="EV11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W7" i="1"/>
  <c r="EW8" i="1"/>
  <c r="EW9" i="1"/>
  <c r="EW10" i="1"/>
  <c r="EW11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X7" i="1"/>
  <c r="EX8" i="1"/>
  <c r="EX9" i="1"/>
  <c r="EX10" i="1"/>
  <c r="EX11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Y7" i="1"/>
  <c r="EY8" i="1"/>
  <c r="EY9" i="1"/>
  <c r="EY10" i="1"/>
  <c r="EY11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H7" i="1"/>
  <c r="EH8" i="1"/>
  <c r="EH9" i="1"/>
  <c r="EH10" i="1"/>
  <c r="EH11" i="1"/>
  <c r="EH12" i="1"/>
  <c r="EH13" i="1"/>
  <c r="EH14" i="1"/>
  <c r="EH15" i="1"/>
  <c r="EH16" i="1"/>
  <c r="EH17" i="1"/>
  <c r="EH18" i="1"/>
  <c r="EH19" i="1"/>
  <c r="EH20" i="1"/>
  <c r="EH21" i="1"/>
  <c r="EH22" i="1"/>
  <c r="EH23" i="1"/>
  <c r="EH24" i="1"/>
  <c r="EH25" i="1"/>
  <c r="EH26" i="1"/>
  <c r="EH27" i="1"/>
  <c r="EH28" i="1"/>
  <c r="EH29" i="1"/>
  <c r="EH30" i="1"/>
  <c r="EH31" i="1"/>
  <c r="EH32" i="1"/>
  <c r="EH33" i="1"/>
  <c r="EH34" i="1"/>
  <c r="EH35" i="1"/>
  <c r="EH36" i="1"/>
  <c r="EH37" i="1"/>
  <c r="EH38" i="1"/>
  <c r="EH39" i="1"/>
  <c r="EH40" i="1"/>
  <c r="EH41" i="1"/>
  <c r="EH42" i="1"/>
  <c r="EH43" i="1"/>
  <c r="EH44" i="1"/>
  <c r="EH45" i="1"/>
  <c r="EH46" i="1"/>
  <c r="EH47" i="1"/>
  <c r="EH48" i="1"/>
  <c r="EH49" i="1"/>
  <c r="EH50" i="1"/>
  <c r="EH51" i="1"/>
  <c r="EI7" i="1"/>
  <c r="EI8" i="1"/>
  <c r="EI9" i="1"/>
  <c r="EI10" i="1"/>
  <c r="EI11" i="1"/>
  <c r="EI12" i="1"/>
  <c r="EI13" i="1"/>
  <c r="EI14" i="1"/>
  <c r="EI15" i="1"/>
  <c r="EI16" i="1"/>
  <c r="EI17" i="1"/>
  <c r="EI18" i="1"/>
  <c r="EI19" i="1"/>
  <c r="EI20" i="1"/>
  <c r="EI21" i="1"/>
  <c r="EI22" i="1"/>
  <c r="EI23" i="1"/>
  <c r="EI24" i="1"/>
  <c r="EI25" i="1"/>
  <c r="EI26" i="1"/>
  <c r="EI27" i="1"/>
  <c r="EI28" i="1"/>
  <c r="EI29" i="1"/>
  <c r="EI30" i="1"/>
  <c r="EI31" i="1"/>
  <c r="EI32" i="1"/>
  <c r="EI33" i="1"/>
  <c r="EI34" i="1"/>
  <c r="EI35" i="1"/>
  <c r="EI36" i="1"/>
  <c r="EI37" i="1"/>
  <c r="EI38" i="1"/>
  <c r="EI39" i="1"/>
  <c r="EI40" i="1"/>
  <c r="EI41" i="1"/>
  <c r="EI42" i="1"/>
  <c r="EI43" i="1"/>
  <c r="EI44" i="1"/>
  <c r="EI45" i="1"/>
  <c r="EI46" i="1"/>
  <c r="EI47" i="1"/>
  <c r="EI48" i="1"/>
  <c r="EI49" i="1"/>
  <c r="EI50" i="1"/>
  <c r="EI51" i="1"/>
  <c r="EJ7" i="1"/>
  <c r="EJ8" i="1"/>
  <c r="EJ9" i="1"/>
  <c r="EJ10" i="1"/>
  <c r="EJ11" i="1"/>
  <c r="EJ12" i="1"/>
  <c r="EJ13" i="1"/>
  <c r="EJ14" i="1"/>
  <c r="EJ15" i="1"/>
  <c r="EJ16" i="1"/>
  <c r="EJ17" i="1"/>
  <c r="EJ18" i="1"/>
  <c r="EJ19" i="1"/>
  <c r="EJ20" i="1"/>
  <c r="EJ21" i="1"/>
  <c r="EJ22" i="1"/>
  <c r="EJ23" i="1"/>
  <c r="EJ24" i="1"/>
  <c r="EJ25" i="1"/>
  <c r="EJ26" i="1"/>
  <c r="EJ27" i="1"/>
  <c r="EJ28" i="1"/>
  <c r="EJ29" i="1"/>
  <c r="EJ30" i="1"/>
  <c r="EJ31" i="1"/>
  <c r="EJ32" i="1"/>
  <c r="EJ33" i="1"/>
  <c r="EJ34" i="1"/>
  <c r="EJ35" i="1"/>
  <c r="EJ36" i="1"/>
  <c r="EJ37" i="1"/>
  <c r="EJ38" i="1"/>
  <c r="EJ39" i="1"/>
  <c r="EJ40" i="1"/>
  <c r="EJ41" i="1"/>
  <c r="EJ42" i="1"/>
  <c r="EJ43" i="1"/>
  <c r="EJ44" i="1"/>
  <c r="EJ45" i="1"/>
  <c r="EJ46" i="1"/>
  <c r="EJ47" i="1"/>
  <c r="EJ48" i="1"/>
  <c r="EJ49" i="1"/>
  <c r="EJ50" i="1"/>
  <c r="EJ51" i="1"/>
  <c r="EK7" i="1"/>
  <c r="EK8" i="1"/>
  <c r="EK9" i="1"/>
  <c r="EK10" i="1"/>
  <c r="EK11" i="1"/>
  <c r="EK12" i="1"/>
  <c r="EK13" i="1"/>
  <c r="EK14" i="1"/>
  <c r="EK15" i="1"/>
  <c r="EK16" i="1"/>
  <c r="EK17" i="1"/>
  <c r="EK18" i="1"/>
  <c r="EK19" i="1"/>
  <c r="EK20" i="1"/>
  <c r="EK21" i="1"/>
  <c r="EK22" i="1"/>
  <c r="EK23" i="1"/>
  <c r="EK24" i="1"/>
  <c r="EK25" i="1"/>
  <c r="EK26" i="1"/>
  <c r="EK27" i="1"/>
  <c r="EK28" i="1"/>
  <c r="EK29" i="1"/>
  <c r="EK30" i="1"/>
  <c r="EK31" i="1"/>
  <c r="EK32" i="1"/>
  <c r="EK33" i="1"/>
  <c r="EK34" i="1"/>
  <c r="EK35" i="1"/>
  <c r="EK36" i="1"/>
  <c r="EK37" i="1"/>
  <c r="EK38" i="1"/>
  <c r="EK39" i="1"/>
  <c r="EK40" i="1"/>
  <c r="EK41" i="1"/>
  <c r="EK42" i="1"/>
  <c r="EK43" i="1"/>
  <c r="EK44" i="1"/>
  <c r="EK45" i="1"/>
  <c r="EK46" i="1"/>
  <c r="EK47" i="1"/>
  <c r="EK48" i="1"/>
  <c r="EK49" i="1"/>
  <c r="EK50" i="1"/>
  <c r="EK51" i="1"/>
  <c r="EL7" i="1"/>
  <c r="EL8" i="1"/>
  <c r="EL9" i="1"/>
  <c r="EL10" i="1"/>
  <c r="EL11" i="1"/>
  <c r="EL12" i="1"/>
  <c r="EL13" i="1"/>
  <c r="EL14" i="1"/>
  <c r="EL15" i="1"/>
  <c r="EL16" i="1"/>
  <c r="EL17" i="1"/>
  <c r="EL18" i="1"/>
  <c r="EL19" i="1"/>
  <c r="EL20" i="1"/>
  <c r="EL21" i="1"/>
  <c r="EL22" i="1"/>
  <c r="EL23" i="1"/>
  <c r="EL24" i="1"/>
  <c r="EL25" i="1"/>
  <c r="EL26" i="1"/>
  <c r="EL27" i="1"/>
  <c r="EL28" i="1"/>
  <c r="EL29" i="1"/>
  <c r="EL30" i="1"/>
  <c r="EL31" i="1"/>
  <c r="EL32" i="1"/>
  <c r="EL33" i="1"/>
  <c r="EL34" i="1"/>
  <c r="EL35" i="1"/>
  <c r="EL36" i="1"/>
  <c r="EL37" i="1"/>
  <c r="EL38" i="1"/>
  <c r="EL39" i="1"/>
  <c r="EL40" i="1"/>
  <c r="EL41" i="1"/>
  <c r="EL42" i="1"/>
  <c r="EL43" i="1"/>
  <c r="EL44" i="1"/>
  <c r="EL45" i="1"/>
  <c r="EL46" i="1"/>
  <c r="EL47" i="1"/>
  <c r="EL48" i="1"/>
  <c r="EL49" i="1"/>
  <c r="EL50" i="1"/>
  <c r="EL51" i="1"/>
  <c r="EM7" i="1"/>
  <c r="EM8" i="1"/>
  <c r="EM9" i="1"/>
  <c r="EM10" i="1"/>
  <c r="EM11" i="1"/>
  <c r="EM12" i="1"/>
  <c r="EM13" i="1"/>
  <c r="EM14" i="1"/>
  <c r="EM15" i="1"/>
  <c r="EM16" i="1"/>
  <c r="EM17" i="1"/>
  <c r="EM18" i="1"/>
  <c r="EM19" i="1"/>
  <c r="EM20" i="1"/>
  <c r="EM21" i="1"/>
  <c r="EM22" i="1"/>
  <c r="EM23" i="1"/>
  <c r="EM24" i="1"/>
  <c r="EM25" i="1"/>
  <c r="EM26" i="1"/>
  <c r="EM27" i="1"/>
  <c r="EM28" i="1"/>
  <c r="EM29" i="1"/>
  <c r="EM30" i="1"/>
  <c r="EM31" i="1"/>
  <c r="EM32" i="1"/>
  <c r="EM33" i="1"/>
  <c r="EM34" i="1"/>
  <c r="EM35" i="1"/>
  <c r="EM36" i="1"/>
  <c r="EM37" i="1"/>
  <c r="EM38" i="1"/>
  <c r="EM39" i="1"/>
  <c r="EM40" i="1"/>
  <c r="EM41" i="1"/>
  <c r="EM42" i="1"/>
  <c r="EM43" i="1"/>
  <c r="EM44" i="1"/>
  <c r="EM45" i="1"/>
  <c r="EM46" i="1"/>
  <c r="EM47" i="1"/>
  <c r="EM48" i="1"/>
  <c r="EM49" i="1"/>
  <c r="EM50" i="1"/>
  <c r="EM51" i="1"/>
  <c r="EN7" i="1"/>
  <c r="EN8" i="1"/>
  <c r="EN9" i="1"/>
  <c r="EN10" i="1"/>
  <c r="EN11" i="1"/>
  <c r="EN12" i="1"/>
  <c r="EN13" i="1"/>
  <c r="EN14" i="1"/>
  <c r="EN15" i="1"/>
  <c r="EN16" i="1"/>
  <c r="EN17" i="1"/>
  <c r="EN18" i="1"/>
  <c r="EN19" i="1"/>
  <c r="EN20" i="1"/>
  <c r="EN21" i="1"/>
  <c r="EN22" i="1"/>
  <c r="EN23" i="1"/>
  <c r="EN24" i="1"/>
  <c r="EN25" i="1"/>
  <c r="EN26" i="1"/>
  <c r="EN27" i="1"/>
  <c r="EN28" i="1"/>
  <c r="EN29" i="1"/>
  <c r="EN30" i="1"/>
  <c r="EN31" i="1"/>
  <c r="EN32" i="1"/>
  <c r="EN33" i="1"/>
  <c r="EN34" i="1"/>
  <c r="EN35" i="1"/>
  <c r="EN36" i="1"/>
  <c r="EN37" i="1"/>
  <c r="EN38" i="1"/>
  <c r="EN39" i="1"/>
  <c r="EN40" i="1"/>
  <c r="EN41" i="1"/>
  <c r="EN42" i="1"/>
  <c r="EN43" i="1"/>
  <c r="EN44" i="1"/>
  <c r="EN45" i="1"/>
  <c r="EN46" i="1"/>
  <c r="EN47" i="1"/>
  <c r="EN48" i="1"/>
  <c r="EN49" i="1"/>
  <c r="EN50" i="1"/>
  <c r="EN51" i="1"/>
  <c r="EO7" i="1"/>
  <c r="EO8" i="1"/>
  <c r="EO9" i="1"/>
  <c r="EO1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G7" i="1"/>
  <c r="EG8" i="1"/>
  <c r="EG9" i="1"/>
  <c r="EG10" i="1"/>
  <c r="EG11" i="1"/>
  <c r="EG12" i="1"/>
  <c r="EG13" i="1"/>
  <c r="EG14" i="1"/>
  <c r="EG15" i="1"/>
  <c r="EG16" i="1"/>
  <c r="EG17" i="1"/>
  <c r="EG18" i="1"/>
  <c r="EG19" i="1"/>
  <c r="EG20" i="1"/>
  <c r="EG21" i="1"/>
  <c r="EG22" i="1"/>
  <c r="EG23" i="1"/>
  <c r="EG24" i="1"/>
  <c r="EG25" i="1"/>
  <c r="EG26" i="1"/>
  <c r="EG27" i="1"/>
  <c r="EG28" i="1"/>
  <c r="EG29" i="1"/>
  <c r="EG30" i="1"/>
  <c r="EG31" i="1"/>
  <c r="EG32" i="1"/>
  <c r="EG33" i="1"/>
  <c r="EG34" i="1"/>
  <c r="EG35" i="1"/>
  <c r="EG36" i="1"/>
  <c r="EG37" i="1"/>
  <c r="EG38" i="1"/>
  <c r="EG39" i="1"/>
  <c r="EG40" i="1"/>
  <c r="EG41" i="1"/>
  <c r="EG42" i="1"/>
  <c r="EG43" i="1"/>
  <c r="EG44" i="1"/>
  <c r="EG45" i="1"/>
  <c r="EG46" i="1"/>
  <c r="EG47" i="1"/>
  <c r="EG48" i="1"/>
  <c r="EG49" i="1"/>
  <c r="EG50" i="1"/>
  <c r="EG51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K13" i="3"/>
  <c r="U13" i="3"/>
  <c r="V13" i="3"/>
  <c r="K11" i="3"/>
  <c r="U11" i="3"/>
  <c r="V11" i="3"/>
  <c r="K8" i="3"/>
  <c r="U8" i="3"/>
  <c r="V8" i="3"/>
  <c r="K6" i="3"/>
  <c r="U6" i="3"/>
  <c r="V6" i="3"/>
  <c r="K5" i="3"/>
  <c r="U5" i="3"/>
  <c r="V5" i="3"/>
  <c r="K4" i="3"/>
  <c r="U4" i="3"/>
  <c r="V4" i="3"/>
  <c r="K3" i="3"/>
  <c r="U3" i="3"/>
  <c r="V3" i="3"/>
</calcChain>
</file>

<file path=xl/connections.xml><?xml version="1.0" encoding="utf-8"?>
<connections xmlns="http://schemas.openxmlformats.org/spreadsheetml/2006/main">
  <connection id="1" name="export.csv" type="6" refreshedVersion="0" background="1" saveData="1">
    <textPr fileType="mac" sourceFile="Macintosh HD:Users:kevin:Desktop:export.csv" space="1" comma="1" consecutive="1">
      <textFields count="8">
        <textField/>
        <textField/>
        <textField/>
        <textField/>
        <textField/>
        <textField/>
        <textField/>
        <textField/>
      </textFields>
    </textPr>
  </connection>
  <connection id="2" name="export.csv1" type="6" refreshedVersion="0" background="1" saveData="1">
    <textPr fileType="mac" sourceFile="Macintosh HD:Users:kevin:Downloads:export.csv" comma="1">
      <textFields count="6">
        <textField/>
        <textField/>
        <textField/>
        <textField/>
        <textField/>
        <textField/>
      </textFields>
    </textPr>
  </connection>
  <connection id="3" name="export.csv2" type="6" refreshedVersion="0" background="1" saveData="1">
    <textPr fileType="mac" sourceFile="Macintosh HD:Users:kevin:Downloads:export.csv" comma="1">
      <textFields count="6">
        <textField/>
        <textField type="skip"/>
        <textField/>
        <textField type="skip"/>
        <textField/>
        <textField type="skip"/>
      </textFields>
    </textPr>
  </connection>
  <connection id="4" name="export-2.csv" type="6" refreshedVersion="0" background="1" saveData="1">
    <textPr fileType="mac" sourceFile="Macintosh HD:Users:kevin:Downloads:export-2.csv" comma="1">
      <textFields count="6">
        <textField/>
        <textField/>
        <textField/>
        <textField/>
        <textField/>
        <textField/>
      </textFields>
    </textPr>
  </connection>
  <connection id="5" name="export-2.csv1" type="6" refreshedVersion="0" background="1" saveData="1">
    <textPr fileType="mac" sourceFile="Macintosh HD:Users:kevin:Downloads:export-2.csv" comma="1">
      <textFields count="6">
        <textField/>
        <textField type="skip"/>
        <textField/>
        <textField type="skip"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<sst xmlns="http://schemas.openxmlformats.org/spreadsheetml/2006/main" count="762" uniqueCount="479">
  <si>
    <t>FRONT</t>
  </si>
  <si>
    <t>BACK</t>
  </si>
  <si>
    <t>TOTAL</t>
  </si>
  <si>
    <t>HANDICAP</t>
  </si>
  <si>
    <t>PAR</t>
  </si>
  <si>
    <t>BLUE</t>
  </si>
  <si>
    <t>WHITE</t>
  </si>
  <si>
    <t>Tournament</t>
  </si>
  <si>
    <t>Flight</t>
  </si>
  <si>
    <t>SLOPE</t>
  </si>
  <si>
    <t>BLACK</t>
  </si>
  <si>
    <t>GOLD</t>
  </si>
  <si>
    <t>RED</t>
  </si>
  <si>
    <t>Powered</t>
  </si>
  <si>
    <t>by</t>
  </si>
  <si>
    <t>BlueGolf</t>
  </si>
  <si>
    <t>FULL NAME IMPORTED</t>
  </si>
  <si>
    <t>Anderson, Fred</t>
  </si>
  <si>
    <t>Barron, Jim</t>
  </si>
  <si>
    <t>Bowman, Steve</t>
  </si>
  <si>
    <t>Breitzman, Don</t>
  </si>
  <si>
    <t>Brust, Kathy</t>
  </si>
  <si>
    <t>Brust, Vern</t>
  </si>
  <si>
    <t>Buckwheat, Kathy</t>
  </si>
  <si>
    <t>Burns, Brent</t>
  </si>
  <si>
    <t>Crotteau, Bruce</t>
  </si>
  <si>
    <t>Crotteau, Steve</t>
  </si>
  <si>
    <t>Cuskey, Dan</t>
  </si>
  <si>
    <t>Cuskey, Don Jr.</t>
  </si>
  <si>
    <t>Cuskey, Mary</t>
  </si>
  <si>
    <t>Decorah, Pat</t>
  </si>
  <si>
    <t>DeGidio, Dennis</t>
  </si>
  <si>
    <t>Derousseau, Jason</t>
  </si>
  <si>
    <t>Emerson, Travis</t>
  </si>
  <si>
    <t>Franson, Michael</t>
  </si>
  <si>
    <t>Golden, Spencer</t>
  </si>
  <si>
    <t>Haley, Vicky</t>
  </si>
  <si>
    <t>Hauck, Casey</t>
  </si>
  <si>
    <t>Havenor, Pat</t>
  </si>
  <si>
    <t>Holmquist, Rock</t>
  </si>
  <si>
    <t>Hostetler, Steve</t>
  </si>
  <si>
    <t>Hostettler, Dale</t>
  </si>
  <si>
    <t>Houghton, Laurie</t>
  </si>
  <si>
    <t>Jenneman, Elliott</t>
  </si>
  <si>
    <t>Jensen, Dane</t>
  </si>
  <si>
    <t>Jerman, Kyle</t>
  </si>
  <si>
    <t>Johnson, Barb</t>
  </si>
  <si>
    <t>Johnson, Dave</t>
  </si>
  <si>
    <t>Johnson, Mark Jr.</t>
  </si>
  <si>
    <t>Johnson, Mark Sr.</t>
  </si>
  <si>
    <t>Johnson, Terry</t>
  </si>
  <si>
    <t>Knutson, Janet</t>
  </si>
  <si>
    <t>Kolb, Kevin</t>
  </si>
  <si>
    <t>Koser, Taylor</t>
  </si>
  <si>
    <t>Koser, Tom</t>
  </si>
  <si>
    <t>Krautkramer, Randy</t>
  </si>
  <si>
    <t>Lawler, Dan</t>
  </si>
  <si>
    <t>Lawler, Danielle</t>
  </si>
  <si>
    <t>Leuthner, Dennis</t>
  </si>
  <si>
    <t>Marsh, Aaron</t>
  </si>
  <si>
    <t>Mickelson, Ross</t>
  </si>
  <si>
    <t>Mortensen, Cheryl</t>
  </si>
  <si>
    <t>Neuser, Peter</t>
  </si>
  <si>
    <t>Popoff, Kyril</t>
  </si>
  <si>
    <t>Resnick, Aaron</t>
  </si>
  <si>
    <t>Resnick, Ben</t>
  </si>
  <si>
    <t>Roberg, Roy</t>
  </si>
  <si>
    <t>Rowe, Bob</t>
  </si>
  <si>
    <t>Rowe, Diane</t>
  </si>
  <si>
    <t>Scharf, Aaron</t>
  </si>
  <si>
    <t>Schwanke, Butch</t>
  </si>
  <si>
    <t>Sevals, Jim</t>
  </si>
  <si>
    <t>Sevals, Steve</t>
  </si>
  <si>
    <t>Severud, Todd</t>
  </si>
  <si>
    <t>Skar, Brian</t>
  </si>
  <si>
    <t>Sundbakken, Bob</t>
  </si>
  <si>
    <t>Swoboda, Steve</t>
  </si>
  <si>
    <t>Taylor, David</t>
  </si>
  <si>
    <t>Terrell, John</t>
  </si>
  <si>
    <t>Thomas, Dave</t>
  </si>
  <si>
    <t>Thomas, Quinlan</t>
  </si>
  <si>
    <t>Tripp, Larry</t>
  </si>
  <si>
    <t>Upham, Dan</t>
  </si>
  <si>
    <t>Vine, Paul</t>
  </si>
  <si>
    <t>Zadra, Craig</t>
  </si>
  <si>
    <t>Title
(2)</t>
  </si>
  <si>
    <t>First Name
(3)</t>
  </si>
  <si>
    <t>MI
(4)</t>
  </si>
  <si>
    <t>Nick Name
(5)</t>
  </si>
  <si>
    <t>Last Name
(6)</t>
  </si>
  <si>
    <t>Suffix
(7)</t>
  </si>
  <si>
    <t>FULL PLAYER NAME
(8)</t>
  </si>
  <si>
    <t>CLUB NAME</t>
  </si>
  <si>
    <t>Turtleback</t>
  </si>
  <si>
    <t>Hayward GC</t>
  </si>
  <si>
    <t>Spooner GC</t>
  </si>
  <si>
    <t>Voyager Village</t>
  </si>
  <si>
    <t>Male</t>
  </si>
  <si>
    <t>Female</t>
  </si>
  <si>
    <t>Male
(9)</t>
  </si>
  <si>
    <t>Club
(10)</t>
  </si>
  <si>
    <t>USGA Index (11)</t>
  </si>
  <si>
    <t>Blue</t>
  </si>
  <si>
    <t>Men</t>
  </si>
  <si>
    <t>Women</t>
  </si>
  <si>
    <t>TEE MARKERS</t>
  </si>
  <si>
    <t>Black</t>
  </si>
  <si>
    <t>White</t>
  </si>
  <si>
    <t>Red</t>
  </si>
  <si>
    <t>CREATE LOOKUP NAMES</t>
  </si>
  <si>
    <t>TITLE</t>
  </si>
  <si>
    <t>FIRST</t>
  </si>
  <si>
    <t>MIDDLE</t>
  </si>
  <si>
    <t>NICKNAME</t>
  </si>
  <si>
    <t>LAST</t>
  </si>
  <si>
    <t>LOOKUP TABLE NAMES</t>
  </si>
  <si>
    <t>Handicap
(12)</t>
  </si>
  <si>
    <t>Test Club Handicap</t>
  </si>
  <si>
    <t>Gold</t>
  </si>
  <si>
    <t>GENDER</t>
  </si>
  <si>
    <t>SUFFIX</t>
  </si>
  <si>
    <t>Bubba</t>
  </si>
  <si>
    <t>YELLOW</t>
  </si>
  <si>
    <t>Yellow</t>
  </si>
  <si>
    <t>MEN</t>
  </si>
  <si>
    <t>WOMEN</t>
  </si>
  <si>
    <t>Houghton, Brad</t>
  </si>
  <si>
    <t>Sevals, Steve Jr</t>
  </si>
  <si>
    <t>Marsh, Robert</t>
  </si>
  <si>
    <t>USE GOAL SEEK TO FIND INDEX</t>
  </si>
  <si>
    <t>TEES</t>
  </si>
  <si>
    <t>YARDS</t>
  </si>
  <si>
    <t>Select Tee Markers</t>
  </si>
  <si>
    <t xml:space="preserve">BLACK </t>
  </si>
  <si>
    <t xml:space="preserve">BLUE </t>
  </si>
  <si>
    <t xml:space="preserve">WHITE </t>
  </si>
  <si>
    <t>USGA Index Best Guess</t>
  </si>
  <si>
    <t xml:space="preserve">GOLD </t>
  </si>
  <si>
    <t>Course Handicap Goal</t>
  </si>
  <si>
    <t xml:space="preserve">RED </t>
  </si>
  <si>
    <t>SELECT MENU -&gt; TOOLS -&gt; GOAL SEEK</t>
  </si>
  <si>
    <t>FIRST / LAST</t>
  </si>
  <si>
    <t>Dr. Kevin Carter</t>
  </si>
  <si>
    <t>Kevin Carter Jr</t>
  </si>
  <si>
    <t>LAST TEST</t>
  </si>
  <si>
    <t>Manually delete period from suffix and/or entire middle name from First / Last String and add back in to table</t>
  </si>
  <si>
    <t>Kevin</t>
  </si>
  <si>
    <t>Paste full name, First - Last into column A</t>
  </si>
  <si>
    <t>DR. KEVIN CARTER JR</t>
  </si>
  <si>
    <t>Manually add title if needed on lookup sheet</t>
  </si>
  <si>
    <t>LAST / FIRST</t>
  </si>
  <si>
    <t/>
  </si>
  <si>
    <t>USGA INDEX</t>
  </si>
  <si>
    <t>Copy/Paste from "Database Member Names For Copy" or "Create Lookup Concatenation" sheet</t>
  </si>
  <si>
    <t>Team Name</t>
  </si>
  <si>
    <t>Team Name Up</t>
  </si>
  <si>
    <t>Team Name Concat</t>
  </si>
  <si>
    <t>Team Name Concat Up</t>
  </si>
  <si>
    <t>Round Date</t>
  </si>
  <si>
    <t>Start Time</t>
  </si>
  <si>
    <t>Start Hole</t>
  </si>
  <si>
    <t>Start Position</t>
  </si>
  <si>
    <t>Entry Fee Team</t>
  </si>
  <si>
    <t>Entry Fee Paid</t>
  </si>
  <si>
    <t>Entry Fee Owed</t>
  </si>
  <si>
    <t>Day 1 Gross</t>
  </si>
  <si>
    <t>Day 1 Net</t>
  </si>
  <si>
    <t>Start Time Day 2</t>
  </si>
  <si>
    <t>Tee Markers</t>
  </si>
  <si>
    <t>Tee Slope</t>
  </si>
  <si>
    <t>Tournament UP</t>
  </si>
  <si>
    <t>Flight UP</t>
  </si>
  <si>
    <t>Tee Markers UP</t>
  </si>
  <si>
    <t>Start Time Text</t>
  </si>
  <si>
    <t>Start Time Text Day 2</t>
  </si>
  <si>
    <t>Start Hole Text</t>
  </si>
  <si>
    <t>Player 1 First Last</t>
  </si>
  <si>
    <t>Player 2 First Last</t>
  </si>
  <si>
    <t>Player 3 First Last</t>
  </si>
  <si>
    <t>Player 4 First Last</t>
  </si>
  <si>
    <t>Player 2 Handi Text</t>
  </si>
  <si>
    <t>Player 4 Handi Text</t>
  </si>
  <si>
    <t>Player 1 Last First</t>
  </si>
  <si>
    <t>Player 2 Last First</t>
  </si>
  <si>
    <t>Player 3 Last First</t>
  </si>
  <si>
    <t>Player 4 Last First</t>
  </si>
  <si>
    <t>Player 1 First Last Up</t>
  </si>
  <si>
    <t>Player 2 First Last Up</t>
  </si>
  <si>
    <t>Player 3 First Last Up</t>
  </si>
  <si>
    <t>Player 4 First Last Up</t>
  </si>
  <si>
    <t>Player 1 First Up</t>
  </si>
  <si>
    <t>Player 2 First Up</t>
  </si>
  <si>
    <t>Player 3 First Up</t>
  </si>
  <si>
    <t>Player 4 First Up</t>
  </si>
  <si>
    <t>Player 1 Last Up</t>
  </si>
  <si>
    <t>Player 2 Last Up</t>
  </si>
  <si>
    <t>Player 3 Last Up</t>
  </si>
  <si>
    <t>Player 4 Last Up</t>
  </si>
  <si>
    <t>Player 1 Club Up</t>
  </si>
  <si>
    <t>Player 2 Club Up</t>
  </si>
  <si>
    <t>Player 3 Club Up</t>
  </si>
  <si>
    <t>Player 4 Club Up</t>
  </si>
  <si>
    <t>Player 1 Title</t>
  </si>
  <si>
    <t>Player 1 First</t>
  </si>
  <si>
    <t>Player 1 MI</t>
  </si>
  <si>
    <t>Player 1 NickName</t>
  </si>
  <si>
    <t>Player 1 Last</t>
  </si>
  <si>
    <t>Player 1 Suffix</t>
  </si>
  <si>
    <t>Player 1 Male</t>
  </si>
  <si>
    <t>Player 1 Club</t>
  </si>
  <si>
    <t>Player 1 Tees</t>
  </si>
  <si>
    <t>Player 1 Slope</t>
  </si>
  <si>
    <t>Player 1 Index</t>
  </si>
  <si>
    <t>Player 1 Handicap</t>
  </si>
  <si>
    <t>Player 2 Title</t>
  </si>
  <si>
    <t>Player 2 First</t>
  </si>
  <si>
    <t>Player 2 MI</t>
  </si>
  <si>
    <t>Player 2 NickName</t>
  </si>
  <si>
    <t>Player 2 Last</t>
  </si>
  <si>
    <t>Player 2 Suffix</t>
  </si>
  <si>
    <t>Player 2 Male</t>
  </si>
  <si>
    <t>Player 2 Club</t>
  </si>
  <si>
    <t>Player 2 Tees</t>
  </si>
  <si>
    <t>Player 2 Slope</t>
  </si>
  <si>
    <t>Player 2 Index</t>
  </si>
  <si>
    <t>Player 2 Handicap</t>
  </si>
  <si>
    <t>Player 3 Title</t>
  </si>
  <si>
    <t>Player 3 First</t>
  </si>
  <si>
    <t>Player 3 MI</t>
  </si>
  <si>
    <t>Player 3 NickName</t>
  </si>
  <si>
    <t>Player 3 Last</t>
  </si>
  <si>
    <t>Player 3 Suffix</t>
  </si>
  <si>
    <t>Player 3 Male</t>
  </si>
  <si>
    <t>Player 3 Club</t>
  </si>
  <si>
    <t>Player 3 Tees</t>
  </si>
  <si>
    <t>Player 3 Slope</t>
  </si>
  <si>
    <t>Player 3 Index</t>
  </si>
  <si>
    <t>Player 3 Handicap</t>
  </si>
  <si>
    <t>Player 4 Title</t>
  </si>
  <si>
    <t>Player 4 First</t>
  </si>
  <si>
    <t>Player 4 MI</t>
  </si>
  <si>
    <t>Player 4 NickName</t>
  </si>
  <si>
    <t>Player 4 Last</t>
  </si>
  <si>
    <t>Player 4 Suffix</t>
  </si>
  <si>
    <t>Player 4 Male</t>
  </si>
  <si>
    <t>Player 4 Club</t>
  </si>
  <si>
    <t>Player 4 Tees</t>
  </si>
  <si>
    <t>Player 4 Slope</t>
  </si>
  <si>
    <t>Player 4 Index</t>
  </si>
  <si>
    <t>Player 4 Handicap</t>
  </si>
  <si>
    <t>Blank Merge Dummy</t>
  </si>
  <si>
    <t>Player 1 Stroke 1</t>
  </si>
  <si>
    <t>Player 1 Stroke 2</t>
  </si>
  <si>
    <t>Player 1 Stroke 3</t>
  </si>
  <si>
    <t>Player 1 Stroke 4</t>
  </si>
  <si>
    <t>Player 1 Stroke 5</t>
  </si>
  <si>
    <t>Player 1 Stroke 6</t>
  </si>
  <si>
    <t>Player 1 Stroke 7</t>
  </si>
  <si>
    <t>Player 1 Stroke 8</t>
  </si>
  <si>
    <t>Player 1 Stroke 9</t>
  </si>
  <si>
    <t>Spacer 1</t>
  </si>
  <si>
    <t>Player 1 Stroke 10</t>
  </si>
  <si>
    <t>Player 1 Stroke 11</t>
  </si>
  <si>
    <t>Player 1 Stroke 12</t>
  </si>
  <si>
    <t>Player 1 Stroke 13</t>
  </si>
  <si>
    <t>Player 1 Stroke 14</t>
  </si>
  <si>
    <t>Player 1 Stroke 15</t>
  </si>
  <si>
    <t>Player 1 Stroke 16</t>
  </si>
  <si>
    <t>Player 1 Stroke 17</t>
  </si>
  <si>
    <t>Player 1 Stroke 18</t>
  </si>
  <si>
    <t>Spacer 2</t>
  </si>
  <si>
    <t>Player 2 Stroke 1</t>
  </si>
  <si>
    <t>Player 2 Stroke 2</t>
  </si>
  <si>
    <t>Player 2 Stroke 3</t>
  </si>
  <si>
    <t>Player 2 Stroke 4</t>
  </si>
  <si>
    <t>Player 2 Stroke 5</t>
  </si>
  <si>
    <t>Player 2 Stroke 6</t>
  </si>
  <si>
    <t>Player 2 Stroke 7</t>
  </si>
  <si>
    <t>Player 2 Stroke 8</t>
  </si>
  <si>
    <t>Player 2 Stroke 9</t>
  </si>
  <si>
    <t>Spacer 3</t>
  </si>
  <si>
    <t>Player 2 Stroke 10</t>
  </si>
  <si>
    <t>Player 2 Stroke 11</t>
  </si>
  <si>
    <t>Player 2 Stroke 12</t>
  </si>
  <si>
    <t>Player 2 Stroke 13</t>
  </si>
  <si>
    <t>Player 2 Stroke 14</t>
  </si>
  <si>
    <t>Player 2 Stroke 15</t>
  </si>
  <si>
    <t>Player 2 Stroke 16</t>
  </si>
  <si>
    <t>Player 2 Stroke 17</t>
  </si>
  <si>
    <t>Player 2 Stroke 18</t>
  </si>
  <si>
    <t>Spacer 4</t>
  </si>
  <si>
    <t>Player 3 Stroke 1</t>
  </si>
  <si>
    <t>Player 3 Stroke 2</t>
  </si>
  <si>
    <t>Player 3 Stroke 3</t>
  </si>
  <si>
    <t>Player 3 Stroke 4</t>
  </si>
  <si>
    <t>Player 3 Stroke 5</t>
  </si>
  <si>
    <t>Player 3 Stroke 6</t>
  </si>
  <si>
    <t>Player 3 Stroke 7</t>
  </si>
  <si>
    <t>Player 3 Stroke 8</t>
  </si>
  <si>
    <t>Player 3 Stroke 9</t>
  </si>
  <si>
    <t>Spacer 5</t>
  </si>
  <si>
    <t>Player 3 Stroke 10</t>
  </si>
  <si>
    <t>Player 3 Stroke 11</t>
  </si>
  <si>
    <t>Player 3 Stroke 12</t>
  </si>
  <si>
    <t>Player 3 Stroke 13</t>
  </si>
  <si>
    <t>Player 3 Stroke 14</t>
  </si>
  <si>
    <t>Player 3 Stroke 15</t>
  </si>
  <si>
    <t>Player 3 Stroke 16</t>
  </si>
  <si>
    <t>Player 3 Stroke 17</t>
  </si>
  <si>
    <t>Player 3 Stroke 18</t>
  </si>
  <si>
    <t>Spacer 6</t>
  </si>
  <si>
    <t>Player 4 Stroke 1</t>
  </si>
  <si>
    <t>Player 4 Stroke 2</t>
  </si>
  <si>
    <t>Player 4 Stroke 3</t>
  </si>
  <si>
    <t>Player 4 Stroke 4</t>
  </si>
  <si>
    <t>Player 4 Stroke 5</t>
  </si>
  <si>
    <t>Player 4 Stroke 6</t>
  </si>
  <si>
    <t>Player 4 Stroke 7</t>
  </si>
  <si>
    <t>Player 4 Stroke 8</t>
  </si>
  <si>
    <t>Player 4 Stroke 9</t>
  </si>
  <si>
    <t>Spacer 7</t>
  </si>
  <si>
    <t>Player 4 Stroke 10</t>
  </si>
  <si>
    <t>Player 4 Stroke 11</t>
  </si>
  <si>
    <t>Player 4 Stroke 12</t>
  </si>
  <si>
    <t>Player 4 Stroke 13</t>
  </si>
  <si>
    <t>Player 4 Stroke 14</t>
  </si>
  <si>
    <t>Player 4 Stroke 15</t>
  </si>
  <si>
    <t>Player 4 Stroke 16</t>
  </si>
  <si>
    <t>Player 4 Stroke 17</t>
  </si>
  <si>
    <t>Player 4 Stroke 18</t>
  </si>
  <si>
    <t>Spacer 83</t>
  </si>
  <si>
    <t>Handicap Team Total</t>
  </si>
  <si>
    <t>Handicap Team Average</t>
  </si>
  <si>
    <t>Handicap Team Scramble</t>
  </si>
  <si>
    <t>Handicap Team Alternate</t>
  </si>
  <si>
    <t>Handicap Team Other</t>
  </si>
  <si>
    <t>Tournament Name</t>
  </si>
  <si>
    <t>Shotgun Time</t>
  </si>
  <si>
    <t>Start Hole (Non Shotgun)</t>
  </si>
  <si>
    <t>Shotgun  Start?</t>
  </si>
  <si>
    <t>Player 3 Handi Text</t>
  </si>
  <si>
    <t>Player 1 Handi Text</t>
  </si>
  <si>
    <t>Players On Team</t>
  </si>
  <si>
    <t>TEAM LOOKUP TABLES</t>
  </si>
  <si>
    <t>Hole Number</t>
  </si>
  <si>
    <t>Hole Event</t>
  </si>
  <si>
    <t>Extra Rule Text</t>
  </si>
  <si>
    <t>Open To Whom</t>
  </si>
  <si>
    <t>Prize</t>
  </si>
  <si>
    <t>Prize Text</t>
  </si>
  <si>
    <t>Tournament Upper</t>
  </si>
  <si>
    <t>Flight Upper</t>
  </si>
  <si>
    <t>Hole Event Upper</t>
  </si>
  <si>
    <t>Extra Rule Text Upper</t>
  </si>
  <si>
    <t>Open To Whom Upper</t>
  </si>
  <si>
    <t>All Divisions</t>
  </si>
  <si>
    <t>1</t>
  </si>
  <si>
    <t>Shortest Drive </t>
  </si>
  <si>
    <t>Open To All</t>
  </si>
  <si>
    <t>2</t>
  </si>
  <si>
    <t>Closest 3rd Shot</t>
  </si>
  <si>
    <t xml:space="preserve"> Pay First In If Tie</t>
  </si>
  <si>
    <t>Men's Division</t>
  </si>
  <si>
    <t>3</t>
  </si>
  <si>
    <t>Straightest Drive</t>
  </si>
  <si>
    <t>Men Only</t>
  </si>
  <si>
    <t>Longest Putt</t>
  </si>
  <si>
    <t>Women's Division</t>
  </si>
  <si>
    <t>Women Only</t>
  </si>
  <si>
    <t>5</t>
  </si>
  <si>
    <t>Closest Chip   </t>
  </si>
  <si>
    <t>6</t>
  </si>
  <si>
    <t>Longest Putt  </t>
  </si>
  <si>
    <t>7</t>
  </si>
  <si>
    <t>Closest 2nd Shot </t>
  </si>
  <si>
    <t>9</t>
  </si>
  <si>
    <t>Closest 2nd Shot</t>
  </si>
  <si>
    <t>10</t>
  </si>
  <si>
    <t>Shortest Drive  </t>
  </si>
  <si>
    <t>11</t>
  </si>
  <si>
    <t>Closest Chip  </t>
  </si>
  <si>
    <t>12</t>
  </si>
  <si>
    <t>Closest 2nd Shot   </t>
  </si>
  <si>
    <t>14</t>
  </si>
  <si>
    <t>Longest Drive    </t>
  </si>
  <si>
    <t>16</t>
  </si>
  <si>
    <t>Closest 2nd Shot    </t>
  </si>
  <si>
    <t>17</t>
  </si>
  <si>
    <t>Longest Drive</t>
  </si>
  <si>
    <t>18</t>
  </si>
  <si>
    <t>Division</t>
  </si>
  <si>
    <t>Description</t>
  </si>
  <si>
    <t>Prize_Text</t>
  </si>
  <si>
    <t>Division Upper</t>
  </si>
  <si>
    <t>Description Upper</t>
  </si>
  <si>
    <t>1st Place</t>
  </si>
  <si>
    <t>2nd Place</t>
  </si>
  <si>
    <t>3rd Place</t>
  </si>
  <si>
    <t>Mixed Division</t>
  </si>
  <si>
    <t>Grand Prize</t>
  </si>
  <si>
    <t>Open</t>
  </si>
  <si>
    <t>When the number of lookup items are changed in any lookup table, you must open INSERT-NAME-DEFINE and update the range.</t>
  </si>
  <si>
    <t>HOLE EVENT</t>
  </si>
  <si>
    <t>EXTRA RULE</t>
  </si>
  <si>
    <t>OPEN TO</t>
  </si>
  <si>
    <t>HOLE NUMBER</t>
  </si>
  <si>
    <t>Pay 1st in if tie</t>
  </si>
  <si>
    <t>Closest To Line</t>
  </si>
  <si>
    <t>Closest To Pin</t>
  </si>
  <si>
    <t>Closest Sand Shot</t>
  </si>
  <si>
    <t>HOLE EVENT LOOKUP TABLES</t>
  </si>
  <si>
    <t>DESCRIPTION</t>
  </si>
  <si>
    <t>GIFT CARD LOOKUP TABLE</t>
  </si>
  <si>
    <t>Player 5 First Last</t>
  </si>
  <si>
    <t>Player 5 Handi Text</t>
  </si>
  <si>
    <t>Player 5 Last First</t>
  </si>
  <si>
    <t>Player 5 First Last Up</t>
  </si>
  <si>
    <t>Player 5 First Up</t>
  </si>
  <si>
    <t>Player 5 Last Up</t>
  </si>
  <si>
    <t>Player 5 Club Up</t>
  </si>
  <si>
    <t>Player 5 First</t>
  </si>
  <si>
    <t>Player 5 NickName</t>
  </si>
  <si>
    <t>Player 5 MI</t>
  </si>
  <si>
    <t>Player 5 Title</t>
  </si>
  <si>
    <t>Player 5 Last</t>
  </si>
  <si>
    <t>Player 5 Suffix</t>
  </si>
  <si>
    <t>Player 5 Male</t>
  </si>
  <si>
    <t>Player 5 Club</t>
  </si>
  <si>
    <t>Player 5 Slope</t>
  </si>
  <si>
    <t>Player 5 Index</t>
  </si>
  <si>
    <t>Player 5 Handicap</t>
  </si>
  <si>
    <t>YOU MUST NOT MOVE ROWS 7 &amp; 12</t>
  </si>
  <si>
    <t>TURTLEBACK COURSE INFORMATION</t>
  </si>
  <si>
    <t>Player 5 Tees</t>
  </si>
  <si>
    <t>Player 1 Paid</t>
  </si>
  <si>
    <t>Player 2 Paid</t>
  </si>
  <si>
    <t>Player 3 Paid</t>
  </si>
  <si>
    <t>Player 4 Paid</t>
  </si>
  <si>
    <t>Player 5 Paid</t>
  </si>
  <si>
    <t>Player 5 Stroke 1</t>
  </si>
  <si>
    <t>Player 5 Stroke 2</t>
  </si>
  <si>
    <t>Player 5 Stroke 3</t>
  </si>
  <si>
    <t>Player 5 Stroke 4</t>
  </si>
  <si>
    <t>Player 5 Stroke 5</t>
  </si>
  <si>
    <t>Spacer 107</t>
  </si>
  <si>
    <t>Spacer 718</t>
  </si>
  <si>
    <t>Player 5 Stroke 6</t>
  </si>
  <si>
    <t>Player 5 Stroke 7</t>
  </si>
  <si>
    <t>Player 5 Stroke 8</t>
  </si>
  <si>
    <t>Player 5 Stroke 9</t>
  </si>
  <si>
    <t>Player 5 Stroke 10</t>
  </si>
  <si>
    <t>Player 5 Stroke 11</t>
  </si>
  <si>
    <t>Player 5 Stroke 12</t>
  </si>
  <si>
    <t>Player 5 Stroke 13</t>
  </si>
  <si>
    <t>Player 5 Stroke 14</t>
  </si>
  <si>
    <t>Player 5 Stroke 15</t>
  </si>
  <si>
    <t>Player 5 Stroke 17</t>
  </si>
  <si>
    <t>Player 5 Stroke 18</t>
  </si>
  <si>
    <t>Player 5 Stroke 16</t>
  </si>
  <si>
    <t>Default Male Tee Markers</t>
  </si>
  <si>
    <t>Default Female Tee Markers</t>
  </si>
  <si>
    <t>Tee Time Increment</t>
  </si>
  <si>
    <t>NAVIGATE SHEETS</t>
  </si>
  <si>
    <t>ENTER DEFAULT VALUES</t>
  </si>
  <si>
    <t>Shotgun</t>
  </si>
  <si>
    <t>FLIGHT</t>
  </si>
  <si>
    <t>Home Course</t>
  </si>
  <si>
    <t>Junior Division</t>
  </si>
  <si>
    <t>Open Division</t>
  </si>
  <si>
    <t>Senior Men</t>
  </si>
  <si>
    <t>Senior Women</t>
  </si>
  <si>
    <t>Christmas Cup</t>
  </si>
  <si>
    <t>Welcome To</t>
  </si>
  <si>
    <t>Written By Kevin Carter</t>
  </si>
  <si>
    <t>LOOKUP PLAYER 1</t>
  </si>
  <si>
    <t>LOOKUP PLAYER 2</t>
  </si>
  <si>
    <t>LOOKUP PLAYER 3</t>
  </si>
  <si>
    <t>LOOKUP PLAYER 4</t>
  </si>
  <si>
    <t>LOOKUP PLAYER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</si>
</sst>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##;\+##;"/>
    <numFmt numFmtId="165" formatCode="###;\+###;"/>
    <numFmt numFmtId="166" formatCode="#0.0;\+#0.0;"/>
    <numFmt numFmtId="167" formatCode="0.0"/>
    <numFmt numFmtId="168" formatCode="ddd\,\ mmm\ d\,\ yyyy"/>
    <numFmt numFmtId="169" formatCode="&quot;$&quot;#,##0.00"/>
    <numFmt numFmtId="170" formatCode="&quot;$&quot;#,##0.00;&quot;$&quot;#,##0.00\ \C\R;"/>
    <numFmt numFmtId="171" formatCode="##\ &quot;Minutes&quot;"/>
  </numFmts>
  <fonts count="41">
    <font>
      <sz val="12"/>
      <color theme="1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36"/>
      <color indexed="8"/>
      <name val="Arial Black"/>
    </font>
    <font>
      <sz val="18"/>
      <color indexed="8"/>
      <name val="Arial Black"/>
    </font>
    <font>
      <u/>
      <sz val="12"/>
      <color theme="10"/>
      <name val="Arial"/>
      <family val="2"/>
    </font>
    <font>
      <u/>
      <sz val="12"/>
      <color theme="11"/>
      <name val="Arial"/>
      <family val="2"/>
    </font>
    <font>
      <sz val="12"/>
      <color theme="1"/>
      <name val="Franklin Gothic Medium"/>
      <family val="2"/>
    </font>
    <font>
      <sz val="14"/>
      <color theme="1"/>
      <name val="Arial"/>
    </font>
    <font>
      <sz val="18"/>
      <color theme="1"/>
      <name val="Arial"/>
    </font>
    <font>
      <b/>
      <sz val="14"/>
      <color theme="1"/>
      <name val="Arial"/>
    </font>
    <font>
      <sz val="14"/>
      <color theme="0"/>
      <name val="Arial Black"/>
    </font>
    <font>
      <sz val="14"/>
      <name val="Arial"/>
      <family val="2"/>
    </font>
    <font>
      <b/>
      <sz val="14"/>
      <name val="Arial"/>
    </font>
    <font>
      <sz val="14"/>
      <color indexed="8"/>
      <name val="Arial"/>
    </font>
    <font>
      <b/>
      <sz val="14"/>
      <color indexed="8"/>
      <name val="Arial"/>
    </font>
    <font>
      <b/>
      <sz val="12"/>
      <color theme="1"/>
      <name val="Arial"/>
      <family val="2"/>
    </font>
    <font>
      <b/>
      <sz val="14"/>
      <color indexed="9"/>
      <name val="Arial"/>
    </font>
    <font>
      <sz val="11"/>
      <color indexed="8"/>
      <name val="Helvetica Neue"/>
    </font>
    <font>
      <sz val="28"/>
      <color theme="1"/>
      <name val="Arial"/>
    </font>
    <font>
      <sz val="14"/>
      <color indexed="9"/>
      <name val="Arial Black"/>
    </font>
    <font>
      <sz val="14"/>
      <color theme="1"/>
      <name val="Arial Black"/>
    </font>
    <font>
      <b/>
      <sz val="14"/>
      <color theme="1"/>
      <name val="Arial Black"/>
    </font>
    <font>
      <sz val="14"/>
      <color rgb="FFFF0000"/>
      <name val="Arial"/>
    </font>
    <font>
      <b/>
      <sz val="14"/>
      <color theme="0"/>
      <name val="Arial"/>
    </font>
    <font>
      <b/>
      <sz val="12"/>
      <name val="Arial"/>
    </font>
    <font>
      <b/>
      <sz val="18"/>
      <color theme="1"/>
      <name val="Arial"/>
    </font>
    <font>
      <sz val="18"/>
      <color theme="0"/>
      <name val="Arial Black"/>
    </font>
    <font>
      <sz val="18"/>
      <color theme="0"/>
      <name val="Arial"/>
    </font>
    <font>
      <sz val="60"/>
      <color theme="1"/>
      <name val="Arial Black"/>
    </font>
    <font>
      <sz val="60"/>
      <color theme="1"/>
      <name val="Arial"/>
      <family val="2"/>
    </font>
    <font>
      <b/>
      <sz val="12"/>
      <color theme="0"/>
      <name val="Arial"/>
      <family val="2"/>
    </font>
    <font>
      <sz val="28"/>
      <color theme="0"/>
      <name val="Arial Black"/>
    </font>
    <font>
      <sz val="20"/>
      <color theme="1"/>
      <name val="Arial Black"/>
    </font>
    <font>
      <b/>
      <sz val="26"/>
      <color theme="1"/>
      <name val="Arial"/>
    </font>
    <font>
      <sz val="24"/>
      <color theme="1"/>
      <name val="Arial Black"/>
    </font>
    <font>
      <sz val="28"/>
      <name val="Arial Black"/>
    </font>
    <font>
      <sz val="28"/>
      <color theme="1"/>
      <name val="Arial Black"/>
    </font>
    <font>
      <sz val="14"/>
      <color rgb="FF000000"/>
      <name val="Arial"/>
    </font>
    <font>
      <b/>
      <sz val="14"/>
      <color rgb="FFFFFFCC"/>
      <name val="Arial"/>
    </font>
    <font>
      <sz val="24"/>
      <color rgb="FFFFFFCC"/>
      <name val="Arial Black"/>
    </font>
  </fonts>
  <fills count="27">
    <fill>
      <patternFill patternType="none"/>
    </fill>
    <fill>
      <patternFill patternType="gray125"/>
    </fill>
    <fill>
      <patternFill patternType="solid">
        <fgColor indexed="8"/>
        <bgColor indexed="10"/>
      </patternFill>
    </fill>
    <fill>
      <patternFill patternType="solid">
        <fgColor theme="0" tint="-0.34998626667073579"/>
        <bgColor indexed="10"/>
      </patternFill>
    </fill>
    <fill>
      <patternFill patternType="solid">
        <fgColor theme="4" tint="0.59999389629810485"/>
        <bgColor indexed="10"/>
      </patternFill>
    </fill>
    <fill>
      <patternFill patternType="solid">
        <fgColor theme="0"/>
        <bgColor indexed="10"/>
      </patternFill>
    </fill>
    <fill>
      <patternFill patternType="solid">
        <fgColor rgb="FFFFFFCC"/>
        <bgColor indexed="10"/>
      </patternFill>
    </fill>
    <fill>
      <patternFill patternType="solid">
        <fgColor theme="6" tint="0.59999389629810485"/>
        <bgColor indexed="11"/>
      </patternFill>
    </fill>
    <fill>
      <patternFill patternType="solid">
        <fgColor theme="5" tint="0.39997558519241921"/>
        <bgColor indexed="1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66"/>
        <bgColor indexed="1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10"/>
      </patternFill>
    </fill>
    <fill>
      <patternFill patternType="solid">
        <fgColor rgb="FFFFC000"/>
        <bgColor indexed="10"/>
      </patternFill>
    </fill>
    <fill>
      <patternFill patternType="solid">
        <fgColor theme="5" tint="0.59999389629810485"/>
        <bgColor indexed="1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rgb="FF000000"/>
      </patternFill>
    </fill>
    <fill>
      <patternFill patternType="solid">
        <fgColor rgb="FFE9E5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rgb="FF000000"/>
      </patternFill>
    </fill>
  </fills>
  <borders count="7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theme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n">
        <color theme="1"/>
      </left>
      <right style="thin">
        <color theme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theme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theme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theme="2" tint="-0.249977111117893"/>
      </bottom>
      <diagonal/>
    </border>
    <border>
      <left/>
      <right style="thin">
        <color auto="1"/>
      </right>
      <top style="medium">
        <color auto="1"/>
      </top>
      <bottom style="medium">
        <color theme="2" tint="-0.249977111117893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291">
    <xf numFmtId="0" fontId="0" fillId="0" borderId="0"/>
    <xf numFmtId="0" fontId="1" fillId="0" borderId="0"/>
    <xf numFmtId="0" fontId="2" fillId="0" borderId="0"/>
    <xf numFmtId="0" fontId="3" fillId="0" borderId="0">
      <alignment horizontal="center" vertical="center"/>
    </xf>
    <xf numFmtId="0" fontId="4" fillId="0" borderId="0">
      <alignment horizontal="center" vertical="center"/>
    </xf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8" fillId="0" borderId="0" applyNumberFormat="0" applyFill="0" applyBorder="0" applyProtection="0">
      <alignment vertical="top"/>
    </xf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10">
    <xf numFmtId="0" fontId="0" fillId="0" borderId="0" xfId="0"/>
    <xf numFmtId="0" fontId="2" fillId="0" borderId="0" xfId="1" applyFont="1"/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/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166" fontId="8" fillId="0" borderId="3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1" xfId="1" applyFont="1" applyFill="1" applyBorder="1" applyAlignment="1">
      <alignment horizontal="center" vertical="center"/>
    </xf>
    <xf numFmtId="0" fontId="10" fillId="3" borderId="1" xfId="1" applyFont="1" applyFill="1" applyBorder="1" applyAlignment="1">
      <alignment horizontal="center" vertical="center"/>
    </xf>
    <xf numFmtId="0" fontId="13" fillId="4" borderId="1" xfId="1" applyFont="1" applyFill="1" applyBorder="1" applyAlignment="1">
      <alignment horizontal="center" vertical="center"/>
    </xf>
    <xf numFmtId="0" fontId="12" fillId="5" borderId="1" xfId="1" applyFont="1" applyFill="1" applyBorder="1" applyAlignment="1">
      <alignment horizontal="center" vertical="center"/>
    </xf>
    <xf numFmtId="0" fontId="13" fillId="5" borderId="1" xfId="1" applyFont="1" applyFill="1" applyBorder="1" applyAlignment="1">
      <alignment horizontal="center" vertical="center"/>
    </xf>
    <xf numFmtId="0" fontId="13" fillId="13" borderId="1" xfId="1" applyFont="1" applyFill="1" applyBorder="1" applyAlignment="1">
      <alignment horizontal="center" vertical="center"/>
    </xf>
    <xf numFmtId="0" fontId="13" fillId="6" borderId="1" xfId="1" applyFont="1" applyFill="1" applyBorder="1" applyAlignment="1">
      <alignment horizontal="center" vertical="center"/>
    </xf>
    <xf numFmtId="0" fontId="15" fillId="7" borderId="1" xfId="1" applyFont="1" applyFill="1" applyBorder="1" applyAlignment="1">
      <alignment horizontal="center" vertical="center"/>
    </xf>
    <xf numFmtId="0" fontId="13" fillId="8" borderId="1" xfId="1" applyFont="1" applyFill="1" applyBorder="1" applyAlignment="1">
      <alignment horizontal="center" vertical="center"/>
    </xf>
    <xf numFmtId="0" fontId="12" fillId="13" borderId="1" xfId="1" applyFont="1" applyFill="1" applyBorder="1" applyAlignment="1">
      <alignment vertical="center"/>
    </xf>
    <xf numFmtId="0" fontId="12" fillId="6" borderId="1" xfId="1" applyFont="1" applyFill="1" applyBorder="1" applyAlignment="1">
      <alignment vertical="center"/>
    </xf>
    <xf numFmtId="0" fontId="14" fillId="7" borderId="1" xfId="1" applyFont="1" applyFill="1" applyBorder="1" applyAlignment="1">
      <alignment vertical="center"/>
    </xf>
    <xf numFmtId="0" fontId="12" fillId="8" borderId="1" xfId="1" applyFont="1" applyFill="1" applyBorder="1" applyAlignment="1">
      <alignment vertical="center"/>
    </xf>
    <xf numFmtId="0" fontId="17" fillId="2" borderId="1" xfId="1" applyFont="1" applyFill="1" applyBorder="1" applyAlignment="1">
      <alignment vertical="center"/>
    </xf>
    <xf numFmtId="0" fontId="17" fillId="2" borderId="1" xfId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8" fillId="0" borderId="0" xfId="102" applyFont="1" applyAlignment="1">
      <alignment vertical="center"/>
    </xf>
    <xf numFmtId="0" fontId="8" fillId="0" borderId="0" xfId="102" applyFont="1" applyAlignment="1">
      <alignment horizontal="center" vertical="center"/>
    </xf>
    <xf numFmtId="0" fontId="8" fillId="12" borderId="3" xfId="102" applyFont="1" applyFill="1" applyBorder="1" applyAlignment="1" applyProtection="1">
      <alignment horizontal="center" vertical="center"/>
      <protection locked="0"/>
    </xf>
    <xf numFmtId="0" fontId="12" fillId="15" borderId="1" xfId="1" applyFont="1" applyFill="1" applyBorder="1" applyAlignment="1">
      <alignment horizontal="center" vertical="center"/>
    </xf>
    <xf numFmtId="0" fontId="12" fillId="16" borderId="1" xfId="1" applyFont="1" applyFill="1" applyBorder="1" applyAlignment="1">
      <alignment horizontal="center" vertical="center"/>
    </xf>
    <xf numFmtId="0" fontId="12" fillId="17" borderId="1" xfId="1" applyFont="1" applyFill="1" applyBorder="1" applyAlignment="1">
      <alignment horizontal="center" vertical="center"/>
    </xf>
    <xf numFmtId="0" fontId="19" fillId="0" borderId="0" xfId="102" applyFont="1" applyAlignment="1">
      <alignment vertical="center"/>
    </xf>
    <xf numFmtId="0" fontId="8" fillId="11" borderId="3" xfId="102" applyFont="1" applyFill="1" applyBorder="1" applyAlignment="1">
      <alignment horizontal="center" vertical="center"/>
    </xf>
    <xf numFmtId="0" fontId="11" fillId="10" borderId="3" xfId="102" applyFont="1" applyFill="1" applyBorder="1" applyAlignment="1">
      <alignment horizontal="center" vertical="center"/>
    </xf>
    <xf numFmtId="0" fontId="20" fillId="2" borderId="1" xfId="1" applyFont="1" applyFill="1" applyBorder="1" applyAlignment="1">
      <alignment horizontal="center" vertical="center"/>
    </xf>
    <xf numFmtId="167" fontId="9" fillId="12" borderId="3" xfId="102" applyNumberFormat="1" applyFont="1" applyFill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8" fillId="0" borderId="43" xfId="0" applyFont="1" applyBorder="1" applyAlignment="1">
      <alignment horizontal="left" vertical="center"/>
    </xf>
    <xf numFmtId="165" fontId="8" fillId="0" borderId="39" xfId="0" applyNumberFormat="1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165" fontId="8" fillId="0" borderId="36" xfId="0" applyNumberFormat="1" applyFont="1" applyBorder="1" applyAlignment="1">
      <alignment horizontal="center" vertical="center"/>
    </xf>
    <xf numFmtId="0" fontId="8" fillId="0" borderId="39" xfId="0" applyFont="1" applyBorder="1" applyAlignment="1">
      <alignment vertical="center"/>
    </xf>
    <xf numFmtId="0" fontId="8" fillId="0" borderId="33" xfId="0" applyFont="1" applyBorder="1" applyAlignment="1">
      <alignment vertical="center"/>
    </xf>
    <xf numFmtId="18" fontId="8" fillId="0" borderId="33" xfId="0" applyNumberFormat="1" applyFont="1" applyBorder="1" applyAlignment="1">
      <alignment horizontal="left" vertical="center"/>
    </xf>
    <xf numFmtId="0" fontId="8" fillId="0" borderId="43" xfId="0" applyFont="1" applyBorder="1" applyAlignment="1">
      <alignment horizontal="center" vertical="center"/>
    </xf>
    <xf numFmtId="18" fontId="8" fillId="0" borderId="36" xfId="0" applyNumberFormat="1" applyFont="1" applyBorder="1" applyAlignment="1">
      <alignment horizontal="left" vertical="center"/>
    </xf>
    <xf numFmtId="0" fontId="8" fillId="0" borderId="33" xfId="0" applyNumberFormat="1" applyFont="1" applyBorder="1" applyAlignment="1">
      <alignment horizontal="left" vertical="center"/>
    </xf>
    <xf numFmtId="0" fontId="8" fillId="0" borderId="33" xfId="0" applyNumberFormat="1" applyFont="1" applyBorder="1" applyAlignment="1">
      <alignment horizontal="center" vertical="center"/>
    </xf>
    <xf numFmtId="164" fontId="8" fillId="0" borderId="35" xfId="0" applyNumberFormat="1" applyFont="1" applyBorder="1" applyAlignment="1">
      <alignment horizontal="left" vertical="center"/>
    </xf>
    <xf numFmtId="0" fontId="8" fillId="0" borderId="33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10" borderId="37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vertical="center"/>
    </xf>
    <xf numFmtId="0" fontId="8" fillId="0" borderId="40" xfId="0" applyFont="1" applyBorder="1" applyAlignment="1">
      <alignment horizontal="left" vertical="center"/>
    </xf>
    <xf numFmtId="0" fontId="8" fillId="0" borderId="44" xfId="0" applyFont="1" applyBorder="1" applyAlignment="1">
      <alignment horizontal="left" vertical="center"/>
    </xf>
    <xf numFmtId="165" fontId="8" fillId="0" borderId="40" xfId="0" applyNumberFormat="1" applyFont="1" applyBorder="1" applyAlignment="1">
      <alignment horizontal="center" vertical="center"/>
    </xf>
    <xf numFmtId="165" fontId="8" fillId="0" borderId="3" xfId="0" applyNumberFormat="1" applyFont="1" applyBorder="1" applyAlignment="1">
      <alignment horizontal="center" vertical="center"/>
    </xf>
    <xf numFmtId="165" fontId="8" fillId="0" borderId="6" xfId="0" applyNumberFormat="1" applyFont="1" applyBorder="1" applyAlignment="1">
      <alignment horizontal="center" vertical="center"/>
    </xf>
    <xf numFmtId="0" fontId="8" fillId="0" borderId="40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18" fontId="8" fillId="0" borderId="3" xfId="0" applyNumberFormat="1" applyFont="1" applyBorder="1" applyAlignment="1">
      <alignment horizontal="left" vertical="center"/>
    </xf>
    <xf numFmtId="0" fontId="8" fillId="0" borderId="44" xfId="0" applyFont="1" applyBorder="1" applyAlignment="1">
      <alignment horizontal="center" vertical="center"/>
    </xf>
    <xf numFmtId="18" fontId="8" fillId="0" borderId="6" xfId="0" applyNumberFormat="1" applyFont="1" applyBorder="1" applyAlignment="1">
      <alignment horizontal="left" vertical="center"/>
    </xf>
    <xf numFmtId="0" fontId="8" fillId="0" borderId="3" xfId="0" applyNumberFormat="1" applyFont="1" applyBorder="1" applyAlignment="1">
      <alignment horizontal="left" vertical="center"/>
    </xf>
    <xf numFmtId="0" fontId="8" fillId="0" borderId="3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left" vertical="center"/>
    </xf>
    <xf numFmtId="0" fontId="8" fillId="0" borderId="4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10" borderId="9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vertical="center"/>
    </xf>
    <xf numFmtId="0" fontId="8" fillId="10" borderId="9" xfId="0" applyFont="1" applyFill="1" applyBorder="1" applyAlignment="1">
      <alignment horizontal="center" vertical="center"/>
    </xf>
    <xf numFmtId="0" fontId="24" fillId="10" borderId="41" xfId="0" applyFont="1" applyFill="1" applyBorder="1" applyAlignment="1">
      <alignment horizontal="left" vertical="center"/>
    </xf>
    <xf numFmtId="0" fontId="24" fillId="10" borderId="11" xfId="0" applyFont="1" applyFill="1" applyBorder="1" applyAlignment="1">
      <alignment horizontal="left" vertical="center"/>
    </xf>
    <xf numFmtId="0" fontId="24" fillId="10" borderId="45" xfId="0" applyFont="1" applyFill="1" applyBorder="1" applyAlignment="1">
      <alignment horizontal="left" vertical="center"/>
    </xf>
    <xf numFmtId="0" fontId="24" fillId="10" borderId="41" xfId="0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15" xfId="0" applyFont="1" applyFill="1" applyBorder="1" applyAlignment="1">
      <alignment horizontal="center" vertical="center"/>
    </xf>
    <xf numFmtId="0" fontId="24" fillId="10" borderId="41" xfId="0" applyFont="1" applyFill="1" applyBorder="1" applyAlignment="1">
      <alignment vertical="center"/>
    </xf>
    <xf numFmtId="0" fontId="24" fillId="10" borderId="11" xfId="0" applyFont="1" applyFill="1" applyBorder="1" applyAlignment="1">
      <alignment vertical="center"/>
    </xf>
    <xf numFmtId="0" fontId="24" fillId="10" borderId="45" xfId="0" applyFont="1" applyFill="1" applyBorder="1" applyAlignment="1">
      <alignment horizontal="center" vertical="center"/>
    </xf>
    <xf numFmtId="49" fontId="24" fillId="10" borderId="11" xfId="0" applyNumberFormat="1" applyFont="1" applyFill="1" applyBorder="1" applyAlignment="1">
      <alignment horizontal="left" vertical="center"/>
    </xf>
    <xf numFmtId="49" fontId="24" fillId="10" borderId="11" xfId="0" applyNumberFormat="1" applyFont="1" applyFill="1" applyBorder="1" applyAlignment="1">
      <alignment horizontal="center" vertical="center"/>
    </xf>
    <xf numFmtId="0" fontId="24" fillId="10" borderId="17" xfId="0" applyFont="1" applyFill="1" applyBorder="1" applyAlignment="1">
      <alignment horizontal="left" vertical="center"/>
    </xf>
    <xf numFmtId="0" fontId="24" fillId="10" borderId="10" xfId="0" applyFont="1" applyFill="1" applyBorder="1" applyAlignment="1">
      <alignment horizontal="left" vertical="center"/>
    </xf>
    <xf numFmtId="0" fontId="24" fillId="10" borderId="14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6" xfId="0" applyFont="1" applyFill="1" applyBorder="1" applyAlignment="1">
      <alignment vertical="center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/>
    <xf numFmtId="0" fontId="0" fillId="0" borderId="0" xfId="0" applyFont="1" applyAlignment="1"/>
    <xf numFmtId="0" fontId="8" fillId="10" borderId="37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2" fillId="10" borderId="37" xfId="0" applyFont="1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1" fontId="25" fillId="9" borderId="26" xfId="0" applyNumberFormat="1" applyFont="1" applyFill="1" applyBorder="1" applyAlignment="1">
      <alignment horizontal="left" vertical="center" wrapText="1"/>
    </xf>
    <xf numFmtId="1" fontId="25" fillId="10" borderId="26" xfId="0" applyNumberFormat="1" applyFont="1" applyFill="1" applyBorder="1" applyAlignment="1">
      <alignment horizontal="left" vertical="center" wrapText="1"/>
    </xf>
    <xf numFmtId="1" fontId="25" fillId="10" borderId="28" xfId="0" applyNumberFormat="1" applyFont="1" applyFill="1" applyBorder="1" applyAlignment="1">
      <alignment horizontal="left" vertical="center" wrapText="1"/>
    </xf>
    <xf numFmtId="1" fontId="25" fillId="10" borderId="29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1" fontId="25" fillId="14" borderId="27" xfId="0" applyNumberFormat="1" applyFont="1" applyFill="1" applyBorder="1" applyAlignment="1">
      <alignment horizontal="left" vertical="center" wrapText="1"/>
    </xf>
    <xf numFmtId="1" fontId="25" fillId="14" borderId="42" xfId="0" applyNumberFormat="1" applyFont="1" applyFill="1" applyBorder="1" applyAlignment="1">
      <alignment horizontal="left" vertical="center" wrapText="1"/>
    </xf>
    <xf numFmtId="1" fontId="25" fillId="18" borderId="25" xfId="0" applyNumberFormat="1" applyFont="1" applyFill="1" applyBorder="1" applyAlignment="1">
      <alignment horizontal="left" vertical="center" wrapText="1"/>
    </xf>
    <xf numFmtId="1" fontId="25" fillId="18" borderId="28" xfId="0" applyNumberFormat="1" applyFont="1" applyFill="1" applyBorder="1" applyAlignment="1">
      <alignment horizontal="left" vertical="center" wrapText="1"/>
    </xf>
    <xf numFmtId="1" fontId="25" fillId="18" borderId="30" xfId="0" applyNumberFormat="1" applyFont="1" applyFill="1" applyBorder="1" applyAlignment="1">
      <alignment horizontal="left" vertical="center" wrapText="1"/>
    </xf>
    <xf numFmtId="1" fontId="25" fillId="9" borderId="18" xfId="0" applyNumberFormat="1" applyFont="1" applyFill="1" applyBorder="1" applyAlignment="1">
      <alignment horizontal="left" vertical="center" wrapText="1"/>
    </xf>
    <xf numFmtId="1" fontId="25" fillId="9" borderId="28" xfId="0" applyNumberFormat="1" applyFont="1" applyFill="1" applyBorder="1" applyAlignment="1">
      <alignment horizontal="left" vertical="center" wrapText="1"/>
    </xf>
    <xf numFmtId="1" fontId="25" fillId="9" borderId="19" xfId="0" applyNumberFormat="1" applyFont="1" applyFill="1" applyBorder="1" applyAlignment="1">
      <alignment horizontal="left" vertical="center" wrapText="1"/>
    </xf>
    <xf numFmtId="1" fontId="25" fillId="19" borderId="28" xfId="0" applyNumberFormat="1" applyFont="1" applyFill="1" applyBorder="1" applyAlignment="1">
      <alignment horizontal="left"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 wrapText="1"/>
    </xf>
    <xf numFmtId="0" fontId="27" fillId="10" borderId="0" xfId="0" applyFont="1" applyFill="1" applyAlignment="1">
      <alignment horizontal="centerContinuous" vertical="center"/>
    </xf>
    <xf numFmtId="0" fontId="28" fillId="10" borderId="0" xfId="0" applyFont="1" applyFill="1" applyAlignment="1">
      <alignment horizontal="centerContinuous" vertical="center"/>
    </xf>
    <xf numFmtId="0" fontId="8" fillId="0" borderId="9" xfId="0" applyNumberFormat="1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164" fontId="8" fillId="0" borderId="37" xfId="0" applyNumberFormat="1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vertical="top"/>
    </xf>
    <xf numFmtId="0" fontId="0" fillId="0" borderId="0" xfId="0" applyFont="1"/>
    <xf numFmtId="0" fontId="29" fillId="14" borderId="52" xfId="0" applyFont="1" applyFill="1" applyBorder="1" applyAlignment="1">
      <alignment horizontal="centerContinuous"/>
    </xf>
    <xf numFmtId="0" fontId="30" fillId="14" borderId="53" xfId="0" applyFont="1" applyFill="1" applyBorder="1" applyAlignment="1">
      <alignment horizontal="centerContinuous"/>
    </xf>
    <xf numFmtId="0" fontId="30" fillId="14" borderId="54" xfId="0" applyFont="1" applyFill="1" applyBorder="1" applyAlignment="1">
      <alignment horizontal="centerContinuous"/>
    </xf>
    <xf numFmtId="0" fontId="29" fillId="14" borderId="29" xfId="0" applyFont="1" applyFill="1" applyBorder="1" applyAlignment="1">
      <alignment horizontal="centerContinuous" vertical="top"/>
    </xf>
    <xf numFmtId="0" fontId="30" fillId="14" borderId="48" xfId="0" applyFont="1" applyFill="1" applyBorder="1" applyAlignment="1">
      <alignment horizontal="centerContinuous" vertical="top"/>
    </xf>
    <xf numFmtId="0" fontId="30" fillId="14" borderId="55" xfId="0" applyFont="1" applyFill="1" applyBorder="1" applyAlignment="1">
      <alignment horizontal="centerContinuous" vertical="top"/>
    </xf>
    <xf numFmtId="0" fontId="8" fillId="9" borderId="47" xfId="102" applyFont="1" applyFill="1" applyBorder="1" applyAlignment="1">
      <alignment vertical="center"/>
    </xf>
    <xf numFmtId="0" fontId="8" fillId="9" borderId="47" xfId="102" applyFont="1" applyFill="1" applyBorder="1" applyAlignment="1">
      <alignment horizontal="right" vertical="center" indent="1"/>
    </xf>
    <xf numFmtId="0" fontId="21" fillId="9" borderId="47" xfId="102" applyFont="1" applyFill="1" applyBorder="1" applyAlignment="1">
      <alignment vertical="center"/>
    </xf>
    <xf numFmtId="0" fontId="8" fillId="9" borderId="51" xfId="102" applyFont="1" applyFill="1" applyBorder="1" applyAlignment="1">
      <alignment vertical="center"/>
    </xf>
    <xf numFmtId="0" fontId="8" fillId="9" borderId="0" xfId="102" applyFont="1" applyFill="1" applyBorder="1" applyAlignment="1">
      <alignment vertical="center"/>
    </xf>
    <xf numFmtId="0" fontId="8" fillId="9" borderId="0" xfId="102" applyFont="1" applyFill="1" applyBorder="1" applyAlignment="1">
      <alignment horizontal="center" vertical="center"/>
    </xf>
    <xf numFmtId="0" fontId="8" fillId="9" borderId="50" xfId="102" applyFont="1" applyFill="1" applyBorder="1" applyAlignment="1">
      <alignment vertical="center"/>
    </xf>
    <xf numFmtId="0" fontId="8" fillId="9" borderId="24" xfId="102" applyFont="1" applyFill="1" applyBorder="1" applyAlignment="1">
      <alignment vertical="center"/>
    </xf>
    <xf numFmtId="0" fontId="8" fillId="9" borderId="13" xfId="102" applyFont="1" applyFill="1" applyBorder="1" applyAlignment="1">
      <alignment vertical="center"/>
    </xf>
    <xf numFmtId="0" fontId="8" fillId="9" borderId="13" xfId="102" applyFont="1" applyFill="1" applyBorder="1" applyAlignment="1">
      <alignment horizontal="center" vertical="center"/>
    </xf>
    <xf numFmtId="0" fontId="21" fillId="9" borderId="0" xfId="102" applyFont="1" applyFill="1" applyBorder="1" applyAlignment="1">
      <alignment horizontal="centerContinuous" vertical="center"/>
    </xf>
    <xf numFmtId="0" fontId="8" fillId="9" borderId="0" xfId="102" applyFont="1" applyFill="1" applyBorder="1" applyAlignment="1">
      <alignment horizontal="right" vertical="center" indent="1"/>
    </xf>
    <xf numFmtId="164" fontId="8" fillId="0" borderId="36" xfId="0" applyNumberFormat="1" applyFont="1" applyBorder="1" applyAlignment="1">
      <alignment horizontal="center" vertical="center"/>
    </xf>
    <xf numFmtId="164" fontId="8" fillId="0" borderId="6" xfId="0" applyNumberFormat="1" applyFont="1" applyBorder="1" applyAlignment="1">
      <alignment horizontal="center" vertical="center"/>
    </xf>
    <xf numFmtId="0" fontId="8" fillId="0" borderId="37" xfId="0" applyNumberFormat="1" applyFont="1" applyBorder="1" applyAlignment="1">
      <alignment horizontal="left" vertical="center"/>
    </xf>
    <xf numFmtId="1" fontId="8" fillId="0" borderId="37" xfId="0" applyNumberFormat="1" applyFont="1" applyBorder="1" applyAlignment="1">
      <alignment horizontal="center" vertical="center"/>
    </xf>
    <xf numFmtId="1" fontId="8" fillId="0" borderId="9" xfId="0" applyNumberFormat="1" applyFont="1" applyBorder="1" applyAlignment="1">
      <alignment horizontal="center" vertical="center"/>
    </xf>
    <xf numFmtId="166" fontId="8" fillId="0" borderId="37" xfId="0" applyNumberFormat="1" applyFont="1" applyBorder="1" applyAlignment="1">
      <alignment horizontal="center" vertical="center"/>
    </xf>
    <xf numFmtId="166" fontId="8" fillId="0" borderId="9" xfId="0" applyNumberFormat="1" applyFont="1" applyBorder="1" applyAlignment="1">
      <alignment horizontal="center" vertical="center"/>
    </xf>
    <xf numFmtId="0" fontId="23" fillId="0" borderId="23" xfId="0" applyNumberFormat="1" applyFont="1" applyBorder="1" applyAlignment="1">
      <alignment horizontal="center" vertical="center"/>
    </xf>
    <xf numFmtId="0" fontId="23" fillId="0" borderId="3" xfId="0" applyNumberFormat="1" applyFont="1" applyBorder="1" applyAlignment="1">
      <alignment horizontal="center" vertical="center"/>
    </xf>
    <xf numFmtId="0" fontId="10" fillId="12" borderId="59" xfId="0" applyFont="1" applyFill="1" applyBorder="1" applyAlignment="1">
      <alignment horizontal="center" vertical="center"/>
    </xf>
    <xf numFmtId="0" fontId="31" fillId="10" borderId="13" xfId="0" applyFont="1" applyFill="1" applyBorder="1" applyAlignment="1">
      <alignment horizontal="left" wrapText="1"/>
    </xf>
    <xf numFmtId="0" fontId="13" fillId="14" borderId="0" xfId="0" applyFont="1" applyFill="1" applyBorder="1" applyAlignment="1">
      <alignment wrapText="1"/>
    </xf>
    <xf numFmtId="0" fontId="13" fillId="14" borderId="0" xfId="0" applyFont="1" applyFill="1" applyBorder="1" applyAlignment="1">
      <alignment horizontal="center" wrapText="1"/>
    </xf>
    <xf numFmtId="0" fontId="31" fillId="10" borderId="23" xfId="0" applyFont="1" applyFill="1" applyBorder="1" applyAlignment="1">
      <alignment wrapText="1"/>
    </xf>
    <xf numFmtId="0" fontId="33" fillId="14" borderId="62" xfId="1" applyFont="1" applyFill="1" applyBorder="1" applyAlignment="1">
      <alignment horizontal="centerContinuous" vertical="center"/>
    </xf>
    <xf numFmtId="0" fontId="33" fillId="14" borderId="63" xfId="1" applyFont="1" applyFill="1" applyBorder="1" applyAlignment="1">
      <alignment horizontal="centerContinuous" vertical="center"/>
    </xf>
    <xf numFmtId="0" fontId="33" fillId="14" borderId="64" xfId="1" applyFont="1" applyFill="1" applyBorder="1" applyAlignment="1">
      <alignment horizontal="centerContinuous" vertical="center"/>
    </xf>
    <xf numFmtId="0" fontId="27" fillId="10" borderId="22" xfId="0" applyFont="1" applyFill="1" applyBorder="1" applyAlignment="1">
      <alignment horizontal="centerContinuous" vertical="center"/>
    </xf>
    <xf numFmtId="0" fontId="27" fillId="10" borderId="20" xfId="0" applyFont="1" applyFill="1" applyBorder="1" applyAlignment="1">
      <alignment horizontal="centerContinuous" vertical="center"/>
    </xf>
    <xf numFmtId="0" fontId="0" fillId="0" borderId="0" xfId="0" applyFont="1" applyBorder="1" applyAlignment="1">
      <alignment horizontal="centerContinuous" vertical="center"/>
    </xf>
    <xf numFmtId="0" fontId="0" fillId="0" borderId="0" xfId="0" applyFont="1" applyBorder="1" applyAlignment="1">
      <alignment horizontal="centerContinuous" vertical="center" wrapText="1"/>
    </xf>
    <xf numFmtId="0" fontId="27" fillId="10" borderId="0" xfId="0" applyFont="1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168" fontId="0" fillId="0" borderId="0" xfId="0" applyNumberFormat="1" applyAlignment="1">
      <alignment vertical="center"/>
    </xf>
    <xf numFmtId="0" fontId="0" fillId="0" borderId="0" xfId="0" applyBorder="1" applyAlignment="1">
      <alignment vertical="center"/>
    </xf>
    <xf numFmtId="0" fontId="0" fillId="14" borderId="47" xfId="0" applyFont="1" applyFill="1" applyBorder="1"/>
    <xf numFmtId="0" fontId="0" fillId="14" borderId="0" xfId="0" applyFont="1" applyFill="1" applyBorder="1"/>
    <xf numFmtId="0" fontId="0" fillId="14" borderId="50" xfId="0" applyFont="1" applyFill="1" applyBorder="1"/>
    <xf numFmtId="0" fontId="0" fillId="14" borderId="47" xfId="0" applyFont="1" applyFill="1" applyBorder="1" applyAlignment="1">
      <alignment vertical="center"/>
    </xf>
    <xf numFmtId="0" fontId="0" fillId="14" borderId="0" xfId="0" applyFont="1" applyFill="1" applyBorder="1" applyAlignment="1">
      <alignment vertical="center"/>
    </xf>
    <xf numFmtId="0" fontId="0" fillId="14" borderId="50" xfId="0" applyFont="1" applyFill="1" applyBorder="1" applyAlignment="1">
      <alignment vertical="center"/>
    </xf>
    <xf numFmtId="0" fontId="0" fillId="14" borderId="51" xfId="0" applyFont="1" applyFill="1" applyBorder="1" applyAlignment="1">
      <alignment vertical="center"/>
    </xf>
    <xf numFmtId="0" fontId="0" fillId="14" borderId="13" xfId="0" applyFont="1" applyFill="1" applyBorder="1" applyAlignment="1">
      <alignment vertical="center"/>
    </xf>
    <xf numFmtId="0" fontId="0" fillId="14" borderId="24" xfId="0" applyFont="1" applyFill="1" applyBorder="1" applyAlignment="1">
      <alignment vertical="center"/>
    </xf>
    <xf numFmtId="164" fontId="8" fillId="0" borderId="3" xfId="0" applyNumberFormat="1" applyFont="1" applyBorder="1" applyAlignment="1">
      <alignment horizontal="left" vertical="center"/>
    </xf>
    <xf numFmtId="1" fontId="8" fillId="0" borderId="3" xfId="0" applyNumberFormat="1" applyFont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1" fontId="25" fillId="14" borderId="27" xfId="0" applyNumberFormat="1" applyFont="1" applyFill="1" applyBorder="1" applyAlignment="1">
      <alignment horizontal="center" vertical="center" wrapText="1"/>
    </xf>
    <xf numFmtId="1" fontId="25" fillId="9" borderId="27" xfId="0" applyNumberFormat="1" applyFont="1" applyFill="1" applyBorder="1" applyAlignment="1">
      <alignment horizontal="center" vertical="center" wrapText="1"/>
    </xf>
    <xf numFmtId="0" fontId="8" fillId="10" borderId="3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vertical="center"/>
    </xf>
    <xf numFmtId="0" fontId="8" fillId="10" borderId="6" xfId="0" applyNumberFormat="1" applyFont="1" applyFill="1" applyBorder="1" applyAlignment="1">
      <alignment vertical="center"/>
    </xf>
    <xf numFmtId="1" fontId="25" fillId="14" borderId="27" xfId="0" applyNumberFormat="1" applyFont="1" applyFill="1" applyBorder="1" applyAlignment="1" applyProtection="1">
      <alignment horizontal="left" vertical="center" wrapText="1"/>
      <protection locked="0"/>
    </xf>
    <xf numFmtId="0" fontId="8" fillId="0" borderId="33" xfId="0" applyFont="1" applyBorder="1" applyAlignment="1" applyProtection="1">
      <alignment vertical="center"/>
      <protection locked="0"/>
    </xf>
    <xf numFmtId="0" fontId="8" fillId="0" borderId="3" xfId="0" applyFont="1" applyBorder="1" applyAlignment="1" applyProtection="1">
      <alignment vertical="center"/>
      <protection locked="0"/>
    </xf>
    <xf numFmtId="0" fontId="24" fillId="10" borderId="11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" fontId="25" fillId="9" borderId="27" xfId="0" applyNumberFormat="1" applyFont="1" applyFill="1" applyBorder="1" applyAlignment="1" applyProtection="1">
      <alignment horizontal="left" vertical="center" wrapText="1"/>
      <protection locked="0"/>
    </xf>
    <xf numFmtId="18" fontId="8" fillId="0" borderId="3" xfId="0" applyNumberFormat="1" applyFont="1" applyBorder="1" applyAlignment="1" applyProtection="1">
      <alignment vertical="center"/>
      <protection locked="0"/>
    </xf>
    <xf numFmtId="1" fontId="25" fillId="14" borderId="27" xfId="0" applyNumberFormat="1" applyFont="1" applyFill="1" applyBorder="1" applyAlignment="1" applyProtection="1">
      <alignment horizontal="left" vertical="center" wrapText="1"/>
    </xf>
    <xf numFmtId="0" fontId="24" fillId="10" borderId="11" xfId="0" applyFont="1" applyFill="1" applyBorder="1" applyAlignment="1" applyProtection="1">
      <alignment vertical="center"/>
    </xf>
    <xf numFmtId="0" fontId="8" fillId="0" borderId="0" xfId="0" applyFont="1" applyAlignment="1" applyProtection="1">
      <alignment horizontal="left" vertical="center"/>
    </xf>
    <xf numFmtId="1" fontId="25" fillId="12" borderId="18" xfId="0" applyNumberFormat="1" applyFont="1" applyFill="1" applyBorder="1" applyAlignment="1" applyProtection="1">
      <alignment horizontal="left" vertical="center" wrapText="1"/>
      <protection locked="0"/>
    </xf>
    <xf numFmtId="0" fontId="8" fillId="0" borderId="39" xfId="0" applyFont="1" applyFill="1" applyBorder="1" applyAlignment="1" applyProtection="1">
      <alignment horizontal="left" vertical="center"/>
      <protection locked="0"/>
    </xf>
    <xf numFmtId="0" fontId="8" fillId="0" borderId="40" xfId="0" applyFont="1" applyBorder="1" applyAlignment="1" applyProtection="1">
      <alignment horizontal="left" vertical="center"/>
      <protection locked="0"/>
    </xf>
    <xf numFmtId="0" fontId="8" fillId="0" borderId="3" xfId="0" applyNumberFormat="1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left" vertical="center"/>
      <protection locked="0"/>
    </xf>
    <xf numFmtId="0" fontId="24" fillId="10" borderId="41" xfId="0" applyFont="1" applyFill="1" applyBorder="1" applyAlignment="1" applyProtection="1">
      <alignment horizontal="left" vertical="center"/>
      <protection locked="0"/>
    </xf>
    <xf numFmtId="169" fontId="8" fillId="0" borderId="43" xfId="0" applyNumberFormat="1" applyFont="1" applyBorder="1" applyAlignment="1" applyProtection="1">
      <alignment horizontal="center" vertical="center"/>
      <protection locked="0"/>
    </xf>
    <xf numFmtId="164" fontId="8" fillId="0" borderId="39" xfId="0" applyNumberFormat="1" applyFont="1" applyFill="1" applyBorder="1" applyAlignment="1" applyProtection="1">
      <alignment horizontal="left" vertical="center"/>
      <protection locked="0"/>
    </xf>
    <xf numFmtId="169" fontId="8" fillId="0" borderId="44" xfId="0" applyNumberFormat="1" applyFont="1" applyBorder="1" applyAlignment="1" applyProtection="1">
      <alignment horizontal="center" vertical="center"/>
      <protection locked="0"/>
    </xf>
    <xf numFmtId="164" fontId="8" fillId="0" borderId="40" xfId="0" applyNumberFormat="1" applyFont="1" applyBorder="1" applyAlignment="1" applyProtection="1">
      <alignment horizontal="left" vertical="center"/>
      <protection locked="0"/>
    </xf>
    <xf numFmtId="169" fontId="8" fillId="0" borderId="3" xfId="0" applyNumberFormat="1" applyFont="1" applyBorder="1" applyAlignment="1" applyProtection="1">
      <alignment horizontal="center" vertical="center"/>
      <protection locked="0"/>
    </xf>
    <xf numFmtId="164" fontId="8" fillId="0" borderId="3" xfId="0" applyNumberFormat="1" applyFont="1" applyBorder="1" applyAlignment="1" applyProtection="1">
      <alignment horizontal="left" vertical="center"/>
      <protection locked="0"/>
    </xf>
    <xf numFmtId="0" fontId="24" fillId="10" borderId="45" xfId="0" applyFont="1" applyFill="1" applyBorder="1" applyAlignment="1" applyProtection="1">
      <alignment horizontal="center" vertical="center"/>
      <protection locked="0"/>
    </xf>
    <xf numFmtId="169" fontId="8" fillId="0" borderId="36" xfId="0" applyNumberFormat="1" applyFont="1" applyBorder="1" applyAlignment="1" applyProtection="1">
      <alignment horizontal="center" vertical="center"/>
      <protection locked="0"/>
    </xf>
    <xf numFmtId="0" fontId="8" fillId="0" borderId="56" xfId="0" applyNumberFormat="1" applyFont="1" applyBorder="1" applyAlignment="1" applyProtection="1">
      <alignment horizontal="left" vertical="center"/>
      <protection locked="0"/>
    </xf>
    <xf numFmtId="169" fontId="8" fillId="0" borderId="6" xfId="0" applyNumberFormat="1" applyFont="1" applyBorder="1" applyAlignment="1" applyProtection="1">
      <alignment horizontal="center" vertical="center"/>
      <protection locked="0"/>
    </xf>
    <xf numFmtId="0" fontId="8" fillId="0" borderId="57" xfId="0" applyNumberFormat="1" applyFont="1" applyBorder="1" applyAlignment="1" applyProtection="1">
      <alignment horizontal="left" vertical="center"/>
      <protection locked="0"/>
    </xf>
    <xf numFmtId="0" fontId="24" fillId="10" borderId="15" xfId="0" applyFont="1" applyFill="1" applyBorder="1" applyAlignment="1" applyProtection="1">
      <alignment horizontal="center" vertical="center"/>
      <protection locked="0"/>
    </xf>
    <xf numFmtId="0" fontId="24" fillId="10" borderId="58" xfId="0" applyFont="1" applyFill="1" applyBorder="1" applyAlignment="1" applyProtection="1">
      <alignment horizontal="left" vertical="center"/>
      <protection locked="0"/>
    </xf>
    <xf numFmtId="169" fontId="8" fillId="0" borderId="37" xfId="0" applyNumberFormat="1" applyFont="1" applyBorder="1" applyAlignment="1" applyProtection="1">
      <alignment horizontal="center" vertical="center"/>
      <protection locked="0"/>
    </xf>
    <xf numFmtId="169" fontId="8" fillId="0" borderId="4" xfId="0" applyNumberFormat="1" applyFont="1" applyBorder="1" applyAlignment="1" applyProtection="1">
      <alignment horizontal="center" vertical="center"/>
      <protection locked="0"/>
    </xf>
    <xf numFmtId="1" fontId="25" fillId="9" borderId="27" xfId="0" applyNumberFormat="1" applyFont="1" applyFill="1" applyBorder="1" applyAlignment="1" applyProtection="1">
      <alignment horizontal="center" vertical="center" wrapText="1"/>
    </xf>
    <xf numFmtId="0" fontId="24" fillId="10" borderId="11" xfId="0" applyFont="1" applyFill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0" borderId="33" xfId="0" applyNumberFormat="1" applyFont="1" applyBorder="1" applyAlignment="1" applyProtection="1">
      <alignment horizontal="left" vertical="center"/>
      <protection locked="0"/>
    </xf>
    <xf numFmtId="49" fontId="24" fillId="10" borderId="11" xfId="0" applyNumberFormat="1" applyFont="1" applyFill="1" applyBorder="1" applyAlignment="1" applyProtection="1">
      <alignment horizontal="left" vertical="center"/>
      <protection locked="0"/>
    </xf>
    <xf numFmtId="0" fontId="8" fillId="0" borderId="33" xfId="0" applyFont="1" applyBorder="1" applyAlignment="1" applyProtection="1">
      <alignment horizontal="left" vertical="center"/>
      <protection locked="0"/>
    </xf>
    <xf numFmtId="0" fontId="24" fillId="10" borderId="11" xfId="0" applyFont="1" applyFill="1" applyBorder="1" applyAlignment="1" applyProtection="1">
      <alignment horizontal="left" vertical="center"/>
      <protection locked="0"/>
    </xf>
    <xf numFmtId="0" fontId="8" fillId="0" borderId="37" xfId="0" applyNumberFormat="1" applyFont="1" applyBorder="1" applyAlignment="1" applyProtection="1">
      <alignment horizontal="left" vertical="center"/>
      <protection locked="0"/>
    </xf>
    <xf numFmtId="0" fontId="8" fillId="0" borderId="9" xfId="0" applyNumberFormat="1" applyFont="1" applyBorder="1" applyAlignment="1" applyProtection="1">
      <alignment horizontal="left" vertical="center"/>
      <protection locked="0"/>
    </xf>
    <xf numFmtId="0" fontId="24" fillId="10" borderId="45" xfId="0" applyFont="1" applyFill="1" applyBorder="1" applyAlignment="1" applyProtection="1">
      <alignment horizontal="left" vertical="center"/>
      <protection locked="0"/>
    </xf>
    <xf numFmtId="0" fontId="13" fillId="20" borderId="0" xfId="0" applyFont="1" applyFill="1" applyBorder="1" applyAlignment="1">
      <alignment horizontal="center" wrapText="1"/>
    </xf>
    <xf numFmtId="0" fontId="13" fillId="20" borderId="0" xfId="0" applyFont="1" applyFill="1" applyBorder="1" applyAlignment="1">
      <alignment horizontal="left" wrapText="1"/>
    </xf>
    <xf numFmtId="0" fontId="13" fillId="20" borderId="47" xfId="0" applyFont="1" applyFill="1" applyBorder="1" applyAlignment="1">
      <alignment wrapText="1"/>
    </xf>
    <xf numFmtId="0" fontId="10" fillId="14" borderId="3" xfId="0" applyFont="1" applyFill="1" applyBorder="1" applyAlignment="1">
      <alignment horizontal="center" vertical="center"/>
    </xf>
    <xf numFmtId="0" fontId="31" fillId="10" borderId="24" xfId="0" applyFont="1" applyFill="1" applyBorder="1" applyAlignment="1" applyProtection="1">
      <alignment wrapText="1"/>
      <protection locked="0"/>
    </xf>
    <xf numFmtId="0" fontId="31" fillId="10" borderId="23" xfId="0" applyFont="1" applyFill="1" applyBorder="1" applyAlignment="1" applyProtection="1">
      <alignment wrapText="1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0" fillId="12" borderId="60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left" wrapText="1"/>
      <protection locked="0"/>
    </xf>
    <xf numFmtId="0" fontId="8" fillId="0" borderId="0" xfId="0" applyFont="1" applyProtection="1">
      <protection locked="0"/>
    </xf>
    <xf numFmtId="166" fontId="8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 applyFill="1" applyAlignment="1" applyProtection="1">
      <alignment vertical="center"/>
      <protection locked="0"/>
    </xf>
    <xf numFmtId="0" fontId="8" fillId="0" borderId="0" xfId="0" applyFont="1" applyFill="1" applyProtection="1">
      <protection locked="0"/>
    </xf>
    <xf numFmtId="0" fontId="22" fillId="9" borderId="0" xfId="102" applyFont="1" applyFill="1" applyBorder="1" applyAlignment="1" applyProtection="1">
      <alignment horizontal="right" vertical="center"/>
    </xf>
    <xf numFmtId="1" fontId="25" fillId="14" borderId="65" xfId="0" applyNumberFormat="1" applyFont="1" applyFill="1" applyBorder="1" applyAlignment="1">
      <alignment horizontal="left" wrapText="1"/>
    </xf>
    <xf numFmtId="0" fontId="9" fillId="11" borderId="3" xfId="102" applyFont="1" applyFill="1" applyBorder="1" applyAlignment="1" applyProtection="1">
      <alignment horizontal="center" vertical="center"/>
      <protection locked="0"/>
    </xf>
    <xf numFmtId="0" fontId="39" fillId="10" borderId="66" xfId="0" applyFont="1" applyFill="1" applyBorder="1" applyAlignment="1">
      <alignment horizontal="centerContinuous" vertical="center"/>
    </xf>
    <xf numFmtId="0" fontId="39" fillId="10" borderId="66" xfId="0" applyFont="1" applyFill="1" applyBorder="1" applyAlignment="1">
      <alignment horizontal="centerContinuous" vertical="center" wrapText="1"/>
    </xf>
    <xf numFmtId="0" fontId="39" fillId="10" borderId="67" xfId="0" applyFont="1" applyFill="1" applyBorder="1" applyAlignment="1">
      <alignment horizontal="centerContinuous" vertical="center" wrapText="1"/>
    </xf>
    <xf numFmtId="0" fontId="40" fillId="10" borderId="22" xfId="0" applyFont="1" applyFill="1" applyBorder="1" applyAlignment="1">
      <alignment horizontal="centerContinuous" vertical="center"/>
    </xf>
    <xf numFmtId="0" fontId="40" fillId="10" borderId="49" xfId="0" applyFont="1" applyFill="1" applyBorder="1" applyAlignment="1">
      <alignment horizontal="centerContinuous" vertical="center"/>
    </xf>
    <xf numFmtId="0" fontId="40" fillId="10" borderId="20" xfId="0" applyFont="1" applyFill="1" applyBorder="1" applyAlignment="1">
      <alignment horizontal="centerContinuous" vertical="center"/>
    </xf>
    <xf numFmtId="1" fontId="25" fillId="14" borderId="38" xfId="0" applyNumberFormat="1" applyFont="1" applyFill="1" applyBorder="1" applyAlignment="1">
      <alignment horizontal="left" wrapText="1"/>
    </xf>
    <xf numFmtId="0" fontId="35" fillId="14" borderId="0" xfId="0" applyFont="1" applyFill="1" applyAlignment="1" applyProtection="1">
      <alignment horizontal="centerContinuous" vertical="center"/>
    </xf>
    <xf numFmtId="0" fontId="35" fillId="21" borderId="0" xfId="0" applyFont="1" applyFill="1" applyAlignment="1" applyProtection="1">
      <alignment horizontal="left" vertical="center"/>
    </xf>
    <xf numFmtId="0" fontId="35" fillId="21" borderId="0" xfId="0" applyFont="1" applyFill="1" applyAlignment="1" applyProtection="1">
      <alignment horizontal="right" vertical="center" indent="2"/>
    </xf>
    <xf numFmtId="0" fontId="8" fillId="14" borderId="0" xfId="0" applyFont="1" applyFill="1" applyAlignment="1" applyProtection="1">
      <alignment horizontal="centerContinuous" vertical="center"/>
    </xf>
    <xf numFmtId="0" fontId="8" fillId="21" borderId="0" xfId="0" applyFont="1" applyFill="1" applyAlignment="1" applyProtection="1">
      <alignment horizontal="left" vertical="center"/>
    </xf>
    <xf numFmtId="0" fontId="8" fillId="21" borderId="0" xfId="0" applyFont="1" applyFill="1" applyAlignment="1" applyProtection="1">
      <alignment horizontal="right" vertical="center" indent="2"/>
    </xf>
    <xf numFmtId="0" fontId="32" fillId="10" borderId="22" xfId="102" applyFont="1" applyFill="1" applyBorder="1" applyAlignment="1" applyProtection="1">
      <alignment horizontal="centerContinuous" vertical="center"/>
    </xf>
    <xf numFmtId="0" fontId="32" fillId="10" borderId="49" xfId="102" applyFont="1" applyFill="1" applyBorder="1" applyAlignment="1" applyProtection="1">
      <alignment horizontal="centerContinuous" vertical="center"/>
    </xf>
    <xf numFmtId="0" fontId="19" fillId="10" borderId="20" xfId="102" applyFont="1" applyFill="1" applyBorder="1" applyAlignment="1" applyProtection="1">
      <alignment horizontal="centerContinuous" vertical="center"/>
    </xf>
    <xf numFmtId="0" fontId="8" fillId="3" borderId="1" xfId="1" applyFont="1" applyFill="1" applyBorder="1" applyAlignment="1" applyProtection="1">
      <alignment vertical="center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0" fontId="12" fillId="4" borderId="1" xfId="1" applyFont="1" applyFill="1" applyBorder="1" applyAlignment="1" applyProtection="1">
      <alignment vertical="center"/>
      <protection locked="0"/>
    </xf>
    <xf numFmtId="0" fontId="12" fillId="4" borderId="1" xfId="1" applyFont="1" applyFill="1" applyBorder="1" applyAlignment="1" applyProtection="1">
      <alignment horizontal="center" vertical="center"/>
      <protection locked="0"/>
    </xf>
    <xf numFmtId="0" fontId="12" fillId="5" borderId="1" xfId="1" applyFont="1" applyFill="1" applyBorder="1" applyAlignment="1" applyProtection="1">
      <alignment vertical="center"/>
      <protection locked="0"/>
    </xf>
    <xf numFmtId="0" fontId="12" fillId="5" borderId="1" xfId="1" applyFont="1" applyFill="1" applyBorder="1" applyAlignment="1" applyProtection="1">
      <alignment horizontal="center" vertical="center"/>
      <protection locked="0"/>
    </xf>
    <xf numFmtId="0" fontId="12" fillId="13" borderId="1" xfId="1" applyFont="1" applyFill="1" applyBorder="1" applyAlignment="1" applyProtection="1">
      <alignment vertical="center"/>
      <protection locked="0"/>
    </xf>
    <xf numFmtId="0" fontId="12" fillId="13" borderId="1" xfId="1" applyFont="1" applyFill="1" applyBorder="1" applyAlignment="1" applyProtection="1">
      <alignment horizontal="center" vertical="center"/>
      <protection locked="0"/>
    </xf>
    <xf numFmtId="0" fontId="12" fillId="6" borderId="1" xfId="1" applyFont="1" applyFill="1" applyBorder="1" applyAlignment="1" applyProtection="1">
      <alignment vertical="center"/>
      <protection locked="0"/>
    </xf>
    <xf numFmtId="0" fontId="12" fillId="6" borderId="1" xfId="1" applyFont="1" applyFill="1" applyBorder="1" applyAlignment="1" applyProtection="1">
      <alignment horizontal="center" vertical="center"/>
      <protection locked="0"/>
    </xf>
    <xf numFmtId="0" fontId="14" fillId="7" borderId="1" xfId="1" applyFont="1" applyFill="1" applyBorder="1" applyAlignment="1" applyProtection="1">
      <alignment vertical="center"/>
      <protection locked="0"/>
    </xf>
    <xf numFmtId="0" fontId="14" fillId="7" borderId="1" xfId="1" applyFont="1" applyFill="1" applyBorder="1" applyAlignment="1" applyProtection="1">
      <alignment horizontal="center" vertical="center"/>
      <protection locked="0"/>
    </xf>
    <xf numFmtId="0" fontId="12" fillId="8" borderId="1" xfId="1" applyFont="1" applyFill="1" applyBorder="1" applyAlignment="1" applyProtection="1">
      <alignment horizontal="center" vertical="center"/>
      <protection locked="0"/>
    </xf>
    <xf numFmtId="0" fontId="10" fillId="3" borderId="1" xfId="1" applyFont="1" applyFill="1" applyBorder="1" applyAlignment="1" applyProtection="1">
      <alignment horizontal="center" vertical="center"/>
      <protection locked="0"/>
    </xf>
    <xf numFmtId="0" fontId="13" fillId="4" borderId="1" xfId="1" applyFont="1" applyFill="1" applyBorder="1" applyAlignment="1" applyProtection="1">
      <alignment horizontal="center" vertical="center"/>
      <protection locked="0"/>
    </xf>
    <xf numFmtId="0" fontId="13" fillId="5" borderId="1" xfId="1" applyFont="1" applyFill="1" applyBorder="1" applyAlignment="1" applyProtection="1">
      <alignment horizontal="center" vertical="center"/>
      <protection locked="0"/>
    </xf>
    <xf numFmtId="0" fontId="13" fillId="13" borderId="1" xfId="1" applyFont="1" applyFill="1" applyBorder="1" applyAlignment="1" applyProtection="1">
      <alignment horizontal="center" vertical="center"/>
      <protection locked="0"/>
    </xf>
    <xf numFmtId="0" fontId="13" fillId="6" borderId="1" xfId="1" applyFont="1" applyFill="1" applyBorder="1" applyAlignment="1" applyProtection="1">
      <alignment horizontal="center" vertical="center"/>
      <protection locked="0"/>
    </xf>
    <xf numFmtId="0" fontId="15" fillId="7" borderId="1" xfId="1" applyFont="1" applyFill="1" applyBorder="1" applyAlignment="1" applyProtection="1">
      <alignment horizontal="center" vertical="center"/>
      <protection locked="0"/>
    </xf>
    <xf numFmtId="0" fontId="13" fillId="8" borderId="1" xfId="1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left" vertical="center" wrapText="1" indent="1"/>
      <protection locked="0"/>
    </xf>
    <xf numFmtId="0" fontId="8" fillId="0" borderId="3" xfId="0" applyFont="1" applyFill="1" applyBorder="1" applyAlignment="1" applyProtection="1">
      <alignment horizontal="left" vertical="center" indent="1"/>
      <protection locked="0"/>
    </xf>
    <xf numFmtId="169" fontId="8" fillId="0" borderId="3" xfId="0" applyNumberFormat="1" applyFont="1" applyFill="1" applyBorder="1" applyAlignment="1" applyProtection="1">
      <alignment horizontal="left" vertical="center" indent="1"/>
      <protection locked="0"/>
    </xf>
    <xf numFmtId="168" fontId="8" fillId="0" borderId="3" xfId="0" applyNumberFormat="1" applyFont="1" applyFill="1" applyBorder="1" applyAlignment="1" applyProtection="1">
      <alignment horizontal="left" vertical="center" indent="1"/>
      <protection locked="0"/>
    </xf>
    <xf numFmtId="0" fontId="8" fillId="0" borderId="3" xfId="0" applyNumberFormat="1" applyFont="1" applyFill="1" applyBorder="1" applyAlignment="1" applyProtection="1">
      <alignment horizontal="left" vertical="center" indent="1"/>
      <protection locked="0"/>
    </xf>
    <xf numFmtId="18" fontId="8" fillId="0" borderId="3" xfId="0" applyNumberFormat="1" applyFont="1" applyFill="1" applyBorder="1" applyAlignment="1" applyProtection="1">
      <alignment horizontal="left" vertical="center" indent="1"/>
      <protection locked="0"/>
    </xf>
    <xf numFmtId="1" fontId="8" fillId="0" borderId="3" xfId="0" applyNumberFormat="1" applyFont="1" applyFill="1" applyBorder="1" applyAlignment="1" applyProtection="1">
      <alignment horizontal="left" vertical="center" indent="1"/>
      <protection locked="0"/>
    </xf>
    <xf numFmtId="171" fontId="8" fillId="0" borderId="3" xfId="0" applyNumberFormat="1" applyFont="1" applyFill="1" applyBorder="1" applyAlignment="1" applyProtection="1">
      <alignment horizontal="left" vertical="center" indent="1"/>
      <protection locked="0"/>
    </xf>
    <xf numFmtId="0" fontId="38" fillId="0" borderId="3" xfId="0" applyFont="1" applyFill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left" vertical="center" wrapText="1"/>
      <protection locked="0"/>
    </xf>
    <xf numFmtId="0" fontId="38" fillId="0" borderId="23" xfId="0" applyFont="1" applyFill="1" applyBorder="1" applyAlignment="1" applyProtection="1">
      <alignment horizontal="left" vertical="center"/>
      <protection locked="0"/>
    </xf>
    <xf numFmtId="0" fontId="8" fillId="0" borderId="23" xfId="0" applyFont="1" applyFill="1" applyBorder="1" applyAlignment="1" applyProtection="1">
      <alignment horizontal="left" vertical="center"/>
      <protection locked="0"/>
    </xf>
    <xf numFmtId="0" fontId="38" fillId="0" borderId="3" xfId="0" applyFont="1" applyBorder="1" applyAlignment="1" applyProtection="1">
      <alignment horizontal="left" vertical="center"/>
      <protection locked="0"/>
    </xf>
    <xf numFmtId="18" fontId="8" fillId="0" borderId="33" xfId="0" applyNumberFormat="1" applyFont="1" applyBorder="1" applyAlignment="1" applyProtection="1">
      <alignment horizontal="left" vertical="center"/>
      <protection locked="0"/>
    </xf>
    <xf numFmtId="0" fontId="8" fillId="0" borderId="33" xfId="0" applyFont="1" applyBorder="1" applyAlignment="1" applyProtection="1">
      <alignment horizontal="center" vertical="center"/>
      <protection locked="0"/>
    </xf>
    <xf numFmtId="169" fontId="8" fillId="0" borderId="33" xfId="0" applyNumberFormat="1" applyFont="1" applyBorder="1" applyAlignment="1" applyProtection="1">
      <alignment horizontal="center" vertical="center"/>
      <protection locked="0"/>
    </xf>
    <xf numFmtId="170" fontId="8" fillId="0" borderId="33" xfId="0" applyNumberFormat="1" applyFont="1" applyBorder="1" applyAlignment="1" applyProtection="1">
      <alignment horizontal="center" vertical="center"/>
      <protection locked="0"/>
    </xf>
    <xf numFmtId="18" fontId="8" fillId="0" borderId="3" xfId="0" applyNumberFormat="1" applyFont="1" applyBorder="1" applyAlignment="1" applyProtection="1">
      <alignment horizontal="left" vertical="center"/>
      <protection locked="0"/>
    </xf>
    <xf numFmtId="170" fontId="8" fillId="0" borderId="3" xfId="0" applyNumberFormat="1" applyFont="1" applyBorder="1" applyAlignment="1" applyProtection="1">
      <alignment horizontal="center" vertical="center"/>
      <protection locked="0"/>
    </xf>
    <xf numFmtId="0" fontId="27" fillId="10" borderId="6" xfId="0" applyFont="1" applyFill="1" applyBorder="1" applyAlignment="1">
      <alignment horizontal="centerContinuous" vertical="center"/>
    </xf>
    <xf numFmtId="0" fontId="27" fillId="10" borderId="9" xfId="0" applyFont="1" applyFill="1" applyBorder="1" applyAlignment="1">
      <alignment horizontal="centerContinuous" vertical="center"/>
    </xf>
    <xf numFmtId="0" fontId="28" fillId="10" borderId="9" xfId="0" applyFont="1" applyFill="1" applyBorder="1" applyAlignment="1">
      <alignment horizontal="centerContinuous" vertical="center" wrapText="1"/>
    </xf>
    <xf numFmtId="0" fontId="28" fillId="10" borderId="5" xfId="0" applyFont="1" applyFill="1" applyBorder="1" applyAlignment="1">
      <alignment horizontal="centerContinuous" vertical="center" wrapText="1"/>
    </xf>
    <xf numFmtId="0" fontId="9" fillId="0" borderId="0" xfId="0" applyFont="1" applyBorder="1" applyAlignment="1">
      <alignment vertical="center" wrapText="1"/>
    </xf>
    <xf numFmtId="0" fontId="27" fillId="10" borderId="3" xfId="0" applyFont="1" applyFill="1" applyBorder="1" applyAlignment="1">
      <alignment horizontal="centerContinuous" vertical="center"/>
    </xf>
    <xf numFmtId="0" fontId="0" fillId="22" borderId="3" xfId="0" applyFont="1" applyFill="1" applyBorder="1" applyAlignment="1">
      <alignment horizontal="right" vertical="center" indent="1"/>
    </xf>
    <xf numFmtId="0" fontId="13" fillId="14" borderId="47" xfId="0" applyFont="1" applyFill="1" applyBorder="1" applyAlignment="1">
      <alignment wrapText="1"/>
    </xf>
    <xf numFmtId="0" fontId="13" fillId="14" borderId="47" xfId="0" applyFont="1" applyFill="1" applyBorder="1" applyAlignment="1">
      <alignment horizontal="center" wrapText="1"/>
    </xf>
    <xf numFmtId="0" fontId="13" fillId="20" borderId="68" xfId="0" applyFont="1" applyFill="1" applyBorder="1" applyAlignment="1">
      <alignment wrapText="1"/>
    </xf>
    <xf numFmtId="1" fontId="8" fillId="0" borderId="0" xfId="0" applyNumberFormat="1" applyFont="1" applyAlignment="1"/>
    <xf numFmtId="169" fontId="8" fillId="0" borderId="0" xfId="0" applyNumberFormat="1" applyFont="1" applyProtection="1">
      <protection locked="0"/>
    </xf>
    <xf numFmtId="1" fontId="8" fillId="0" borderId="0" xfId="0" applyNumberFormat="1" applyFont="1" applyAlignment="1" applyProtection="1">
      <alignment horizontal="center"/>
      <protection locked="0"/>
    </xf>
    <xf numFmtId="0" fontId="9" fillId="22" borderId="47" xfId="0" applyFont="1" applyFill="1" applyBorder="1" applyAlignment="1">
      <alignment vertical="center"/>
    </xf>
    <xf numFmtId="0" fontId="9" fillId="22" borderId="50" xfId="0" applyFont="1" applyFill="1" applyBorder="1" applyAlignment="1">
      <alignment vertical="center"/>
    </xf>
    <xf numFmtId="168" fontId="9" fillId="22" borderId="47" xfId="0" applyNumberFormat="1" applyFont="1" applyFill="1" applyBorder="1" applyAlignment="1">
      <alignment vertical="center"/>
    </xf>
    <xf numFmtId="0" fontId="0" fillId="22" borderId="47" xfId="0" applyFill="1" applyBorder="1" applyAlignment="1">
      <alignment vertical="center"/>
    </xf>
    <xf numFmtId="0" fontId="0" fillId="22" borderId="50" xfId="0" applyFill="1" applyBorder="1" applyAlignment="1">
      <alignment vertical="center"/>
    </xf>
    <xf numFmtId="0" fontId="0" fillId="22" borderId="51" xfId="0" applyFill="1" applyBorder="1" applyAlignment="1">
      <alignment vertical="center"/>
    </xf>
    <xf numFmtId="0" fontId="0" fillId="22" borderId="24" xfId="0" applyFill="1" applyBorder="1" applyAlignment="1">
      <alignment vertical="center"/>
    </xf>
    <xf numFmtId="1" fontId="25" fillId="23" borderId="18" xfId="0" applyNumberFormat="1" applyFont="1" applyFill="1" applyBorder="1" applyAlignment="1">
      <alignment horizontal="left" vertical="center" wrapText="1"/>
    </xf>
    <xf numFmtId="1" fontId="25" fillId="23" borderId="28" xfId="0" applyNumberFormat="1" applyFont="1" applyFill="1" applyBorder="1" applyAlignment="1">
      <alignment horizontal="left" vertical="center" wrapText="1"/>
    </xf>
    <xf numFmtId="1" fontId="25" fillId="23" borderId="19" xfId="0" applyNumberFormat="1" applyFont="1" applyFill="1" applyBorder="1" applyAlignment="1">
      <alignment horizontal="left" vertical="center" wrapText="1"/>
    </xf>
    <xf numFmtId="1" fontId="25" fillId="18" borderId="18" xfId="0" applyNumberFormat="1" applyFont="1" applyFill="1" applyBorder="1" applyAlignment="1">
      <alignment horizontal="center" vertical="center" wrapText="1"/>
    </xf>
    <xf numFmtId="1" fontId="25" fillId="18" borderId="28" xfId="0" applyNumberFormat="1" applyFont="1" applyFill="1" applyBorder="1" applyAlignment="1">
      <alignment horizontal="center" vertical="center" wrapText="1"/>
    </xf>
    <xf numFmtId="1" fontId="25" fillId="18" borderId="29" xfId="0" applyNumberFormat="1" applyFont="1" applyFill="1" applyBorder="1" applyAlignment="1">
      <alignment horizontal="center" vertical="center" wrapText="1"/>
    </xf>
    <xf numFmtId="1" fontId="25" fillId="19" borderId="18" xfId="0" applyNumberFormat="1" applyFont="1" applyFill="1" applyBorder="1" applyAlignment="1">
      <alignment horizontal="left" vertical="center" wrapText="1"/>
    </xf>
    <xf numFmtId="1" fontId="25" fillId="18" borderId="18" xfId="0" applyNumberFormat="1" applyFont="1" applyFill="1" applyBorder="1" applyAlignment="1">
      <alignment horizontal="left" vertical="center" wrapText="1"/>
    </xf>
    <xf numFmtId="1" fontId="25" fillId="18" borderId="19" xfId="0" applyNumberFormat="1" applyFont="1" applyFill="1" applyBorder="1" applyAlignment="1">
      <alignment horizontal="left" vertical="center" wrapText="1"/>
    </xf>
    <xf numFmtId="1" fontId="25" fillId="18" borderId="48" xfId="0" applyNumberFormat="1" applyFont="1" applyFill="1" applyBorder="1" applyAlignment="1">
      <alignment horizontal="left" vertical="center" wrapText="1"/>
    </xf>
    <xf numFmtId="1" fontId="25" fillId="19" borderId="29" xfId="0" applyNumberFormat="1" applyFont="1" applyFill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/>
    </xf>
    <xf numFmtId="0" fontId="24" fillId="10" borderId="69" xfId="0" applyFont="1" applyFill="1" applyBorder="1" applyAlignment="1">
      <alignment horizontal="left" vertical="center"/>
    </xf>
    <xf numFmtId="0" fontId="8" fillId="0" borderId="11" xfId="0" applyNumberFormat="1" applyFont="1" applyBorder="1" applyAlignment="1">
      <alignment horizontal="left" vertical="center"/>
    </xf>
    <xf numFmtId="49" fontId="25" fillId="19" borderId="28" xfId="0" applyNumberFormat="1" applyFont="1" applyFill="1" applyBorder="1" applyAlignment="1">
      <alignment horizontal="left" vertical="center" wrapText="1"/>
    </xf>
    <xf numFmtId="49" fontId="25" fillId="24" borderId="28" xfId="0" applyNumberFormat="1" applyFont="1" applyFill="1" applyBorder="1" applyAlignment="1" applyProtection="1">
      <alignment horizontal="left" vertical="center" wrapText="1"/>
      <protection locked="0"/>
    </xf>
    <xf numFmtId="49" fontId="25" fillId="24" borderId="29" xfId="0" applyNumberFormat="1" applyFont="1" applyFill="1" applyBorder="1" applyAlignment="1" applyProtection="1">
      <alignment horizontal="left" vertical="center" wrapText="1"/>
      <protection locked="0"/>
    </xf>
    <xf numFmtId="49" fontId="25" fillId="24" borderId="29" xfId="0" applyNumberFormat="1" applyFont="1" applyFill="1" applyBorder="1" applyAlignment="1">
      <alignment horizontal="center" vertical="center" wrapText="1"/>
    </xf>
    <xf numFmtId="1" fontId="25" fillId="24" borderId="29" xfId="0" applyNumberFormat="1" applyFont="1" applyFill="1" applyBorder="1" applyAlignment="1">
      <alignment horizontal="center" vertical="center" wrapText="1"/>
    </xf>
    <xf numFmtId="169" fontId="25" fillId="24" borderId="19" xfId="0" applyNumberFormat="1" applyFont="1" applyFill="1" applyBorder="1" applyAlignment="1" applyProtection="1">
      <alignment horizontal="center" vertical="center" wrapText="1"/>
      <protection locked="0"/>
    </xf>
    <xf numFmtId="1" fontId="25" fillId="25" borderId="28" xfId="0" applyNumberFormat="1" applyFont="1" applyFill="1" applyBorder="1" applyAlignment="1">
      <alignment horizontal="left" vertical="center" wrapText="1"/>
    </xf>
    <xf numFmtId="1" fontId="25" fillId="25" borderId="30" xfId="0" applyNumberFormat="1" applyFont="1" applyFill="1" applyBorder="1" applyAlignment="1">
      <alignment horizontal="left" vertical="center" wrapText="1"/>
    </xf>
    <xf numFmtId="1" fontId="25" fillId="25" borderId="25" xfId="0" applyNumberFormat="1" applyFont="1" applyFill="1" applyBorder="1" applyAlignment="1">
      <alignment horizontal="left" vertical="center" wrapText="1"/>
    </xf>
    <xf numFmtId="1" fontId="25" fillId="26" borderId="28" xfId="0" applyNumberFormat="1" applyFont="1" applyFill="1" applyBorder="1" applyAlignment="1" applyProtection="1">
      <alignment horizontal="left" vertical="center" wrapText="1"/>
      <protection locked="0"/>
    </xf>
    <xf numFmtId="1" fontId="25" fillId="24" borderId="28" xfId="0" applyNumberFormat="1" applyFont="1" applyFill="1" applyBorder="1" applyAlignment="1" applyProtection="1">
      <alignment horizontal="left" vertical="center" wrapText="1"/>
      <protection locked="0"/>
    </xf>
    <xf numFmtId="1" fontId="25" fillId="24" borderId="29" xfId="0" applyNumberFormat="1" applyFont="1" applyFill="1" applyBorder="1" applyAlignment="1" applyProtection="1">
      <alignment horizontal="left" vertical="center" wrapText="1"/>
      <protection locked="0"/>
    </xf>
    <xf numFmtId="169" fontId="25" fillId="24" borderId="29" xfId="0" applyNumberFormat="1" applyFont="1" applyFill="1" applyBorder="1" applyAlignment="1" applyProtection="1">
      <alignment horizontal="center" vertical="center" wrapText="1"/>
      <protection locked="0"/>
    </xf>
    <xf numFmtId="1" fontId="25" fillId="24" borderId="30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61" xfId="0" applyFont="1" applyBorder="1" applyAlignment="1">
      <alignment vertical="center"/>
    </xf>
    <xf numFmtId="0" fontId="8" fillId="0" borderId="70" xfId="0" applyFont="1" applyBorder="1" applyAlignment="1">
      <alignment vertical="center"/>
    </xf>
    <xf numFmtId="0" fontId="8" fillId="0" borderId="5" xfId="0" applyNumberFormat="1" applyFont="1" applyBorder="1" applyAlignment="1">
      <alignment vertical="center"/>
    </xf>
    <xf numFmtId="0" fontId="24" fillId="10" borderId="71" xfId="0" applyFont="1" applyFill="1" applyBorder="1" applyAlignment="1">
      <alignment vertical="center"/>
    </xf>
    <xf numFmtId="0" fontId="8" fillId="0" borderId="73" xfId="0" applyFont="1" applyBorder="1" applyAlignment="1">
      <alignment horizontal="center" vertical="center"/>
    </xf>
    <xf numFmtId="0" fontId="8" fillId="0" borderId="74" xfId="0" applyFont="1" applyBorder="1" applyAlignment="1">
      <alignment horizontal="center" vertical="center"/>
    </xf>
    <xf numFmtId="0" fontId="10" fillId="14" borderId="3" xfId="0" applyFont="1" applyFill="1" applyBorder="1" applyAlignment="1">
      <alignment vertical="center" wrapText="1"/>
    </xf>
    <xf numFmtId="0" fontId="10" fillId="14" borderId="3" xfId="0" applyFont="1" applyFill="1" applyBorder="1" applyAlignment="1">
      <alignment wrapText="1"/>
    </xf>
    <xf numFmtId="0" fontId="8" fillId="0" borderId="3" xfId="0" applyFont="1" applyBorder="1" applyAlignment="1">
      <alignment horizontal="center"/>
    </xf>
    <xf numFmtId="0" fontId="8" fillId="0" borderId="0" xfId="0" applyFont="1" applyFill="1" applyBorder="1" applyAlignment="1"/>
    <xf numFmtId="0" fontId="8" fillId="0" borderId="0" xfId="0" applyFont="1" applyFill="1" applyBorder="1" applyAlignment="1" applyProtection="1">
      <protection locked="0"/>
    </xf>
    <xf numFmtId="169" fontId="8" fillId="0" borderId="0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8" fillId="0" borderId="0" xfId="0" applyFont="1" applyAlignment="1"/>
    <xf numFmtId="0" fontId="8" fillId="0" borderId="3" xfId="0" applyFont="1" applyBorder="1" applyAlignment="1"/>
    <xf numFmtId="0" fontId="9" fillId="0" borderId="0" xfId="0" applyFont="1" applyAlignme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36" fillId="14" borderId="0" xfId="0" applyFont="1" applyFill="1" applyAlignment="1" applyProtection="1">
      <alignment horizontal="centerContinuous"/>
    </xf>
    <xf numFmtId="0" fontId="0" fillId="14" borderId="0" xfId="0" applyFont="1" applyFill="1" applyAlignment="1" applyProtection="1">
      <alignment horizontal="centerContinuous" wrapText="1"/>
    </xf>
    <xf numFmtId="0" fontId="0" fillId="14" borderId="46" xfId="0" applyFont="1" applyFill="1" applyBorder="1" applyAlignment="1" applyProtection="1">
      <alignment horizontal="centerContinuous" wrapText="1"/>
    </xf>
    <xf numFmtId="0" fontId="11" fillId="10" borderId="56" xfId="0" applyFont="1" applyFill="1" applyBorder="1" applyAlignment="1" applyProtection="1">
      <alignment horizontal="centerContinuous"/>
      <protection locked="0"/>
    </xf>
    <xf numFmtId="0" fontId="11" fillId="10" borderId="61" xfId="0" applyFont="1" applyFill="1" applyBorder="1" applyAlignment="1">
      <alignment horizontal="centerContinuous"/>
    </xf>
    <xf numFmtId="0" fontId="12" fillId="14" borderId="0" xfId="0" applyFont="1" applyFill="1" applyAlignment="1" applyProtection="1">
      <alignment horizontal="centerContinuous"/>
    </xf>
    <xf numFmtId="0" fontId="0" fillId="14" borderId="0" xfId="0" applyFont="1" applyFill="1" applyAlignment="1" applyProtection="1">
      <alignment horizontal="centerContinuous"/>
    </xf>
    <xf numFmtId="0" fontId="8" fillId="0" borderId="5" xfId="0" applyFont="1" applyBorder="1" applyAlignment="1" applyProtection="1"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" xfId="0" applyFont="1" applyBorder="1" applyAlignment="1">
      <alignment horizontal="left"/>
    </xf>
    <xf numFmtId="0" fontId="8" fillId="0" borderId="3" xfId="0" applyFont="1" applyBorder="1" applyAlignment="1" applyProtection="1">
      <alignment horizontal="center"/>
      <protection locked="0"/>
    </xf>
    <xf numFmtId="166" fontId="8" fillId="0" borderId="3" xfId="0" applyNumberFormat="1" applyFont="1" applyBorder="1" applyAlignment="1" applyProtection="1">
      <alignment horizontal="center"/>
      <protection locked="0"/>
    </xf>
    <xf numFmtId="164" fontId="8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20" xfId="0" applyFont="1" applyBorder="1" applyAlignment="1" applyProtection="1">
      <protection locked="0"/>
    </xf>
    <xf numFmtId="0" fontId="8" fillId="0" borderId="21" xfId="0" applyFont="1" applyBorder="1" applyAlignment="1" applyProtection="1">
      <alignment horizontal="left"/>
      <protection locked="0"/>
    </xf>
    <xf numFmtId="0" fontId="8" fillId="0" borderId="21" xfId="0" applyFont="1" applyBorder="1" applyAlignment="1">
      <alignment horizontal="left"/>
    </xf>
    <xf numFmtId="0" fontId="8" fillId="0" borderId="21" xfId="0" applyFont="1" applyBorder="1" applyAlignment="1" applyProtection="1">
      <alignment horizontal="center"/>
      <protection locked="0"/>
    </xf>
    <xf numFmtId="166" fontId="8" fillId="0" borderId="21" xfId="0" applyNumberFormat="1" applyFont="1" applyBorder="1" applyAlignment="1" applyProtection="1">
      <alignment horizontal="center"/>
      <protection locked="0"/>
    </xf>
    <xf numFmtId="164" fontId="8" fillId="0" borderId="22" xfId="0" applyNumberFormat="1" applyFont="1" applyBorder="1" applyAlignment="1">
      <alignment horizontal="center"/>
    </xf>
    <xf numFmtId="0" fontId="8" fillId="0" borderId="0" xfId="0" applyFont="1" applyAlignment="1" applyProtection="1">
      <protection locked="0"/>
    </xf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8" fillId="0" borderId="0" xfId="0" applyFont="1" applyAlignment="1" applyProtection="1">
      <alignment horizontal="center"/>
      <protection locked="0"/>
    </xf>
    <xf numFmtId="0" fontId="16" fillId="14" borderId="72" xfId="0" applyFont="1" applyFill="1" applyBorder="1" applyAlignment="1">
      <alignment horizontal="center" vertical="center" wrapText="1"/>
    </xf>
    <xf numFmtId="0" fontId="37" fillId="14" borderId="0" xfId="0" applyFont="1" applyFill="1" applyAlignment="1" applyProtection="1">
      <alignment horizontal="left"/>
    </xf>
    <xf numFmtId="0" fontId="8" fillId="14" borderId="0" xfId="0" applyFont="1" applyFill="1" applyAlignment="1" applyProtection="1">
      <alignment horizontal="left" wrapText="1"/>
    </xf>
    <xf numFmtId="0" fontId="34" fillId="12" borderId="6" xfId="1" applyFont="1" applyFill="1" applyBorder="1" applyAlignment="1">
      <alignment horizontal="center"/>
    </xf>
    <xf numFmtId="0" fontId="34" fillId="12" borderId="9" xfId="1" applyFont="1" applyFill="1" applyBorder="1" applyAlignment="1">
      <alignment horizontal="center"/>
    </xf>
    <xf numFmtId="0" fontId="34" fillId="12" borderId="5" xfId="1" applyFont="1" applyFill="1" applyBorder="1" applyAlignment="1">
      <alignment horizontal="center"/>
    </xf>
  </cellXfs>
  <cellStyles count="1291"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Normal" xfId="0" builtinId="0"/>
    <cellStyle name="Normal 2" xfId="2"/>
    <cellStyle name="Normal 2 2" xfId="1"/>
    <cellStyle name="Normal 3" xfId="102"/>
    <cellStyle name="Normal 3 2" xfId="101"/>
    <cellStyle name="Normal 4" xfId="103"/>
    <cellStyle name="Normal 5" xfId="1080"/>
    <cellStyle name="Scores Head" xfId="3"/>
    <cellStyle name="Scores Head 2" xfId="4"/>
  </cellStyles>
  <dxfs count="5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6" formatCode="#0.0;\+#0.0;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bottom" textRotation="0" wrapText="1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6" formatCode="#0.0;\+#0.0;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6" formatCode="#0.0;\+#0.0;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4"/>
      </font>
      <alignment vertical="bottom" textRotation="0" justifyLastLine="0" shrinkToFit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justifyLastLine="0" shrinkToFit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alignment vertical="bottom" textRotation="0" justifyLastLine="0" shrinkToFit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alignment vertical="bottom" textRotation="0" justifyLastLine="0" shrinkToFit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alignment vertical="bottom" textRotation="0" justifyLastLine="0" shrinkToFit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indent="0" justifyLastLine="0" shrinkToFit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numFmt numFmtId="169" formatCode="&quot;$&quot;#,##0.00"/>
      <alignment horizontal="center" vertical="bottom" textRotation="0" indent="0" justifyLastLine="0" shrinkToFit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alignment vertical="bottom" textRotation="0" justifyLastLine="0" shrinkToFit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alignment vertical="bottom" textRotation="0" justifyLastLine="0" shrinkToFit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vertical="bottom" textRotation="0" justifyLastLine="0" shrinkToFit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alignment vertical="bottom" textRotation="0" justifyLastLine="0" shrinkToFit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alignment vertical="bottom" textRotation="0" wrapText="1" justifyLastLine="0" shrinkToFit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numFmt numFmtId="1" formatCode="0"/>
      <alignment horizontal="general" vertical="bottom" textRotation="0" wrapText="0" justifyLastLine="0" shrinkToFit="0"/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theme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theme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9" formatCode="&quot;$&quot;#,##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6" formatCode="#0.0;\+#0.0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9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9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9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 outline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9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numFmt numFmtId="164" formatCode="##;\+##;"/>
      <alignment horizontal="center" vertical="center" textRotation="0" indent="0" justifyLastLine="0" shrinkToFit="0"/>
      <border diagonalUp="0" diagonalDown="0" outline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numFmt numFmtId="0" formatCode="General"/>
      <alignment horizontal="center" vertical="center" textRotation="0" indent="0" justifyLastLine="0" shrinkToFit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alignment horizontal="center" vertical="center" textRotation="0" indent="0" justifyLastLine="0" shrinkToFit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name val="Arial"/>
        <scheme val="none"/>
      </font>
      <numFmt numFmtId="0" formatCode="General"/>
      <alignment horizontal="left" vertical="center" textRotation="0" indent="0" justifyLastLine="0" shrinkToFit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name val="Arial"/>
        <scheme val="none"/>
      </font>
      <numFmt numFmtId="0" formatCode="General"/>
      <alignment horizontal="left" vertical="center" textRotation="0" indent="0" justifyLastLine="0" shrinkToFit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name val="Arial"/>
        <scheme val="none"/>
      </font>
      <numFmt numFmtId="0" formatCode="General"/>
      <alignment horizontal="left" vertical="center" textRotation="0" indent="0" justifyLastLine="0" shrinkToFit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numFmt numFmtId="0" formatCode="General"/>
      <alignment horizontal="left" vertical="center" textRotation="0" indent="0" justifyLastLine="0" shrinkToFit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  <numFmt numFmtId="0" formatCode="General"/>
      <alignment horizontal="left" vertical="center" textRotation="0" indent="0" justifyLastLine="0" shrinkToFit="0"/>
      <border diagonalUp="0" diagonalDown="0" outline="0">
        <left style="thin">
          <color auto="1"/>
        </left>
        <right style="thin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23" formatCode="h:mm\ AM/PM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23" formatCode="h:mm\ AM/PM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##;\+##;"/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70" formatCode="&quot;$&quot;#,##0.00;&quot;$&quot;#,##0.00\ \C\R;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70" formatCode="&quot;$&quot;#,##0.00;&quot;$&quot;#,##0.00\ \C\R;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9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23" formatCode="h:mm\ AM/PM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medium">
          <color auto="1"/>
        </left>
        <right/>
        <top style="medium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###;\+###;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auto="1"/>
        </right>
        <top style="thin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Arial"/>
        <scheme val="none"/>
      </font>
    </dxf>
    <dxf>
      <font>
        <strike val="0"/>
        <outline val="0"/>
        <shadow val="0"/>
        <u val="none"/>
        <vertAlign val="baseline"/>
        <sz val="14"/>
        <name val="Arial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scheme val="none"/>
      </font>
      <alignment vertical="center" textRotation="0" justifyLastLine="0" shrinkToFit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2" tint="-0.249977111117893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2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theme="1"/>
      </font>
      <fill>
        <patternFill patternType="solid">
          <fgColor indexed="64"/>
          <bgColor theme="2" tint="-0.249977111117893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fgColor auto="1"/>
          <bgColor auto="1"/>
        </patternFill>
      </fill>
    </dxf>
    <dxf>
      <fill>
        <patternFill patternType="solid">
          <fgColor indexed="64"/>
          <bgColor theme="2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fgColor auto="1"/>
          <bgColor auto="1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color theme="0"/>
      </font>
      <fill>
        <patternFill patternType="solid">
          <fgColor indexed="64"/>
          <bgColor theme="1"/>
        </patternFill>
      </fill>
    </dxf>
    <dxf>
      <font>
        <b/>
        <i val="0"/>
        <color theme="1"/>
      </font>
      <fill>
        <patternFill patternType="solid">
          <fgColor indexed="64"/>
          <bgColor theme="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4" defaultTableStyle="Table Style 1" defaultPivotStyle="PivotStyleMedium4">
    <tableStyle name="Kevin Table Style" pivot="0" count="5">
      <tableStyleElement type="wholeTable" dxfId="567"/>
      <tableStyleElement type="headerRow" dxfId="566"/>
      <tableStyleElement type="totalRow" dxfId="565"/>
      <tableStyleElement type="secondRowStripe" dxfId="564"/>
      <tableStyleElement type="firstColumnStripe" dxfId="563"/>
    </tableStyle>
    <tableStyle name="Table Style 1" pivot="0" count="5">
      <tableStyleElement type="wholeTable" dxfId="562"/>
      <tableStyleElement type="headerRow" dxfId="561"/>
      <tableStyleElement type="totalRow" dxfId="560"/>
      <tableStyleElement type="secondRowStripe" dxfId="559"/>
      <tableStyleElement type="secondColumnStripe" dxfId="558"/>
    </tableStyle>
    <tableStyle name="Table Style 1 2" pivot="0" count="4">
      <tableStyleElement type="wholeTable" dxfId="557"/>
      <tableStyleElement type="headerRow" dxfId="556"/>
      <tableStyleElement type="totalRow" dxfId="555"/>
      <tableStyleElement type="secondRowStripe" dxfId="554"/>
    </tableStyle>
    <tableStyle name="Table Style 1 3" pivot="0" count="4">
      <tableStyleElement type="wholeTable" dxfId="553"/>
      <tableStyleElement type="headerRow" dxfId="552"/>
      <tableStyleElement type="totalRow" dxfId="551"/>
      <tableStyleElement type="secondRowStripe" dxfId="55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122776</xdr:colOff>
      <xdr:row>1</xdr:row>
      <xdr:rowOff>268585</xdr:rowOff>
    </xdr:from>
    <xdr:ext cx="4288353" cy="1323439"/>
    <xdr:sp macro="" textlink="">
      <xdr:nvSpPr>
        <xdr:cNvPr id="2" name="Rectangle 1"/>
        <xdr:cNvSpPr/>
      </xdr:nvSpPr>
      <xdr:spPr>
        <a:xfrm>
          <a:off x="2027776" y="1005185"/>
          <a:ext cx="4288353" cy="132343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25400">
                <a:solidFill>
                  <a:schemeClr val="tx1"/>
                </a:solidFill>
                <a:prstDash val="solid"/>
              </a:ln>
              <a:solidFill>
                <a:srgbClr val="FFFFCC"/>
              </a:solidFill>
              <a:effectLst/>
              <a:latin typeface="Arial Black"/>
              <a:cs typeface="Arial Black"/>
            </a:rPr>
            <a:t>TOURNAMENT</a:t>
          </a:r>
        </a:p>
        <a:p>
          <a:pPr algn="ctr"/>
          <a:r>
            <a:rPr lang="en-US" sz="4000" b="1" cap="none" spc="0">
              <a:ln w="25400">
                <a:solidFill>
                  <a:schemeClr val="tx1"/>
                </a:solidFill>
                <a:prstDash val="solid"/>
              </a:ln>
              <a:solidFill>
                <a:srgbClr val="FFFFCC"/>
              </a:solidFill>
              <a:effectLst/>
              <a:latin typeface="Arial Black"/>
              <a:cs typeface="Arial Black"/>
            </a:rPr>
            <a:t>DIRECTOR</a:t>
          </a:r>
        </a:p>
      </xdr:txBody>
    </xdr:sp>
    <xdr:clientData/>
  </xdr:oneCellAnchor>
  <xdr:twoCellAnchor>
    <xdr:from>
      <xdr:col>0</xdr:col>
      <xdr:colOff>215900</xdr:colOff>
      <xdr:row>4</xdr:row>
      <xdr:rowOff>165100</xdr:rowOff>
    </xdr:from>
    <xdr:to>
      <xdr:col>2</xdr:col>
      <xdr:colOff>215900</xdr:colOff>
      <xdr:row>8</xdr:row>
      <xdr:rowOff>0</xdr:rowOff>
    </xdr:to>
    <xdr:sp macro="[0]!GoTo_Defaults" textlink="">
      <xdr:nvSpPr>
        <xdr:cNvPr id="40" name="Rounded Rectangle 39"/>
        <xdr:cNvSpPr/>
      </xdr:nvSpPr>
      <xdr:spPr>
        <a:xfrm>
          <a:off x="215900" y="3467100"/>
          <a:ext cx="1905000" cy="5969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Defaults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0</xdr:col>
      <xdr:colOff>203200</xdr:colOff>
      <xdr:row>8</xdr:row>
      <xdr:rowOff>152400</xdr:rowOff>
    </xdr:from>
    <xdr:to>
      <xdr:col>2</xdr:col>
      <xdr:colOff>203200</xdr:colOff>
      <xdr:row>11</xdr:row>
      <xdr:rowOff>177800</xdr:rowOff>
    </xdr:to>
    <xdr:sp macro="[0]!GoTo_PlayerLookup" textlink="">
      <xdr:nvSpPr>
        <xdr:cNvPr id="41" name="Rounded Rectangle 40"/>
        <xdr:cNvSpPr/>
      </xdr:nvSpPr>
      <xdr:spPr>
        <a:xfrm>
          <a:off x="203200" y="4216400"/>
          <a:ext cx="1905000" cy="5969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Player Lookup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2</xdr:col>
      <xdr:colOff>393700</xdr:colOff>
      <xdr:row>4</xdr:row>
      <xdr:rowOff>177800</xdr:rowOff>
    </xdr:from>
    <xdr:to>
      <xdr:col>4</xdr:col>
      <xdr:colOff>393700</xdr:colOff>
      <xdr:row>8</xdr:row>
      <xdr:rowOff>12700</xdr:rowOff>
    </xdr:to>
    <xdr:sp macro="[0]!GoTo_TeamRoster" textlink="">
      <xdr:nvSpPr>
        <xdr:cNvPr id="42" name="Rounded Rectangle 41"/>
        <xdr:cNvSpPr/>
      </xdr:nvSpPr>
      <xdr:spPr>
        <a:xfrm>
          <a:off x="2298700" y="3479800"/>
          <a:ext cx="1905000" cy="5969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Contestants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2</xdr:col>
      <xdr:colOff>393700</xdr:colOff>
      <xdr:row>8</xdr:row>
      <xdr:rowOff>165100</xdr:rowOff>
    </xdr:from>
    <xdr:to>
      <xdr:col>4</xdr:col>
      <xdr:colOff>393700</xdr:colOff>
      <xdr:row>12</xdr:row>
      <xdr:rowOff>0</xdr:rowOff>
    </xdr:to>
    <xdr:sp macro="[0]!GoTo_CourseInfo" textlink="">
      <xdr:nvSpPr>
        <xdr:cNvPr id="43" name="Rounded Rectangle 42"/>
        <xdr:cNvSpPr/>
      </xdr:nvSpPr>
      <xdr:spPr>
        <a:xfrm>
          <a:off x="2298700" y="4229100"/>
          <a:ext cx="1905000" cy="5969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Course Info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4</xdr:col>
      <xdr:colOff>571500</xdr:colOff>
      <xdr:row>4</xdr:row>
      <xdr:rowOff>177800</xdr:rowOff>
    </xdr:from>
    <xdr:to>
      <xdr:col>6</xdr:col>
      <xdr:colOff>571500</xdr:colOff>
      <xdr:row>8</xdr:row>
      <xdr:rowOff>12700</xdr:rowOff>
    </xdr:to>
    <xdr:sp macro="[0]!GoTo_HoleEventList" textlink="">
      <xdr:nvSpPr>
        <xdr:cNvPr id="44" name="Rounded Rectangle 43"/>
        <xdr:cNvSpPr/>
      </xdr:nvSpPr>
      <xdr:spPr>
        <a:xfrm>
          <a:off x="4381500" y="3479800"/>
          <a:ext cx="1905000" cy="5969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Hole Events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4</xdr:col>
      <xdr:colOff>571500</xdr:colOff>
      <xdr:row>8</xdr:row>
      <xdr:rowOff>165100</xdr:rowOff>
    </xdr:from>
    <xdr:to>
      <xdr:col>6</xdr:col>
      <xdr:colOff>571500</xdr:colOff>
      <xdr:row>12</xdr:row>
      <xdr:rowOff>0</xdr:rowOff>
    </xdr:to>
    <xdr:sp macro="[0]!GoTo_ConcatHelper" textlink="">
      <xdr:nvSpPr>
        <xdr:cNvPr id="45" name="Rounded Rectangle 44"/>
        <xdr:cNvSpPr/>
      </xdr:nvSpPr>
      <xdr:spPr>
        <a:xfrm>
          <a:off x="4381500" y="4229100"/>
          <a:ext cx="1905000" cy="5969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Concat Helper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6</xdr:col>
      <xdr:colOff>762000</xdr:colOff>
      <xdr:row>4</xdr:row>
      <xdr:rowOff>177800</xdr:rowOff>
    </xdr:from>
    <xdr:to>
      <xdr:col>7</xdr:col>
      <xdr:colOff>1714500</xdr:colOff>
      <xdr:row>8</xdr:row>
      <xdr:rowOff>12700</xdr:rowOff>
    </xdr:to>
    <xdr:sp macro="[0]!GoTo_GiftCardList" textlink="">
      <xdr:nvSpPr>
        <xdr:cNvPr id="46" name="Rounded Rectangle 45"/>
        <xdr:cNvSpPr/>
      </xdr:nvSpPr>
      <xdr:spPr>
        <a:xfrm>
          <a:off x="6477000" y="3479800"/>
          <a:ext cx="1905000" cy="5969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Gift Cards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6</xdr:col>
      <xdr:colOff>774700</xdr:colOff>
      <xdr:row>8</xdr:row>
      <xdr:rowOff>165100</xdr:rowOff>
    </xdr:from>
    <xdr:to>
      <xdr:col>7</xdr:col>
      <xdr:colOff>1727200</xdr:colOff>
      <xdr:row>12</xdr:row>
      <xdr:rowOff>0</xdr:rowOff>
    </xdr:to>
    <xdr:sp macro="[0]!GoTo_GetIndex" textlink="">
      <xdr:nvSpPr>
        <xdr:cNvPr id="47" name="Rounded Rectangle 46"/>
        <xdr:cNvSpPr/>
      </xdr:nvSpPr>
      <xdr:spPr>
        <a:xfrm>
          <a:off x="6489700" y="4229100"/>
          <a:ext cx="1905000" cy="5969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Course Index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0</xdr:col>
      <xdr:colOff>127000</xdr:colOff>
      <xdr:row>0</xdr:row>
      <xdr:rowOff>114300</xdr:rowOff>
    </xdr:from>
    <xdr:to>
      <xdr:col>1</xdr:col>
      <xdr:colOff>825500</xdr:colOff>
      <xdr:row>0</xdr:row>
      <xdr:rowOff>622300</xdr:rowOff>
    </xdr:to>
    <xdr:sp macro="[0]!ShowDefaultsForm" textlink="">
      <xdr:nvSpPr>
        <xdr:cNvPr id="11" name="Rounded Rectangle 10"/>
        <xdr:cNvSpPr/>
      </xdr:nvSpPr>
      <xdr:spPr>
        <a:xfrm>
          <a:off x="127000" y="114300"/>
          <a:ext cx="1651000" cy="5080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Defaults Dialog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7</xdr:col>
      <xdr:colOff>139700</xdr:colOff>
      <xdr:row>0</xdr:row>
      <xdr:rowOff>114300</xdr:rowOff>
    </xdr:from>
    <xdr:to>
      <xdr:col>7</xdr:col>
      <xdr:colOff>1790700</xdr:colOff>
      <xdr:row>0</xdr:row>
      <xdr:rowOff>622300</xdr:rowOff>
    </xdr:to>
    <xdr:sp macro="[0]!ShowListManager" textlink="">
      <xdr:nvSpPr>
        <xdr:cNvPr id="12" name="Rounded Rectangle 11"/>
        <xdr:cNvSpPr/>
      </xdr:nvSpPr>
      <xdr:spPr>
        <a:xfrm>
          <a:off x="6807200" y="114300"/>
          <a:ext cx="1651000" cy="5080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List Manager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1</xdr:row>
      <xdr:rowOff>177800</xdr:rowOff>
    </xdr:from>
    <xdr:to>
      <xdr:col>6</xdr:col>
      <xdr:colOff>152400</xdr:colOff>
      <xdr:row>3</xdr:row>
      <xdr:rowOff>15240</xdr:rowOff>
    </xdr:to>
    <xdr:sp macro="[0]!GoTo_Home" textlink="">
      <xdr:nvSpPr>
        <xdr:cNvPr id="31" name="Rounded Rectangle 30"/>
        <xdr:cNvSpPr/>
      </xdr:nvSpPr>
      <xdr:spPr>
        <a:xfrm>
          <a:off x="11061700" y="774700"/>
          <a:ext cx="1828800" cy="54864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Home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6</xdr:col>
      <xdr:colOff>330200</xdr:colOff>
      <xdr:row>3</xdr:row>
      <xdr:rowOff>114300</xdr:rowOff>
    </xdr:from>
    <xdr:to>
      <xdr:col>6</xdr:col>
      <xdr:colOff>2159000</xdr:colOff>
      <xdr:row>4</xdr:row>
      <xdr:rowOff>307340</xdr:rowOff>
    </xdr:to>
    <xdr:sp macro="[0]!GoTo_PlayerLookup" textlink="">
      <xdr:nvSpPr>
        <xdr:cNvPr id="4" name="Rounded Rectangle 3"/>
        <xdr:cNvSpPr/>
      </xdr:nvSpPr>
      <xdr:spPr>
        <a:xfrm>
          <a:off x="13068300" y="1422400"/>
          <a:ext cx="1828800" cy="54864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Player Lookup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5</xdr:col>
      <xdr:colOff>215900</xdr:colOff>
      <xdr:row>3</xdr:row>
      <xdr:rowOff>114300</xdr:rowOff>
    </xdr:from>
    <xdr:to>
      <xdr:col>6</xdr:col>
      <xdr:colOff>165100</xdr:colOff>
      <xdr:row>4</xdr:row>
      <xdr:rowOff>307340</xdr:rowOff>
    </xdr:to>
    <xdr:sp macro="[0]!GoTo_TeamRoster" textlink="">
      <xdr:nvSpPr>
        <xdr:cNvPr id="5" name="Rounded Rectangle 4"/>
        <xdr:cNvSpPr/>
      </xdr:nvSpPr>
      <xdr:spPr>
        <a:xfrm>
          <a:off x="11074400" y="1422400"/>
          <a:ext cx="1828800" cy="54864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Contestants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6</xdr:col>
      <xdr:colOff>304800</xdr:colOff>
      <xdr:row>1</xdr:row>
      <xdr:rowOff>177800</xdr:rowOff>
    </xdr:from>
    <xdr:to>
      <xdr:col>6</xdr:col>
      <xdr:colOff>2133600</xdr:colOff>
      <xdr:row>3</xdr:row>
      <xdr:rowOff>15240</xdr:rowOff>
    </xdr:to>
    <xdr:sp macro="[0]!GoTo_CourseInfo" textlink="">
      <xdr:nvSpPr>
        <xdr:cNvPr id="6" name="Rounded Rectangle 5"/>
        <xdr:cNvSpPr/>
      </xdr:nvSpPr>
      <xdr:spPr>
        <a:xfrm>
          <a:off x="13042900" y="774700"/>
          <a:ext cx="1828800" cy="54864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Course Info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5</xdr:col>
      <xdr:colOff>228600</xdr:colOff>
      <xdr:row>5</xdr:row>
      <xdr:rowOff>50800</xdr:rowOff>
    </xdr:from>
    <xdr:to>
      <xdr:col>6</xdr:col>
      <xdr:colOff>177800</xdr:colOff>
      <xdr:row>6</xdr:row>
      <xdr:rowOff>243840</xdr:rowOff>
    </xdr:to>
    <xdr:sp macro="[0]!GoTo_HoleEventList" textlink="">
      <xdr:nvSpPr>
        <xdr:cNvPr id="7" name="Rounded Rectangle 6"/>
        <xdr:cNvSpPr/>
      </xdr:nvSpPr>
      <xdr:spPr>
        <a:xfrm>
          <a:off x="11087100" y="2070100"/>
          <a:ext cx="1828800" cy="54864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Hole Events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6</xdr:col>
      <xdr:colOff>330200</xdr:colOff>
      <xdr:row>5</xdr:row>
      <xdr:rowOff>38100</xdr:rowOff>
    </xdr:from>
    <xdr:to>
      <xdr:col>6</xdr:col>
      <xdr:colOff>2159000</xdr:colOff>
      <xdr:row>6</xdr:row>
      <xdr:rowOff>231140</xdr:rowOff>
    </xdr:to>
    <xdr:sp macro="[0]!GoTo_ConcatHelper" textlink="">
      <xdr:nvSpPr>
        <xdr:cNvPr id="8" name="Rounded Rectangle 7"/>
        <xdr:cNvSpPr/>
      </xdr:nvSpPr>
      <xdr:spPr>
        <a:xfrm>
          <a:off x="13068300" y="2057400"/>
          <a:ext cx="1828800" cy="54864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Concat Helper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5</xdr:col>
      <xdr:colOff>241300</xdr:colOff>
      <xdr:row>6</xdr:row>
      <xdr:rowOff>330200</xdr:rowOff>
    </xdr:from>
    <xdr:to>
      <xdr:col>6</xdr:col>
      <xdr:colOff>190500</xdr:colOff>
      <xdr:row>8</xdr:row>
      <xdr:rowOff>167640</xdr:rowOff>
    </xdr:to>
    <xdr:sp macro="[0]!GoTo_GiftCardList" textlink="">
      <xdr:nvSpPr>
        <xdr:cNvPr id="9" name="Rounded Rectangle 8"/>
        <xdr:cNvSpPr/>
      </xdr:nvSpPr>
      <xdr:spPr>
        <a:xfrm>
          <a:off x="11099800" y="2705100"/>
          <a:ext cx="1828800" cy="54864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Gift Cards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6</xdr:col>
      <xdr:colOff>342900</xdr:colOff>
      <xdr:row>6</xdr:row>
      <xdr:rowOff>330200</xdr:rowOff>
    </xdr:from>
    <xdr:to>
      <xdr:col>6</xdr:col>
      <xdr:colOff>2171700</xdr:colOff>
      <xdr:row>8</xdr:row>
      <xdr:rowOff>167640</xdr:rowOff>
    </xdr:to>
    <xdr:sp macro="[0]!GoTo_GetIndex" textlink="">
      <xdr:nvSpPr>
        <xdr:cNvPr id="10" name="Rounded Rectangle 9"/>
        <xdr:cNvSpPr/>
      </xdr:nvSpPr>
      <xdr:spPr>
        <a:xfrm>
          <a:off x="13081000" y="2705100"/>
          <a:ext cx="1828800" cy="54864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Course Index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1714500</xdr:colOff>
      <xdr:row>0</xdr:row>
      <xdr:rowOff>571500</xdr:rowOff>
    </xdr:to>
    <xdr:sp macro="[0]!ShowNavigateForm" textlink="">
      <xdr:nvSpPr>
        <xdr:cNvPr id="11" name="Rounded Rectangle 10"/>
        <xdr:cNvSpPr/>
      </xdr:nvSpPr>
      <xdr:spPr>
        <a:xfrm>
          <a:off x="63500" y="63500"/>
          <a:ext cx="1651000" cy="5080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To Sheet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3</xdr:col>
      <xdr:colOff>635000</xdr:colOff>
      <xdr:row>0</xdr:row>
      <xdr:rowOff>63500</xdr:rowOff>
    </xdr:from>
    <xdr:to>
      <xdr:col>3</xdr:col>
      <xdr:colOff>2247900</xdr:colOff>
      <xdr:row>0</xdr:row>
      <xdr:rowOff>571500</xdr:rowOff>
    </xdr:to>
    <xdr:sp macro="[0]!ShowListManager" textlink="">
      <xdr:nvSpPr>
        <xdr:cNvPr id="12" name="Rounded Rectangle 11"/>
        <xdr:cNvSpPr/>
      </xdr:nvSpPr>
      <xdr:spPr>
        <a:xfrm>
          <a:off x="7531100" y="63500"/>
          <a:ext cx="1612900" cy="5080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List Manager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2</xdr:col>
      <xdr:colOff>1231900</xdr:colOff>
      <xdr:row>0</xdr:row>
      <xdr:rowOff>63500</xdr:rowOff>
    </xdr:from>
    <xdr:to>
      <xdr:col>3</xdr:col>
      <xdr:colOff>584200</xdr:colOff>
      <xdr:row>0</xdr:row>
      <xdr:rowOff>571500</xdr:rowOff>
    </xdr:to>
    <xdr:sp macro="[0]!ShowDefaultsForm" textlink="">
      <xdr:nvSpPr>
        <xdr:cNvPr id="14" name="Rounded Rectangle 13"/>
        <xdr:cNvSpPr/>
      </xdr:nvSpPr>
      <xdr:spPr>
        <a:xfrm>
          <a:off x="5829300" y="63500"/>
          <a:ext cx="1651000" cy="5080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Defaults Dialog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0</xdr:row>
      <xdr:rowOff>63500</xdr:rowOff>
    </xdr:from>
    <xdr:to>
      <xdr:col>1</xdr:col>
      <xdr:colOff>1760220</xdr:colOff>
      <xdr:row>0</xdr:row>
      <xdr:rowOff>502412</xdr:rowOff>
    </xdr:to>
    <xdr:sp macro="[0]!ShowNavigateForm" textlink="">
      <xdr:nvSpPr>
        <xdr:cNvPr id="5" name="Rounded Rectangle 4"/>
        <xdr:cNvSpPr/>
      </xdr:nvSpPr>
      <xdr:spPr>
        <a:xfrm>
          <a:off x="635000" y="63500"/>
          <a:ext cx="1645920" cy="438912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To Sheet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10</xdr:col>
      <xdr:colOff>76200</xdr:colOff>
      <xdr:row>0</xdr:row>
      <xdr:rowOff>63500</xdr:rowOff>
    </xdr:from>
    <xdr:to>
      <xdr:col>10</xdr:col>
      <xdr:colOff>1722120</xdr:colOff>
      <xdr:row>0</xdr:row>
      <xdr:rowOff>502412</xdr:rowOff>
    </xdr:to>
    <xdr:sp macro="[0]!ShowListManager" textlink="">
      <xdr:nvSpPr>
        <xdr:cNvPr id="3" name="Rounded Rectangle 2"/>
        <xdr:cNvSpPr/>
      </xdr:nvSpPr>
      <xdr:spPr>
        <a:xfrm>
          <a:off x="4254500" y="63500"/>
          <a:ext cx="1645920" cy="438912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List Manager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1</xdr:col>
      <xdr:colOff>1879600</xdr:colOff>
      <xdr:row>0</xdr:row>
      <xdr:rowOff>63500</xdr:rowOff>
    </xdr:from>
    <xdr:to>
      <xdr:col>1</xdr:col>
      <xdr:colOff>3525520</xdr:colOff>
      <xdr:row>0</xdr:row>
      <xdr:rowOff>502412</xdr:rowOff>
    </xdr:to>
    <xdr:sp macro="[0]!ShowDefaultsForm" textlink="">
      <xdr:nvSpPr>
        <xdr:cNvPr id="4" name="Rounded Rectangle 3"/>
        <xdr:cNvSpPr/>
      </xdr:nvSpPr>
      <xdr:spPr>
        <a:xfrm>
          <a:off x="2400300" y="63500"/>
          <a:ext cx="1645920" cy="438912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Defaults Dialog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63500</xdr:rowOff>
    </xdr:from>
    <xdr:to>
      <xdr:col>1</xdr:col>
      <xdr:colOff>1813560</xdr:colOff>
      <xdr:row>0</xdr:row>
      <xdr:rowOff>502412</xdr:rowOff>
    </xdr:to>
    <xdr:sp macro="[0]!ShowNavigateForm" textlink="">
      <xdr:nvSpPr>
        <xdr:cNvPr id="4" name="Rounded Rectangle 3"/>
        <xdr:cNvSpPr/>
      </xdr:nvSpPr>
      <xdr:spPr>
        <a:xfrm>
          <a:off x="76200" y="63500"/>
          <a:ext cx="1737360" cy="438912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To Sheet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3</xdr:col>
      <xdr:colOff>88900</xdr:colOff>
      <xdr:row>0</xdr:row>
      <xdr:rowOff>63500</xdr:rowOff>
    </xdr:from>
    <xdr:to>
      <xdr:col>3</xdr:col>
      <xdr:colOff>1826260</xdr:colOff>
      <xdr:row>0</xdr:row>
      <xdr:rowOff>502412</xdr:rowOff>
    </xdr:to>
    <xdr:sp macro="[0]!ShowListManager" textlink="">
      <xdr:nvSpPr>
        <xdr:cNvPr id="3" name="Rounded Rectangle 2"/>
        <xdr:cNvSpPr/>
      </xdr:nvSpPr>
      <xdr:spPr>
        <a:xfrm>
          <a:off x="4826000" y="63500"/>
          <a:ext cx="1737360" cy="438912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List Manager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2</xdr:col>
      <xdr:colOff>88900</xdr:colOff>
      <xdr:row>0</xdr:row>
      <xdr:rowOff>63500</xdr:rowOff>
    </xdr:from>
    <xdr:to>
      <xdr:col>2</xdr:col>
      <xdr:colOff>1826260</xdr:colOff>
      <xdr:row>0</xdr:row>
      <xdr:rowOff>502412</xdr:rowOff>
    </xdr:to>
    <xdr:sp macro="[0]!ShowDefaultsForm" textlink="">
      <xdr:nvSpPr>
        <xdr:cNvPr id="5" name="Rounded Rectangle 4"/>
        <xdr:cNvSpPr/>
      </xdr:nvSpPr>
      <xdr:spPr>
        <a:xfrm>
          <a:off x="2908300" y="63500"/>
          <a:ext cx="1737360" cy="438912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Defaults Dialog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63500</xdr:rowOff>
    </xdr:from>
    <xdr:to>
      <xdr:col>1</xdr:col>
      <xdr:colOff>1813560</xdr:colOff>
      <xdr:row>0</xdr:row>
      <xdr:rowOff>500380</xdr:rowOff>
    </xdr:to>
    <xdr:sp macro="[0]!ShowNavigateForm" textlink="">
      <xdr:nvSpPr>
        <xdr:cNvPr id="5" name="Rounded Rectangle 4"/>
        <xdr:cNvSpPr/>
      </xdr:nvSpPr>
      <xdr:spPr>
        <a:xfrm>
          <a:off x="76200" y="63500"/>
          <a:ext cx="1737360" cy="43688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To Sheet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3</xdr:col>
      <xdr:colOff>76200</xdr:colOff>
      <xdr:row>0</xdr:row>
      <xdr:rowOff>63500</xdr:rowOff>
    </xdr:from>
    <xdr:to>
      <xdr:col>3</xdr:col>
      <xdr:colOff>1813560</xdr:colOff>
      <xdr:row>0</xdr:row>
      <xdr:rowOff>502412</xdr:rowOff>
    </xdr:to>
    <xdr:sp macro="[0]!ShowListManager" textlink="">
      <xdr:nvSpPr>
        <xdr:cNvPr id="3" name="Rounded Rectangle 2"/>
        <xdr:cNvSpPr/>
      </xdr:nvSpPr>
      <xdr:spPr>
        <a:xfrm>
          <a:off x="4610100" y="63500"/>
          <a:ext cx="1737360" cy="438912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List Manager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2</xdr:col>
      <xdr:colOff>88900</xdr:colOff>
      <xdr:row>0</xdr:row>
      <xdr:rowOff>63500</xdr:rowOff>
    </xdr:from>
    <xdr:to>
      <xdr:col>2</xdr:col>
      <xdr:colOff>1826260</xdr:colOff>
      <xdr:row>0</xdr:row>
      <xdr:rowOff>502412</xdr:rowOff>
    </xdr:to>
    <xdr:sp macro="[0]!ShowDefaultsForm" textlink="">
      <xdr:nvSpPr>
        <xdr:cNvPr id="4" name="Rounded Rectangle 3"/>
        <xdr:cNvSpPr/>
      </xdr:nvSpPr>
      <xdr:spPr>
        <a:xfrm>
          <a:off x="2552700" y="63500"/>
          <a:ext cx="1737360" cy="438912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Defaults Dialog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76200</xdr:rowOff>
    </xdr:from>
    <xdr:to>
      <xdr:col>0</xdr:col>
      <xdr:colOff>1996440</xdr:colOff>
      <xdr:row>1</xdr:row>
      <xdr:rowOff>101600</xdr:rowOff>
    </xdr:to>
    <xdr:sp macro="[0]!ShowNavigateForm" textlink="">
      <xdr:nvSpPr>
        <xdr:cNvPr id="3" name="Rounded Rectangle 2"/>
        <xdr:cNvSpPr/>
      </xdr:nvSpPr>
      <xdr:spPr>
        <a:xfrm>
          <a:off x="76200" y="76200"/>
          <a:ext cx="1920240" cy="4572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To Sheet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7</xdr:col>
      <xdr:colOff>2019300</xdr:colOff>
      <xdr:row>0</xdr:row>
      <xdr:rowOff>76200</xdr:rowOff>
    </xdr:from>
    <xdr:to>
      <xdr:col>9</xdr:col>
      <xdr:colOff>853440</xdr:colOff>
      <xdr:row>1</xdr:row>
      <xdr:rowOff>101600</xdr:rowOff>
    </xdr:to>
    <xdr:sp macro="[0]!ShowListManager" textlink="">
      <xdr:nvSpPr>
        <xdr:cNvPr id="4" name="Rounded Rectangle 3"/>
        <xdr:cNvSpPr/>
      </xdr:nvSpPr>
      <xdr:spPr>
        <a:xfrm>
          <a:off x="9677400" y="76200"/>
          <a:ext cx="1920240" cy="4572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List Manager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  <xdr:twoCellAnchor>
    <xdr:from>
      <xdr:col>7</xdr:col>
      <xdr:colOff>0</xdr:colOff>
      <xdr:row>0</xdr:row>
      <xdr:rowOff>76200</xdr:rowOff>
    </xdr:from>
    <xdr:to>
      <xdr:col>7</xdr:col>
      <xdr:colOff>1920240</xdr:colOff>
      <xdr:row>1</xdr:row>
      <xdr:rowOff>101600</xdr:rowOff>
    </xdr:to>
    <xdr:sp macro="[0]!ShowDefaultsForm" textlink="">
      <xdr:nvSpPr>
        <xdr:cNvPr id="5" name="Rounded Rectangle 4"/>
        <xdr:cNvSpPr/>
      </xdr:nvSpPr>
      <xdr:spPr>
        <a:xfrm>
          <a:off x="7658100" y="76200"/>
          <a:ext cx="1920240" cy="4572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Defaults Dialog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76200</xdr:rowOff>
    </xdr:from>
    <xdr:to>
      <xdr:col>1</xdr:col>
      <xdr:colOff>279400</xdr:colOff>
      <xdr:row>0</xdr:row>
      <xdr:rowOff>584200</xdr:rowOff>
    </xdr:to>
    <xdr:sp macro="[0]!ShowNavigateForm" textlink="">
      <xdr:nvSpPr>
        <xdr:cNvPr id="3" name="Rounded Rectangle 2"/>
        <xdr:cNvSpPr/>
      </xdr:nvSpPr>
      <xdr:spPr>
        <a:xfrm>
          <a:off x="76200" y="76200"/>
          <a:ext cx="1651000" cy="5080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 w="6350">
          <a:solidFill>
            <a:schemeClr val="bg2">
              <a:lumMod val="1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To Sheet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76200</xdr:rowOff>
    </xdr:from>
    <xdr:to>
      <xdr:col>0</xdr:col>
      <xdr:colOff>2006600</xdr:colOff>
      <xdr:row>1</xdr:row>
      <xdr:rowOff>156464</xdr:rowOff>
    </xdr:to>
    <xdr:sp macro="[0]!ShowNavigateForm" textlink="">
      <xdr:nvSpPr>
        <xdr:cNvPr id="3" name="Rounded Rectangle 2"/>
        <xdr:cNvSpPr/>
      </xdr:nvSpPr>
      <xdr:spPr>
        <a:xfrm>
          <a:off x="76200" y="76200"/>
          <a:ext cx="1930400" cy="512064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/>
            </a:gs>
          </a:gsLst>
        </a:gradFill>
        <a:ln>
          <a:solidFill>
            <a:schemeClr val="tx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To Sheet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76200</xdr:rowOff>
    </xdr:from>
    <xdr:to>
      <xdr:col>0</xdr:col>
      <xdr:colOff>1574800</xdr:colOff>
      <xdr:row>0</xdr:row>
      <xdr:rowOff>584200</xdr:rowOff>
    </xdr:to>
    <xdr:sp macro="[0]!ShowNavigateForm" textlink="">
      <xdr:nvSpPr>
        <xdr:cNvPr id="4" name="Rounded Rectangle 3"/>
        <xdr:cNvSpPr/>
      </xdr:nvSpPr>
      <xdr:spPr>
        <a:xfrm>
          <a:off x="76200" y="76200"/>
          <a:ext cx="1498600" cy="5080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100000">
              <a:schemeClr val="bg2">
                <a:lumMod val="90000"/>
              </a:schemeClr>
            </a:gs>
          </a:gsLst>
        </a:gradFill>
        <a:ln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1">
          <a:noAutofit/>
        </a:bodyPr>
        <a:lstStyle/>
        <a:p>
          <a:pPr marL="0" marR="0" algn="ctr">
            <a:lnSpc>
              <a:spcPct val="115000"/>
            </a:lnSpc>
            <a:spcBef>
              <a:spcPts val="300"/>
            </a:spcBef>
            <a:spcAft>
              <a:spcPts val="0"/>
            </a:spcAft>
          </a:pPr>
          <a:r>
            <a:rPr lang="en-US" sz="1400" b="1">
              <a:solidFill>
                <a:srgbClr val="000000"/>
              </a:solidFill>
              <a:effectLst/>
              <a:latin typeface="Arial"/>
              <a:ea typeface="ＭＳ 明朝"/>
              <a:cs typeface="Times New Roman"/>
            </a:rPr>
            <a:t>Go To Sheet</a:t>
          </a:r>
          <a:endParaRPr lang="en-US" sz="1200">
            <a:effectLst/>
            <a:latin typeface="Century Gothic"/>
            <a:ea typeface="ＭＳ 明朝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MergeNamesTable" displayName="MergeNamesTable" ref="B1:IA53" totalsRowCount="1" headerRowDxfId="540" dataDxfId="538" totalsRowDxfId="537" headerRowBorderDxfId="539">
  <autoFilter ref="B1:IA52"/>
  <sortState ref="B2:IC102">
    <sortCondition ref="O1:O102"/>
  </sortState>
  <tableColumns count="234">
    <tableColumn id="26" name="Team Name" dataDxfId="536" totalsRowDxfId="535">
      <calculatedColumnFormula>MergeNamesTable[[#This Row],[Team Name Concat]]</calculatedColumnFormula>
    </tableColumn>
    <tableColumn id="25" name="Team Name Up" dataDxfId="534" totalsRowDxfId="533">
      <calculatedColumnFormula>UPPER(MergeNamesTable[[#This Row],[Team Name]])</calculatedColumnFormula>
    </tableColumn>
    <tableColumn id="8" name="Team Name Concat" dataDxfId="532" totalsRowDxfId="531">
      <calculatedColumnFormula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calculatedColumnFormula>
    </tableColumn>
    <tableColumn id="47" name="Team Name Concat Up" dataDxfId="530" totalsRowDxfId="529">
      <calculatedColumnFormula>UPPER(MergeNamesTable[[#This Row],[Team Name Concat]])</calculatedColumnFormula>
    </tableColumn>
    <tableColumn id="48" name="Handicap Team Total" dataDxfId="528" totalsRowDxfId="527"/>
    <tableColumn id="49" name="Handicap Team Average" dataDxfId="526" totalsRowDxfId="525"/>
    <tableColumn id="50" name="Handicap Team Scramble" dataDxfId="524" totalsRowDxfId="523"/>
    <tableColumn id="51" name="Handicap Team Alternate" dataDxfId="522" totalsRowDxfId="521"/>
    <tableColumn id="52" name="Handicap Team Other" dataDxfId="520" totalsRowDxfId="519"/>
    <tableColumn id="2" name="Tournament" dataDxfId="518" totalsRowDxfId="517">
      <calculatedColumnFormula>IF(OR(MergeNamesTable[[#This Row],[Team Name]]&lt;&gt;"",MergeNamesTable[[#This Row],[Player 1 First Last]]&lt;&gt;""),'Defaults and Lookup Lists'!$B$2,"")</calculatedColumnFormula>
    </tableColumn>
    <tableColumn id="3" name="Flight" dataDxfId="516" totalsRowDxfId="515"/>
    <tableColumn id="158" name="Round Date" dataDxfId="514" totalsRowDxfId="513">
      <calculatedColumnFormula>IF(OR(MergeNamesTable[[#This Row],[Team Name]]&lt;&gt;"",MergeNamesTable[[#This Row],[Player 1 First Last]]&lt;&gt;""),TEXT('Defaults and Lookup Lists'!$B$7,"ddd, mmm d, yyyy"),"")</calculatedColumnFormula>
    </tableColumn>
    <tableColumn id="4" name="Start Time" dataDxfId="512" totalsRowDxfId="511">
      <calculatedColumnFormula>IF(OR(MergeNamesTable[[#This Row],[Team Name]]&lt;&gt;"",MergeNamesTable[[#This Row],[Player 1 First Last]]&lt;&gt;""),IF('Defaults and Lookup Lists'!$D$3="","",'Defaults and Lookup Lists'!$D$3),"")</calculatedColumnFormula>
    </tableColumn>
    <tableColumn id="6" name="Start Hole" dataDxfId="510" totalsRowDxfId="509">
      <calculatedColumnFormula>IF(OR(MergeNamesTable[[#This Row],[Team Name]]&lt;&gt;"",MergeNamesTable[[#This Row],[Player 1 First Last]]&lt;&gt;""),IF('Defaults and Lookup Lists'!$D$4="","",'Defaults and Lookup Lists'!D4),"")</calculatedColumnFormula>
    </tableColumn>
    <tableColumn id="7" name="Start Position" dataDxfId="508" totalsRowDxfId="507">
      <calculatedColumnFormula>IF(OR(MergeNamesTable[[#This Row],[Team Name]]&lt;&gt;"",MergeNamesTable[[#This Row],[Player 1 First Last]]&lt;&gt;""),IF('Defaults and Lookup Lists'!D2="Shotgun","A",""),"")</calculatedColumnFormula>
    </tableColumn>
    <tableColumn id="161" name="Entry Fee Team" dataDxfId="506" totalsRowDxfId="505">
      <calculatedColumnFormula>IF(OR(MergeNamesTable[[#This Row],[Team Name]]&lt;&gt;"",MergeNamesTable[[#This Row],[Player 1 First Last]]&lt;&gt;""),IF('Defaults and Lookup Lists'!$B$6="","",'Defaults and Lookup Lists'!$B$6),"")</calculatedColumnFormula>
    </tableColumn>
    <tableColumn id="163" name="Entry Fee Paid" dataDxfId="504" totalsRowDxfId="503">
      <calculatedColumnFormula>MergeNamesTable[[#This Row],[Player 1 Paid]]+MergeNamesTable[[#This Row],[Player 2 Paid]]+MergeNamesTable[[#This Row],[Player 3 Paid]]+MergeNamesTable[[#This Row],[Player 4 Paid]]+MergeNamesTable[[#This Row],[Player 5 Paid]]</calculatedColumnFormula>
    </tableColumn>
    <tableColumn id="162" name="Entry Fee Owed" dataDxfId="502" totalsRowDxfId="501">
      <calculatedColumnFormula>IF(MergeNamesTable[[#This Row],[Entry Fee Team]]="","",MergeNamesTable[[#This Row],[Entry Fee Team]]-MergeNamesTable[[#This Row],[Entry Fee Paid]])</calculatedColumnFormula>
    </tableColumn>
    <tableColumn id="156" name="Day 1 Gross" dataDxfId="500" totalsRowDxfId="499"/>
    <tableColumn id="157" name="Day 1 Net" dataDxfId="498" totalsRowDxfId="497"/>
    <tableColumn id="133" name="Start Time Day 2" dataDxfId="496" totalsRowDxfId="495"/>
    <tableColumn id="154" name="Tee Markers" dataDxfId="494" totalsRowDxfId="493">
      <calculatedColumnFormula>IF(OR(MergeNamesTable[[#This Row],[Team Name]]&lt;&gt;"",MergeNamesTable[[#This Row],[Player 1 First Last]]&lt;&gt;""),'Defaults and Lookup Lists'!$B$3,"")</calculatedColumnFormula>
    </tableColumn>
    <tableColumn id="45" name="Tee Slope" dataDxfId="492" totalsRowDxfId="491">
      <calculatedColumnFormula>IF(MergeNamesTable[[#This Row],[Tee Markers]]="","",VLOOKUP(MergeNamesTable[[#This Row],[Tee Markers]],TeeMarkerTable,23,FALSE))</calculatedColumnFormula>
    </tableColumn>
    <tableColumn id="139" name="Tournament UP" dataDxfId="490" totalsRowDxfId="489">
      <calculatedColumnFormula>UPPER(MergeNamesTable[[#This Row],[Tournament]])</calculatedColumnFormula>
    </tableColumn>
    <tableColumn id="140" name="Flight UP" dataDxfId="488" totalsRowDxfId="487">
      <calculatedColumnFormula>UPPER(MergeNamesTable[[#This Row],[Flight]])</calculatedColumnFormula>
    </tableColumn>
    <tableColumn id="141" name="Tee Markers UP" dataDxfId="486" totalsRowDxfId="485">
      <calculatedColumnFormula>UPPER(MergeNamesTable[[#This Row],[Tee Markers]])</calculatedColumnFormula>
    </tableColumn>
    <tableColumn id="137" name="Start Time Text" dataDxfId="484" totalsRowDxfId="483">
      <calculatedColumnFormula>IF(OR(MergeNamesTable[[#This Row],[Team Name]]&lt;&gt;"",MergeNamesTable[[#This Row],[Player 1 First Last]]&lt;&gt;""),IF(MergeNamesTable[[#This Row],[Start Time]]="","",TEXT(MergeNamesTable[[#This Row],[Start Time]],"HH:MM AM/PM")),"")</calculatedColumnFormula>
    </tableColumn>
    <tableColumn id="155" name="Start Time Text Day 2" dataDxfId="482" totalsRowDxfId="481">
      <calculatedColumnFormula>IF(MergeNamesTable[[#This Row],[Start Time Day 2]]="","",TEXT(MergeNamesTable[[#This Row],[Start Time Day 2]],"HH:MM AM/PM"))</calculatedColumnFormula>
    </tableColumn>
    <tableColumn id="138" name="Start Hole Text" dataDxfId="480" totalsRowDxfId="479">
      <calculatedColumnFormula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calculatedColumnFormula>
    </tableColumn>
    <tableColumn id="11" name="Player 1 First Last" dataDxfId="478" totalsRowDxfId="477">
      <calculatedColumnFormula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calculatedColumnFormula>
    </tableColumn>
    <tableColumn id="20" name="Player 2 First Last" dataDxfId="476" totalsRowDxfId="475">
      <calculatedColumnFormula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calculatedColumnFormula>
    </tableColumn>
    <tableColumn id="29" name="Player 3 First Last" dataDxfId="474" totalsRowDxfId="473">
      <calculatedColumnFormula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calculatedColumnFormula>
    </tableColumn>
    <tableColumn id="38" name="Player 4 First Last" dataDxfId="472" totalsRowDxfId="471">
      <calculatedColumnFormula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calculatedColumnFormula>
    </tableColumn>
    <tableColumn id="159" name="Player 5 First Last" dataDxfId="470" totalsRowDxfId="469">
      <calculatedColumnFormula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calculatedColumnFormula>
    </tableColumn>
    <tableColumn id="12" name="Player 1 Last First" dataDxfId="468" totalsRowDxfId="467">
      <calculatedColumnFormula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calculatedColumnFormula>
    </tableColumn>
    <tableColumn id="21" name="Player 2 Last First" dataDxfId="466" totalsRowDxfId="465">
      <calculatedColumnFormula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calculatedColumnFormula>
    </tableColumn>
    <tableColumn id="30" name="Player 3 Last First" dataDxfId="464" totalsRowDxfId="463">
      <calculatedColumnFormula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calculatedColumnFormula>
    </tableColumn>
    <tableColumn id="39" name="Player 4 Last First" dataDxfId="462" totalsRowDxfId="461">
      <calculatedColumnFormula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calculatedColumnFormula>
    </tableColumn>
    <tableColumn id="164" name="Player 5 Last First" dataDxfId="460" totalsRowDxfId="459">
      <calculatedColumnFormula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calculatedColumnFormula>
    </tableColumn>
    <tableColumn id="46" name="Player 1 Handi Text" dataDxfId="458" totalsRowDxfId="457">
      <calculatedColumnFormula>TEXT(MergeNamesTable[[#This Row],[Player 1 Handicap]],"##;+##;")</calculatedColumnFormula>
    </tableColumn>
    <tableColumn id="132" name="Player 2 Handi Text" dataDxfId="456" totalsRowDxfId="455">
      <calculatedColumnFormula>TEXT(MergeNamesTable[[#This Row],[Player 2 Handicap]],"##;+##;")</calculatedColumnFormula>
    </tableColumn>
    <tableColumn id="134" name="Player 3 Handi Text" dataDxfId="454" totalsRowDxfId="453">
      <calculatedColumnFormula>TEXT(MergeNamesTable[[#This Row],[Player 3 Handicap]],"##;+##;")</calculatedColumnFormula>
    </tableColumn>
    <tableColumn id="135" name="Player 4 Handi Text" dataDxfId="452" totalsRowDxfId="451">
      <calculatedColumnFormula>TEXT(MergeNamesTable[[#This Row],[Player 4 Handicap]],"##;+##;")</calculatedColumnFormula>
    </tableColumn>
    <tableColumn id="160" name="Player 5 Handi Text" dataDxfId="450" totalsRowDxfId="449">
      <calculatedColumnFormula>TEXT(MergeNamesTable[[#This Row],[Player 5 Handicap]],"##;+##;")</calculatedColumnFormula>
    </tableColumn>
    <tableColumn id="15" name="Player 1 First Last Up" dataDxfId="448" totalsRowDxfId="447">
      <calculatedColumnFormula>UPPER(MergeNamesTable[[#This Row],[Player 1 First Last]])</calculatedColumnFormula>
    </tableColumn>
    <tableColumn id="24" name="Player 2 First Last Up" dataDxfId="446" totalsRowDxfId="445"/>
    <tableColumn id="33" name="Player 3 First Last Up" dataDxfId="444" totalsRowDxfId="443"/>
    <tableColumn id="42" name="Player 4 First Last Up" dataDxfId="442" totalsRowDxfId="441">
      <calculatedColumnFormula>UPPER(MergeNamesTable[[#This Row],[Player 4 First Last]])</calculatedColumnFormula>
    </tableColumn>
    <tableColumn id="165" name="Player 5 First Last Up" dataDxfId="440" totalsRowDxfId="439">
      <calculatedColumnFormula>UPPER(MergeNamesTable[[#This Row],[Player 5 First Last]])</calculatedColumnFormula>
    </tableColumn>
    <tableColumn id="13" name="Player 1 First Up" dataDxfId="438" totalsRowDxfId="437">
      <calculatedColumnFormula>UPPER(MergeNamesTable[[#This Row],[Player 1 First]])</calculatedColumnFormula>
    </tableColumn>
    <tableColumn id="22" name="Player 2 First Up" dataDxfId="436" totalsRowDxfId="435"/>
    <tableColumn id="31" name="Player 3 First Up" dataDxfId="434" totalsRowDxfId="433">
      <calculatedColumnFormula>UPPER(MergeNamesTable[[#This Row],[Player 3 First]])</calculatedColumnFormula>
    </tableColumn>
    <tableColumn id="40" name="Player 4 First Up" dataDxfId="432" totalsRowDxfId="431">
      <calculatedColumnFormula>UPPER(MergeNamesTable[[#This Row],[Player 4 First]])</calculatedColumnFormula>
    </tableColumn>
    <tableColumn id="196" name="Player 5 First Up" dataDxfId="430" totalsRowDxfId="429">
      <calculatedColumnFormula>UPPER(MergeNamesTable[[#This Row],[Player 5 First]])</calculatedColumnFormula>
    </tableColumn>
    <tableColumn id="14" name="Player 1 Last Up" dataDxfId="428" totalsRowDxfId="427">
      <calculatedColumnFormula>UPPER(MergeNamesTable[[#This Row],[Player 1 Last]])</calculatedColumnFormula>
    </tableColumn>
    <tableColumn id="23" name="Player 2 Last Up" dataDxfId="426" totalsRowDxfId="425"/>
    <tableColumn id="32" name="Player 3 Last Up" dataDxfId="424" totalsRowDxfId="423">
      <calculatedColumnFormula>UPPER(MergeNamesTable[[#This Row],[Player 3 Last]])</calculatedColumnFormula>
    </tableColumn>
    <tableColumn id="41" name="Player 4 Last Up" dataDxfId="422" totalsRowDxfId="421">
      <calculatedColumnFormula>UPPER(MergeNamesTable[[#This Row],[Player 4 Last]])</calculatedColumnFormula>
    </tableColumn>
    <tableColumn id="197" name="Player 5 Last Up" dataDxfId="420" totalsRowDxfId="419">
      <calculatedColumnFormula>UPPER(MergeNamesTable[[#This Row],[Player 5 Last]])</calculatedColumnFormula>
    </tableColumn>
    <tableColumn id="27" name="Player 1 Club Up" dataDxfId="418" totalsRowDxfId="417">
      <calculatedColumnFormula>UPPER(MergeNamesTable[[#This Row],[Player 1 Club]])</calculatedColumnFormula>
    </tableColumn>
    <tableColumn id="28" name="Player 2 Club Up" dataDxfId="416" totalsRowDxfId="415">
      <calculatedColumnFormula>UPPER(MergeNamesTable[[#This Row],[Player 2 Club]])</calculatedColumnFormula>
    </tableColumn>
    <tableColumn id="34" name="Player 3 Club Up" dataDxfId="414" totalsRowDxfId="413">
      <calculatedColumnFormula>UPPER(MergeNamesTable[[#This Row],[Player 3 Club]])</calculatedColumnFormula>
    </tableColumn>
    <tableColumn id="35" name="Player 4 Club Up" dataDxfId="412" totalsRowDxfId="411">
      <calculatedColumnFormula>UPPER(MergeNamesTable[[#This Row],[Player 4 Club]])</calculatedColumnFormula>
    </tableColumn>
    <tableColumn id="198" name="Player 5 Club Up" dataDxfId="410" totalsRowDxfId="409">
      <calculatedColumnFormula>UPPER(MergeNamesTable[[#This Row],[Player 5 Club]])</calculatedColumnFormula>
    </tableColumn>
    <tableColumn id="169" name="LOOKUP PLAYER 1" dataDxfId="408" totalsRowDxfId="407"/>
    <tableColumn id="149" name="Player 1 Title" dataDxfId="406" totalsRowDxfId="405">
      <calculatedColumnFormula>IF(MergeNamesTable[[#This Row],[LOOKUP PLAYER 1]]="","",IF(VLOOKUP(MergeNamesTable[[#This Row],[LOOKUP PLAYER 1]],TableNameLookup[],2,FALSE)="","",VLOOKUP(MergeNamesTable[[#This Row],[LOOKUP PLAYER 1]],TableNameLookup[],3,FALSE)))</calculatedColumnFormula>
    </tableColumn>
    <tableColumn id="9" name="Player 1 First" dataDxfId="404" totalsRowDxfId="403">
      <calculatedColumnFormula>IF(MergeNamesTable[[#This Row],[LOOKUP PLAYER 1]]="","",IF(VLOOKUP(MergeNamesTable[[#This Row],[LOOKUP PLAYER 1]],TableNameLookup[],3,FALSE)="","",VLOOKUP(MergeNamesTable[[#This Row],[LOOKUP PLAYER 1]],TableNameLookup[],3,FALSE)))</calculatedColumnFormula>
    </tableColumn>
    <tableColumn id="167" name="Player 1 MI" dataDxfId="402" totalsRowDxfId="401">
      <calculatedColumnFormula>IF(MergeNamesTable[[#This Row],[LOOKUP PLAYER 1]]="","",IF(VLOOKUP(MergeNamesTable[[#This Row],[LOOKUP PLAYER 1]],TableNameLookup[],4,FALSE)="","",VLOOKUP(MergeNamesTable[[#This Row],[LOOKUP PLAYER 1]],TableNameLookup[],4,FALSE)))</calculatedColumnFormula>
    </tableColumn>
    <tableColumn id="166" name="Player 1 NickName" dataDxfId="400" totalsRowDxfId="399">
      <calculatedColumnFormula>IF(MergeNamesTable[[#This Row],[LOOKUP PLAYER 1]]="","",IF(VLOOKUP(MergeNamesTable[[#This Row],[LOOKUP PLAYER 1]],TableNameLookup[],5,FALSE)="","",VLOOKUP(MergeNamesTable[[#This Row],[LOOKUP PLAYER 1]],TableNameLookup[],5,FALSE)))</calculatedColumnFormula>
    </tableColumn>
    <tableColumn id="10" name="Player 1 Last" dataDxfId="398" totalsRowDxfId="397">
      <calculatedColumnFormula>IF(MergeNamesTable[[#This Row],[LOOKUP PLAYER 1]]="","",IF(VLOOKUP(MergeNamesTable[[#This Row],[LOOKUP PLAYER 1]],TableNameLookup[],6,FALSE)="","",VLOOKUP(MergeNamesTable[[#This Row],[LOOKUP PLAYER 1]],TableNameLookup[],6,FALSE)))</calculatedColumnFormula>
    </tableColumn>
    <tableColumn id="168" name="Player 1 Suffix" dataDxfId="396" totalsRowDxfId="395">
      <calculatedColumnFormula>IF(MergeNamesTable[[#This Row],[LOOKUP PLAYER 1]]="","",IF(VLOOKUP(MergeNamesTable[[#This Row],[LOOKUP PLAYER 1]],'Player Lookup'!$A$4:$K$75,7,FALSE)="","",VLOOKUP(MergeNamesTable[[#This Row],[LOOKUP PLAYER 1]],'Player Lookup'!$A$4:$K$75,7,FALSE))+".")</calculatedColumnFormula>
    </tableColumn>
    <tableColumn id="16" name="Player 1 Male" dataDxfId="394" totalsRowDxfId="393">
      <calculatedColumnFormula>IF(MergeNamesTable[[#This Row],[LOOKUP PLAYER 1]]="","",IF(VLOOKUP(MergeNamesTable[[#This Row],[LOOKUP PLAYER 1]],TableNameLookup[],9,FALSE)="","",VLOOKUP(MergeNamesTable[[#This Row],[LOOKUP PLAYER 1]],TableNameLookup[],9,FALSE)))</calculatedColumnFormula>
    </tableColumn>
    <tableColumn id="173" name="Player 1 Club" dataDxfId="392" totalsRowDxfId="391">
      <calculatedColumnFormula>IF(MergeNamesTable[[#This Row],[LOOKUP PLAYER 1]]="","",IF(VLOOKUP(MergeNamesTable[[#This Row],[LOOKUP PLAYER 1]],TableNameLookup[],10,FALSE)="","",VLOOKUP(MergeNamesTable[[#This Row],[LOOKUP PLAYER 1]],TableNameLookup[],10,FALSE)))</calculatedColumnFormula>
    </tableColumn>
    <tableColumn id="136" name="Player 1 Tees" dataDxfId="390" totalsRowDxfId="389">
      <calculatedColumnFormula>IF(MergeNamesTable[[#This Row],[Player 1 First Last]]="","",IF(MergeNamesTable[[#This Row],[Player 1 Male]]="Female",'Defaults and Lookup Lists'!$B$4,IF(MergeNamesTable[[#This Row],[Tee Markers]]="","",MergeNamesTable[[#This Row],[Tee Markers]])))</calculatedColumnFormula>
    </tableColumn>
    <tableColumn id="142" name="Player 1 Slope" dataDxfId="388" totalsRowDxfId="387">
      <calculatedColumnFormula>IF(MergeNamesTable[[#This Row],[Player 1 Tees]]="","",VLOOKUP(MergeNamesTable[[#This Row],[Player 1 Tees]],TeeMarkerTable,23,FALSE))</calculatedColumnFormula>
    </tableColumn>
    <tableColumn id="5" name="Player 1 Index" dataDxfId="386" totalsRowDxfId="385">
      <calculatedColumnFormula>IF(MergeNamesTable[[#This Row],[LOOKUP PLAYER 1]]="","",IF(VLOOKUP(MergeNamesTable[[#This Row],[LOOKUP PLAYER 1]],TableNameLookup[],11,FALSE)="","",VLOOKUP(MergeNamesTable[[#This Row],[LOOKUP PLAYER 1]],TableNameLookup[],11,FALSE)))</calculatedColumnFormula>
    </tableColumn>
    <tableColumn id="174" name="Player 1 Handicap" dataDxfId="384" totalsRowDxfId="383">
      <calculatedColumnFormula>IF(OR(MergeNamesTable[[#This Row],[Player 1 Index]]=0,MergeNamesTable[[#This Row],[Player 1 Index]]=""),0,ROUND((MergeNamesTable[[#This Row],[Player 1 Index]]*MergeNamesTable[[#This Row],[Player 1 Slope]])/113,0))</calculatedColumnFormula>
    </tableColumn>
    <tableColumn id="199" name="Player 1 Paid" dataDxfId="382" totalsRowDxfId="381"/>
    <tableColumn id="187" name="LOOKUP PLAYER 2" dataDxfId="380" totalsRowDxfId="379"/>
    <tableColumn id="150" name="Player 2 Title" dataDxfId="378" totalsRowDxfId="377">
      <calculatedColumnFormula>IF(MergeNamesTable[[#This Row],[LOOKUP PLAYER 2]]="","",IF(VLOOKUP(MergeNamesTable[[#This Row],[LOOKUP PLAYER 2]],TableNameLookup[],2,FALSE)="","",VLOOKUP(MergeNamesTable[[#This Row],[LOOKUP PLAYER 2]],TableNameLookup[],2,FALSE)))</calculatedColumnFormula>
    </tableColumn>
    <tableColumn id="175" name="Player 2 First" dataDxfId="376" totalsRowDxfId="375">
      <calculatedColumnFormula>IF(MergeNamesTable[[#This Row],[LOOKUP PLAYER 2]]="","",IF(VLOOKUP(MergeNamesTable[[#This Row],[LOOKUP PLAYER 2]],TableNameLookup[],3,FALSE)="","",VLOOKUP(MergeNamesTable[[#This Row],[LOOKUP PLAYER 2]],TableNameLookup[],3,FALSE)))</calculatedColumnFormula>
    </tableColumn>
    <tableColumn id="170" name="Player 2 MI" dataDxfId="374" totalsRowDxfId="373">
      <calculatedColumnFormula>IF(MergeNamesTable[[#This Row],[LOOKUP PLAYER 2]]="","",IF(VLOOKUP(MergeNamesTable[[#This Row],[LOOKUP PLAYER 2]],TableNameLookup[],4,FALSE)="","",VLOOKUP(MergeNamesTable[[#This Row],[LOOKUP PLAYER 2]],TableNameLookup[],4,FALSE)))</calculatedColumnFormula>
    </tableColumn>
    <tableColumn id="171" name="Player 2 NickName" dataDxfId="372" totalsRowDxfId="371">
      <calculatedColumnFormula>IF(MergeNamesTable[[#This Row],[LOOKUP PLAYER 2]]="","",IF(VLOOKUP(MergeNamesTable[[#This Row],[LOOKUP PLAYER 2]],TableNameLookup[],5,FALSE)="","",VLOOKUP(MergeNamesTable[[#This Row],[LOOKUP PLAYER 2]],TableNameLookup[],5,FALSE)))</calculatedColumnFormula>
    </tableColumn>
    <tableColumn id="176" name="Player 2 Last" dataDxfId="370" totalsRowDxfId="369">
      <calculatedColumnFormula>IF(MergeNamesTable[[#This Row],[LOOKUP PLAYER 2]]="","",IF(VLOOKUP(MergeNamesTable[[#This Row],[LOOKUP PLAYER 2]],TableNameLookup[],6,FALSE)="","",VLOOKUP(MergeNamesTable[[#This Row],[LOOKUP PLAYER 2]],TableNameLookup[],6,FALSE)))</calculatedColumnFormula>
    </tableColumn>
    <tableColumn id="172" name="Player 2 Suffix" dataDxfId="368" totalsRowDxfId="367">
      <calculatedColumnFormula>IF(MergeNamesTable[[#This Row],[LOOKUP PLAYER 2]]="","",IF(VLOOKUP(MergeNamesTable[[#This Row],[LOOKUP PLAYER 2]],TableNameLookup[],7,FALSE)="","",VLOOKUP(MergeNamesTable[[#This Row],[LOOKUP PLAYER 2]],TableNameLookup[],7,FALSE)))</calculatedColumnFormula>
    </tableColumn>
    <tableColumn id="17" name="Player 2 Male" dataDxfId="366" totalsRowDxfId="365">
      <calculatedColumnFormula>IF(MergeNamesTable[[#This Row],[LOOKUP PLAYER 2]]="","",IF(VLOOKUP(MergeNamesTable[[#This Row],[LOOKUP PLAYER 2]],TableNameLookup[],9,FALSE)="","",VLOOKUP(MergeNamesTable[[#This Row],[LOOKUP PLAYER 2]],TableNameLookup[],9,FALSE)))</calculatedColumnFormula>
    </tableColumn>
    <tableColumn id="177" name="Player 2 Club" dataDxfId="364" totalsRowDxfId="363">
      <calculatedColumnFormula>IF(MergeNamesTable[[#This Row],[LOOKUP PLAYER 2]]="","",IF(VLOOKUP(MergeNamesTable[[#This Row],[LOOKUP PLAYER 2]],TableNameLookup[],10,FALSE)="","",VLOOKUP(MergeNamesTable[[#This Row],[LOOKUP PLAYER 2]],TableNameLookup[],10,FALSE)))</calculatedColumnFormula>
    </tableColumn>
    <tableColumn id="143" name="Player 2 Tees" dataDxfId="362" totalsRowDxfId="361">
      <calculatedColumnFormula>IF(MergeNamesTable[[#This Row],[Player 2 Male]]="Female","Red",IF(MergeNamesTable[[#This Row],[Tee Markers]]="","",MergeNamesTable[[#This Row],[Tee Markers]]))</calculatedColumnFormula>
    </tableColumn>
    <tableColumn id="144" name="Player 2 Slope" dataDxfId="360" totalsRowDxfId="359">
      <calculatedColumnFormula>IF(MergeNamesTable[[#This Row],[Player 2 Tees]]="","",VLOOKUP(MergeNamesTable[[#This Row],[Player 2 Tees]],TeeMarkerTable,23,FALSE))</calculatedColumnFormula>
    </tableColumn>
    <tableColumn id="37" name="Player 2 Index" dataDxfId="358" totalsRowDxfId="357">
      <calculatedColumnFormula>IF(MergeNamesTable[[#This Row],[LOOKUP PLAYER 2]]="","",IF(VLOOKUP(MergeNamesTable[[#This Row],[LOOKUP PLAYER 2]],TableNameLookup[],11,FALSE)="","",VLOOKUP(MergeNamesTable[[#This Row],[LOOKUP PLAYER 2]],TableNameLookup[],11,FALSE)))</calculatedColumnFormula>
    </tableColumn>
    <tableColumn id="178" name="Player 2 Handicap" dataDxfId="356" totalsRowDxfId="355">
      <calculatedColumnFormula>IF(OR(MergeNamesTable[[#This Row],[Player 2 Index]]=0,MergeNamesTable[[#This Row],[Player 2 Index]]=""),0,ROUND((MergeNamesTable[[#This Row],[Player 2 Index]]*MergeNamesTable[[#This Row],[Player 2 Slope]])/113,0))</calculatedColumnFormula>
    </tableColumn>
    <tableColumn id="200" name="Player 2 Paid" dataDxfId="354" totalsRowDxfId="353"/>
    <tableColumn id="191" name="LOOKUP PLAYER 3" dataDxfId="352" totalsRowDxfId="351"/>
    <tableColumn id="151" name="Player 3 Title" dataDxfId="350" totalsRowDxfId="349">
      <calculatedColumnFormula>IF(MergeNamesTable[[#This Row],[LOOKUP PLAYER 3]]="","",IF(VLOOKUP(MergeNamesTable[[#This Row],[LOOKUP PLAYER 3]],TableNameLookup[],2,FALSE)="","",VLOOKUP(MergeNamesTable[[#This Row],[LOOKUP PLAYER 3]],TableNameLookup[],2,FALSE)))</calculatedColumnFormula>
    </tableColumn>
    <tableColumn id="179" name="Player 3 First" dataDxfId="348" totalsRowDxfId="347">
      <calculatedColumnFormula>IF(MergeNamesTable[[#This Row],[LOOKUP PLAYER 3]]="","",IF(VLOOKUP(MergeNamesTable[[#This Row],[LOOKUP PLAYER 3]],TableNameLookup[],3,FALSE)="","",VLOOKUP(MergeNamesTable[[#This Row],[LOOKUP PLAYER 3]],TableNameLookup[],3,FALSE)))</calculatedColumnFormula>
    </tableColumn>
    <tableColumn id="190" name="Player 3 MI" dataDxfId="346" totalsRowDxfId="345">
      <calculatedColumnFormula>IF(MergeNamesTable[[#This Row],[LOOKUP PLAYER 3]]="","",IF(VLOOKUP(MergeNamesTable[[#This Row],[LOOKUP PLAYER 3]],TableNameLookup[],4,FALSE)="","",VLOOKUP(MergeNamesTable[[#This Row],[LOOKUP PLAYER 3]],TableNameLookup[],4,FALSE)))</calculatedColumnFormula>
    </tableColumn>
    <tableColumn id="189" name="Player 3 NickName" dataDxfId="344" totalsRowDxfId="343">
      <calculatedColumnFormula>IF(MergeNamesTable[[#This Row],[LOOKUP PLAYER 3]]="","",IF(VLOOKUP(MergeNamesTable[[#This Row],[LOOKUP PLAYER 3]],TableNameLookup[],5,FALSE)="","",VLOOKUP(MergeNamesTable[[#This Row],[LOOKUP PLAYER 3]],TableNameLookup[],5,FALSE)))</calculatedColumnFormula>
    </tableColumn>
    <tableColumn id="180" name="Player 3 Last" dataDxfId="342" totalsRowDxfId="341">
      <calculatedColumnFormula>IF(MergeNamesTable[[#This Row],[LOOKUP PLAYER 3]]="","",IF(VLOOKUP(MergeNamesTable[[#This Row],[LOOKUP PLAYER 3]],TableNameLookup[],6,FALSE)="","",VLOOKUP(MergeNamesTable[[#This Row],[LOOKUP PLAYER 3]],TableNameLookup[],6,FALSE)))</calculatedColumnFormula>
    </tableColumn>
    <tableColumn id="188" name="Player 3 Suffix" dataDxfId="340" totalsRowDxfId="339">
      <calculatedColumnFormula>IF(MergeNamesTable[[#This Row],[LOOKUP PLAYER 3]]="","",IF(VLOOKUP(MergeNamesTable[[#This Row],[LOOKUP PLAYER 3]],TableNameLookup[],7,FALSE)="","",VLOOKUP(MergeNamesTable[[#This Row],[LOOKUP PLAYER 3]],TableNameLookup[],7,FALSE)))</calculatedColumnFormula>
    </tableColumn>
    <tableColumn id="18" name="Player 3 Male" dataDxfId="338" totalsRowDxfId="337">
      <calculatedColumnFormula>IF(MergeNamesTable[[#This Row],[LOOKUP PLAYER 3]]="","",IF(VLOOKUP(MergeNamesTable[[#This Row],[LOOKUP PLAYER 3]],'Player Lookup'!$A$4:$K$75,9,FALSE)="","",VLOOKUP(MergeNamesTable[[#This Row],[LOOKUP PLAYER 3]],'Player Lookup'!$A$4:$K$75,9,FALSE)))</calculatedColumnFormula>
    </tableColumn>
    <tableColumn id="181" name="Player 3 Club" dataDxfId="336" totalsRowDxfId="335">
      <calculatedColumnFormula>IF(MergeNamesTable[[#This Row],[LOOKUP PLAYER 3]]="","",IF(VLOOKUP(MergeNamesTable[[#This Row],[LOOKUP PLAYER 3]],TableNameLookup[],10,FALSE)="","",VLOOKUP(MergeNamesTable[[#This Row],[LOOKUP PLAYER 3]],TableNameLookup[],10,FALSE)))</calculatedColumnFormula>
    </tableColumn>
    <tableColumn id="145" name="Player 3 Tees" dataDxfId="334" totalsRowDxfId="333">
      <calculatedColumnFormula>IF(MergeNamesTable[[#This Row],[Player 3 First Last]]="","",IF(MergeNamesTable[[#This Row],[Player 3 Male]]="Female",'Defaults and Lookup Lists'!$B$4,IF(MergeNamesTable[[#This Row],[Tee Markers]]="","",MergeNamesTable[[#This Row],[Tee Markers]])))</calculatedColumnFormula>
    </tableColumn>
    <tableColumn id="146" name="Player 3 Slope" dataDxfId="332" totalsRowDxfId="331">
      <calculatedColumnFormula>IF(MergeNamesTable[[#This Row],[Player 3 Tees]]="","",VLOOKUP(MergeNamesTable[[#This Row],[Player 3 Tees]],TeeMarkerTable,23,FALSE))</calculatedColumnFormula>
    </tableColumn>
    <tableColumn id="43" name="Player 3 Index" dataDxfId="330" totalsRowDxfId="329">
      <calculatedColumnFormula>IF(MergeNamesTable[[#This Row],[LOOKUP PLAYER 3]]="","",IF(VLOOKUP(MergeNamesTable[[#This Row],[LOOKUP PLAYER 3]],TableNameLookup[],11,FALSE)="","",VLOOKUP(MergeNamesTable[[#This Row],[LOOKUP PLAYER 3]],TableNameLookup[],11,FALSE)))</calculatedColumnFormula>
    </tableColumn>
    <tableColumn id="182" name="Player 3 Handicap" dataDxfId="328" totalsRowDxfId="327">
      <calculatedColumnFormula>IF(OR(MergeNamesTable[[#This Row],[Player 3 Index]]=0,MergeNamesTable[[#This Row],[Player 3 Index]]=""),0,ROUND((MergeNamesTable[[#This Row],[Player 3 Index]]*MergeNamesTable[[#This Row],[Player 3 Slope]])/113,0))</calculatedColumnFormula>
    </tableColumn>
    <tableColumn id="201" name="Player 3 Paid" dataDxfId="326" totalsRowDxfId="325"/>
    <tableColumn id="193" name="LOOKUP PLAYER 4" dataDxfId="324" totalsRowDxfId="323"/>
    <tableColumn id="153" name="Player 4 Title" dataDxfId="322" totalsRowDxfId="321">
      <calculatedColumnFormula>IF(MergeNamesTable[[#This Row],[LOOKUP PLAYER 4]]="","",IF(VLOOKUP(MergeNamesTable[[#This Row],[LOOKUP PLAYER 4]],TableNameLookup[],2,FALSE)="","",VLOOKUP(MergeNamesTable[[#This Row],[LOOKUP PLAYER 4]],TableNameLookup[],2,FALSE)))</calculatedColumnFormula>
    </tableColumn>
    <tableColumn id="183" name="Player 4 First" dataDxfId="320" totalsRowDxfId="319">
      <calculatedColumnFormula>IF(MergeNamesTable[[#This Row],[LOOKUP PLAYER 4]]="","",IF(VLOOKUP(MergeNamesTable[[#This Row],[LOOKUP PLAYER 4]],TableNameLookup[],3,FALSE)="","",VLOOKUP(MergeNamesTable[[#This Row],[LOOKUP PLAYER 4]],TableNameLookup[],3,FALSE)))</calculatedColumnFormula>
    </tableColumn>
    <tableColumn id="192" name="Player 4 MI" dataDxfId="318" totalsRowDxfId="317">
      <calculatedColumnFormula>IF(MergeNamesTable[[#This Row],[LOOKUP PLAYER 4]]="","",IF(VLOOKUP(MergeNamesTable[[#This Row],[LOOKUP PLAYER 4]],TableNameLookup[],4,FALSE)="","",VLOOKUP(MergeNamesTable[[#This Row],[LOOKUP PLAYER 4]],TableNameLookup[],4,FALSE)))</calculatedColumnFormula>
    </tableColumn>
    <tableColumn id="195" name="Player 4 NickName" dataDxfId="316" totalsRowDxfId="315">
      <calculatedColumnFormula>IF(MergeNamesTable[[#This Row],[LOOKUP PLAYER 4]]="","",IF(VLOOKUP(MergeNamesTable[[#This Row],[LOOKUP PLAYER 4]],TableNameLookup[],5,FALSE)="","",VLOOKUP(MergeNamesTable[[#This Row],[LOOKUP PLAYER 4]],TableNameLookup[],5,FALSE)))</calculatedColumnFormula>
    </tableColumn>
    <tableColumn id="184" name="Player 4 Last" dataDxfId="314" totalsRowDxfId="313">
      <calculatedColumnFormula>IF(MergeNamesTable[[#This Row],[LOOKUP PLAYER 4]]="","",IF(VLOOKUP(MergeNamesTable[[#This Row],[LOOKUP PLAYER 4]],TableNameLookup[],6,FALSE)="","",VLOOKUP(MergeNamesTable[[#This Row],[LOOKUP PLAYER 4]],TableNameLookup[],6,FALSE)))</calculatedColumnFormula>
    </tableColumn>
    <tableColumn id="194" name="Player 4 Suffix" dataDxfId="312" totalsRowDxfId="311">
      <calculatedColumnFormula>IF(MergeNamesTable[[#This Row],[LOOKUP PLAYER 4]]="","",IF(VLOOKUP(MergeNamesTable[[#This Row],[LOOKUP PLAYER 4]],TableNameLookup[],7,FALSE)="","",VLOOKUP(MergeNamesTable[[#This Row],[LOOKUP PLAYER 4]],TableNameLookup[],7,FALSE)))</calculatedColumnFormula>
    </tableColumn>
    <tableColumn id="19" name="Player 4 Male" dataDxfId="310" totalsRowDxfId="309">
      <calculatedColumnFormula>IF(MergeNamesTable[[#This Row],[LOOKUP PLAYER 4]]="","",IF(VLOOKUP(MergeNamesTable[[#This Row],[LOOKUP PLAYER 4]],TableNameLookup[],9,FALSE)="","",VLOOKUP(MergeNamesTable[[#This Row],[LOOKUP PLAYER 4]],TableNameLookup[],9,FALSE)))</calculatedColumnFormula>
    </tableColumn>
    <tableColumn id="185" name="Player 4 Club" dataDxfId="308" totalsRowDxfId="307">
      <calculatedColumnFormula>IF(MergeNamesTable[[#This Row],[LOOKUP PLAYER 4]]="","",IF(VLOOKUP(MergeNamesTable[[#This Row],[LOOKUP PLAYER 4]],TableNameLookup[],10,FALSE)="","",VLOOKUP(MergeNamesTable[[#This Row],[LOOKUP PLAYER 4]],TableNameLookup[],10,FALSE)))</calculatedColumnFormula>
    </tableColumn>
    <tableColumn id="147" name="Player 4 Tees" dataDxfId="306" totalsRowDxfId="305">
      <calculatedColumnFormula>IF(MergeNamesTable[[#This Row],[Player 4 First Last]]="","",IF(MergeNamesTable[[#This Row],[Player 4 Male]]="Female",'Defaults and Lookup Lists'!$B$4,IF(MergeNamesTable[[#This Row],[Tee Markers]]="","",MergeNamesTable[[#This Row],[Tee Markers]])))</calculatedColumnFormula>
    </tableColumn>
    <tableColumn id="148" name="Player 4 Slope" dataDxfId="304" totalsRowDxfId="303">
      <calculatedColumnFormula>IF(MergeNamesTable[[#This Row],[Player 4 Tees]]="","",VLOOKUP(MergeNamesTable[[#This Row],[Player 4 Tees]],TeeMarkerTable,23,FALSE))</calculatedColumnFormula>
    </tableColumn>
    <tableColumn id="44" name="Player 4 Index" dataDxfId="302" totalsRowDxfId="301">
      <calculatedColumnFormula>IF(MergeNamesTable[[#This Row],[LOOKUP PLAYER 4]]="","",IF(VLOOKUP(MergeNamesTable[[#This Row],[LOOKUP PLAYER 4]],TableNameLookup[],11,FALSE)="","",VLOOKUP(MergeNamesTable[[#This Row],[LOOKUP PLAYER 4]],TableNameLookup[],11,FALSE)))</calculatedColumnFormula>
    </tableColumn>
    <tableColumn id="186" name="Player 4 Handicap" dataDxfId="300" totalsRowDxfId="299">
      <calculatedColumnFormula>IF(OR(MergeNamesTable[[#This Row],[Player 4 Index]]=0,MergeNamesTable[[#This Row],[Player 4 Index]]=""),0,ROUND((MergeNamesTable[[#This Row],[Player 4 Index]]*MergeNamesTable[[#This Row],[Player 4 Slope]])/113,0))</calculatedColumnFormula>
    </tableColumn>
    <tableColumn id="202" name="Player 4 Paid" dataDxfId="298" totalsRowDxfId="297"/>
    <tableColumn id="227" name="LOOKUP PLAYER 5" dataDxfId="296" totalsRowDxfId="295"/>
    <tableColumn id="228" name="Player 5 Title" dataDxfId="294" totalsRowDxfId="293">
      <calculatedColumnFormula>IF(MergeNamesTable[[#This Row],[LOOKUP PLAYER 5]]="","",IF(VLOOKUP(MergeNamesTable[[#This Row],[LOOKUP PLAYER 5]],TableNameLookup[],2,FALSE)="","",VLOOKUP(MergeNamesTable[[#This Row],[LOOKUP PLAYER 5]],TableNameLookup[],2,FALSE)))</calculatedColumnFormula>
    </tableColumn>
    <tableColumn id="229" name="Player 5 First" dataDxfId="292" totalsRowDxfId="291">
      <calculatedColumnFormula>IF(MergeNamesTable[[#This Row],[LOOKUP PLAYER 5]]="","",IF(VLOOKUP(MergeNamesTable[[#This Row],[LOOKUP PLAYER 5]],TableNameLookup[],3,FALSE)="","",VLOOKUP(MergeNamesTable[[#This Row],[LOOKUP PLAYER 5]],TableNameLookup[],3,FALSE)))</calculatedColumnFormula>
    </tableColumn>
    <tableColumn id="230" name="Player 5 MI" dataDxfId="290" totalsRowDxfId="289">
      <calculatedColumnFormula>IF(MergeNamesTable[[#This Row],[LOOKUP PLAYER 5]]="","",IF(VLOOKUP(MergeNamesTable[[#This Row],[LOOKUP PLAYER 5]],TableNameLookup[],4,FALSE)="","",VLOOKUP(MergeNamesTable[[#This Row],[LOOKUP PLAYER 5]],TableNameLookup[],4,FALSE)))</calculatedColumnFormula>
    </tableColumn>
    <tableColumn id="223" name="Player 5 NickName" dataDxfId="288" totalsRowDxfId="287">
      <calculatedColumnFormula>IF(MergeNamesTable[[#This Row],[LOOKUP PLAYER 5]]="","",IF(VLOOKUP(MergeNamesTable[[#This Row],[LOOKUP PLAYER 5]],TableNameLookup[],5,FALSE)="","",VLOOKUP(MergeNamesTable[[#This Row],[LOOKUP PLAYER 5]],TableNameLookup[],5,FALSE)))</calculatedColumnFormula>
    </tableColumn>
    <tableColumn id="224" name="Player 5 Last" dataDxfId="286" totalsRowDxfId="285">
      <calculatedColumnFormula>IF(MergeNamesTable[[#This Row],[LOOKUP PLAYER 5]]="","",IF(VLOOKUP(MergeNamesTable[[#This Row],[LOOKUP PLAYER 5]],TableNameLookup[],6,FALSE)="","",VLOOKUP(MergeNamesTable[[#This Row],[LOOKUP PLAYER 5]],TableNameLookup[],6,FALSE)))</calculatedColumnFormula>
    </tableColumn>
    <tableColumn id="225" name="Player 5 Suffix" dataDxfId="284" totalsRowDxfId="283">
      <calculatedColumnFormula>IF(MergeNamesTable[[#This Row],[LOOKUP PLAYER 5]]="","",IF(VLOOKUP(MergeNamesTable[[#This Row],[LOOKUP PLAYER 5]],TableNameLookup[],7,FALSE)="","",VLOOKUP(MergeNamesTable[[#This Row],[LOOKUP PLAYER 5]],TableNameLookup[],7,FALSE)))</calculatedColumnFormula>
    </tableColumn>
    <tableColumn id="226" name="Player 5 Male" dataDxfId="282" totalsRowDxfId="281">
      <calculatedColumnFormula>IF(MergeNamesTable[[#This Row],[LOOKUP PLAYER 5]]="","",IF(VLOOKUP(MergeNamesTable[[#This Row],[LOOKUP PLAYER 5]],TableNameLookup[],9,FALSE)="","",VLOOKUP(MergeNamesTable[[#This Row],[LOOKUP PLAYER 5]],TableNameLookup[],9,FALSE)))</calculatedColumnFormula>
    </tableColumn>
    <tableColumn id="219" name="Player 5 Club" dataDxfId="280" totalsRowDxfId="279">
      <calculatedColumnFormula>IF(MergeNamesTable[[#This Row],[LOOKUP PLAYER 5]]="","",IF(VLOOKUP(MergeNamesTable[[#This Row],[LOOKUP PLAYER 5]],TableNameLookup[],10,FALSE)="","",VLOOKUP(MergeNamesTable[[#This Row],[LOOKUP PLAYER 5]],TableNameLookup[],10,FALSE)))</calculatedColumnFormula>
    </tableColumn>
    <tableColumn id="220" name="Player 5 Tees" dataDxfId="278" totalsRowDxfId="277">
      <calculatedColumnFormula>IF(MergeNamesTable[[#This Row],[Player 5 First Last]]="","",IF(MergeNamesTable[[#This Row],[Player 5 Male]]="Female",'Defaults and Lookup Lists'!$B$4,IF(MergeNamesTable[[#This Row],[Tee Markers]]="","",MergeNamesTable[[#This Row],[Tee Markers]])))</calculatedColumnFormula>
    </tableColumn>
    <tableColumn id="221" name="Player 5 Slope" dataDxfId="276" totalsRowDxfId="275">
      <calculatedColumnFormula>IF(MergeNamesTable[[#This Row],[Player 5 Tees]]="","",VLOOKUP(MergeNamesTable[[#This Row],[Player 5 Tees]],TeeMarkerTable,23,FALSE))</calculatedColumnFormula>
    </tableColumn>
    <tableColumn id="222" name="Player 5 Index" dataDxfId="274" totalsRowDxfId="273">
      <calculatedColumnFormula>IF(MergeNamesTable[[#This Row],[LOOKUP PLAYER 5]]="","",IF(VLOOKUP(MergeNamesTable[[#This Row],[LOOKUP PLAYER 5]],TableNameLookup[],11,FALSE)="","",VLOOKUP(MergeNamesTable[[#This Row],[LOOKUP PLAYER 5]],TableNameLookup[],11,FALSE)))</calculatedColumnFormula>
    </tableColumn>
    <tableColumn id="217" name="Player 5 Handicap" dataDxfId="272" totalsRowDxfId="271">
      <calculatedColumnFormula>IF(OR(MergeNamesTable[[#This Row],[Player 5 Index]]=0,MergeNamesTable[[#This Row],[Player 5 Index]]=""),0,ROUND((MergeNamesTable[[#This Row],[Player 5 Index]]*MergeNamesTable[[#This Row],[Player 5 Slope]])/113,0))</calculatedColumnFormula>
    </tableColumn>
    <tableColumn id="203" name="Player 5 Paid" dataDxfId="270" totalsRowDxfId="269"/>
    <tableColumn id="36" name="Blank Merge Dummy" dataDxfId="268" totalsRowDxfId="267"/>
    <tableColumn id="53" name="Player 1 Stroke 1" dataDxfId="266" totalsRowDxfId="265">
      <calculatedColumnFormula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calculatedColumnFormula>
    </tableColumn>
    <tableColumn id="54" name="Player 1 Stroke 2" dataDxfId="264" totalsRowDxfId="263">
      <calculatedColumnFormula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calculatedColumnFormula>
    </tableColumn>
    <tableColumn id="55" name="Player 1 Stroke 3" dataDxfId="262" totalsRowDxfId="261">
      <calculatedColumnFormula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calculatedColumnFormula>
    </tableColumn>
    <tableColumn id="56" name="Player 1 Stroke 4" dataDxfId="260" totalsRowDxfId="259">
      <calculatedColumnFormula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calculatedColumnFormula>
    </tableColumn>
    <tableColumn id="57" name="Player 1 Stroke 5" dataDxfId="258" totalsRowDxfId="257">
      <calculatedColumnFormula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calculatedColumnFormula>
    </tableColumn>
    <tableColumn id="58" name="Player 1 Stroke 6" dataDxfId="256" totalsRowDxfId="255">
      <calculatedColumnFormula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calculatedColumnFormula>
    </tableColumn>
    <tableColumn id="59" name="Player 1 Stroke 7" dataDxfId="254" totalsRowDxfId="253">
      <calculatedColumnFormula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calculatedColumnFormula>
    </tableColumn>
    <tableColumn id="60" name="Player 1 Stroke 8" dataDxfId="252" totalsRowDxfId="251">
      <calculatedColumnFormula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calculatedColumnFormula>
    </tableColumn>
    <tableColumn id="61" name="Player 1 Stroke 9" dataDxfId="250" totalsRowDxfId="249">
      <calculatedColumnFormula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calculatedColumnFormula>
    </tableColumn>
    <tableColumn id="62" name="Spacer 1" dataDxfId="248" totalsRowDxfId="247"/>
    <tableColumn id="63" name="Player 1 Stroke 10" dataDxfId="246" totalsRowDxfId="245">
      <calculatedColumnFormula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calculatedColumnFormula>
    </tableColumn>
    <tableColumn id="64" name="Player 1 Stroke 11" dataDxfId="244" totalsRowDxfId="243">
      <calculatedColumnFormula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calculatedColumnFormula>
    </tableColumn>
    <tableColumn id="65" name="Player 1 Stroke 12" dataDxfId="242" totalsRowDxfId="241">
      <calculatedColumnFormula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calculatedColumnFormula>
    </tableColumn>
    <tableColumn id="66" name="Player 1 Stroke 13" dataDxfId="240" totalsRowDxfId="239">
      <calculatedColumnFormula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calculatedColumnFormula>
    </tableColumn>
    <tableColumn id="67" name="Player 1 Stroke 14" dataDxfId="238" totalsRowDxfId="237">
      <calculatedColumnFormula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calculatedColumnFormula>
    </tableColumn>
    <tableColumn id="68" name="Player 1 Stroke 15" dataDxfId="236" totalsRowDxfId="235">
      <calculatedColumnFormula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calculatedColumnFormula>
    </tableColumn>
    <tableColumn id="69" name="Player 1 Stroke 16" dataDxfId="234" totalsRowDxfId="233">
      <calculatedColumnFormula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calculatedColumnFormula>
    </tableColumn>
    <tableColumn id="70" name="Player 1 Stroke 17" dataDxfId="232" totalsRowDxfId="231">
      <calculatedColumnFormula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calculatedColumnFormula>
    </tableColumn>
    <tableColumn id="71" name="Player 1 Stroke 18" dataDxfId="230" totalsRowDxfId="229">
      <calculatedColumnFormula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calculatedColumnFormula>
    </tableColumn>
    <tableColumn id="72" name="Spacer 2" dataDxfId="228" totalsRowDxfId="227"/>
    <tableColumn id="73" name="Player 2 Stroke 1" dataDxfId="226" totalsRowDxfId="225">
      <calculatedColumnFormula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calculatedColumnFormula>
    </tableColumn>
    <tableColumn id="74" name="Player 2 Stroke 2" dataDxfId="224" totalsRowDxfId="223">
      <calculatedColumnFormula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calculatedColumnFormula>
    </tableColumn>
    <tableColumn id="75" name="Player 2 Stroke 3" dataDxfId="222" totalsRowDxfId="221">
      <calculatedColumnFormula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calculatedColumnFormula>
    </tableColumn>
    <tableColumn id="76" name="Player 2 Stroke 4" dataDxfId="220" totalsRowDxfId="219">
      <calculatedColumnFormula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calculatedColumnFormula>
    </tableColumn>
    <tableColumn id="77" name="Player 2 Stroke 5" dataDxfId="218" totalsRowDxfId="217">
      <calculatedColumnFormula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calculatedColumnFormula>
    </tableColumn>
    <tableColumn id="78" name="Player 2 Stroke 6" dataDxfId="216" totalsRowDxfId="215">
      <calculatedColumnFormula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calculatedColumnFormula>
    </tableColumn>
    <tableColumn id="79" name="Player 2 Stroke 7" dataDxfId="214" totalsRowDxfId="213">
      <calculatedColumnFormula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calculatedColumnFormula>
    </tableColumn>
    <tableColumn id="80" name="Player 2 Stroke 8" dataDxfId="212" totalsRowDxfId="211">
      <calculatedColumnFormula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calculatedColumnFormula>
    </tableColumn>
    <tableColumn id="81" name="Player 2 Stroke 9" dataDxfId="210" totalsRowDxfId="209">
      <calculatedColumnFormula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calculatedColumnFormula>
    </tableColumn>
    <tableColumn id="82" name="Spacer 3" dataDxfId="208" totalsRowDxfId="207"/>
    <tableColumn id="83" name="Player 2 Stroke 10" dataDxfId="206" totalsRowDxfId="205">
      <calculatedColumnFormula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calculatedColumnFormula>
    </tableColumn>
    <tableColumn id="84" name="Player 2 Stroke 11" dataDxfId="204" totalsRowDxfId="203">
      <calculatedColumnFormula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calculatedColumnFormula>
    </tableColumn>
    <tableColumn id="85" name="Player 2 Stroke 12" dataDxfId="202" totalsRowDxfId="201">
      <calculatedColumnFormula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calculatedColumnFormula>
    </tableColumn>
    <tableColumn id="86" name="Player 2 Stroke 13" dataDxfId="200" totalsRowDxfId="199">
      <calculatedColumnFormula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calculatedColumnFormula>
    </tableColumn>
    <tableColumn id="87" name="Player 2 Stroke 14" dataDxfId="198" totalsRowDxfId="197">
      <calculatedColumnFormula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calculatedColumnFormula>
    </tableColumn>
    <tableColumn id="88" name="Player 2 Stroke 15" dataDxfId="196" totalsRowDxfId="195">
      <calculatedColumnFormula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calculatedColumnFormula>
    </tableColumn>
    <tableColumn id="89" name="Player 2 Stroke 16" dataDxfId="194" totalsRowDxfId="193">
      <calculatedColumnFormula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calculatedColumnFormula>
    </tableColumn>
    <tableColumn id="90" name="Player 2 Stroke 17" dataDxfId="192" totalsRowDxfId="191">
      <calculatedColumnFormula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calculatedColumnFormula>
    </tableColumn>
    <tableColumn id="91" name="Player 2 Stroke 18" dataDxfId="190" totalsRowDxfId="189">
      <calculatedColumnFormula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calculatedColumnFormula>
    </tableColumn>
    <tableColumn id="92" name="Spacer 4" dataDxfId="188" totalsRowDxfId="187"/>
    <tableColumn id="93" name="Player 3 Stroke 1" dataDxfId="186" totalsRowDxfId="185">
      <calculatedColumnFormula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calculatedColumnFormula>
    </tableColumn>
    <tableColumn id="94" name="Player 3 Stroke 2" dataDxfId="184" totalsRowDxfId="183">
      <calculatedColumnFormula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calculatedColumnFormula>
    </tableColumn>
    <tableColumn id="95" name="Player 3 Stroke 3" dataDxfId="182" totalsRowDxfId="181">
      <calculatedColumnFormula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calculatedColumnFormula>
    </tableColumn>
    <tableColumn id="96" name="Player 3 Stroke 4" dataDxfId="180" totalsRowDxfId="179">
      <calculatedColumnFormula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calculatedColumnFormula>
    </tableColumn>
    <tableColumn id="97" name="Player 3 Stroke 5" dataDxfId="178" totalsRowDxfId="177">
      <calculatedColumnFormula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calculatedColumnFormula>
    </tableColumn>
    <tableColumn id="98" name="Player 3 Stroke 6" dataDxfId="176" totalsRowDxfId="175">
      <calculatedColumnFormula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calculatedColumnFormula>
    </tableColumn>
    <tableColumn id="99" name="Player 3 Stroke 7" dataDxfId="174" totalsRowDxfId="173">
      <calculatedColumnFormula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calculatedColumnFormula>
    </tableColumn>
    <tableColumn id="100" name="Player 3 Stroke 8" dataDxfId="172" totalsRowDxfId="171">
      <calculatedColumnFormula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calculatedColumnFormula>
    </tableColumn>
    <tableColumn id="101" name="Player 3 Stroke 9" dataDxfId="170" totalsRowDxfId="169">
      <calculatedColumnFormula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calculatedColumnFormula>
    </tableColumn>
    <tableColumn id="102" name="Spacer 5" dataDxfId="168" totalsRowDxfId="167"/>
    <tableColumn id="103" name="Player 3 Stroke 10" dataDxfId="166" totalsRowDxfId="165">
      <calculatedColumnFormula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calculatedColumnFormula>
    </tableColumn>
    <tableColumn id="104" name="Player 3 Stroke 11" dataDxfId="164" totalsRowDxfId="163">
      <calculatedColumnFormula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calculatedColumnFormula>
    </tableColumn>
    <tableColumn id="105" name="Player 3 Stroke 12" dataDxfId="162" totalsRowDxfId="161">
      <calculatedColumnFormula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calculatedColumnFormula>
    </tableColumn>
    <tableColumn id="106" name="Player 3 Stroke 13" dataDxfId="160" totalsRowDxfId="159">
      <calculatedColumnFormula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calculatedColumnFormula>
    </tableColumn>
    <tableColumn id="107" name="Player 3 Stroke 14" dataDxfId="158" totalsRowDxfId="157">
      <calculatedColumnFormula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calculatedColumnFormula>
    </tableColumn>
    <tableColumn id="108" name="Player 3 Stroke 15" dataDxfId="156" totalsRowDxfId="155">
      <calculatedColumnFormula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calculatedColumnFormula>
    </tableColumn>
    <tableColumn id="109" name="Player 3 Stroke 16" dataDxfId="154" totalsRowDxfId="153">
      <calculatedColumnFormula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calculatedColumnFormula>
    </tableColumn>
    <tableColumn id="110" name="Player 3 Stroke 17" dataDxfId="152" totalsRowDxfId="151">
      <calculatedColumnFormula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calculatedColumnFormula>
    </tableColumn>
    <tableColumn id="111" name="Player 3 Stroke 18" dataDxfId="150" totalsRowDxfId="149">
      <calculatedColumnFormula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calculatedColumnFormula>
    </tableColumn>
    <tableColumn id="112" name="Spacer 6" dataDxfId="148" totalsRowDxfId="147"/>
    <tableColumn id="113" name="Player 4 Stroke 1" dataDxfId="146" totalsRowDxfId="145">
      <calculatedColumnFormula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calculatedColumnFormula>
    </tableColumn>
    <tableColumn id="114" name="Player 4 Stroke 2" dataDxfId="144" totalsRowDxfId="143">
      <calculatedColumnFormula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calculatedColumnFormula>
    </tableColumn>
    <tableColumn id="115" name="Player 4 Stroke 3" dataDxfId="142" totalsRowDxfId="141">
      <calculatedColumnFormula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calculatedColumnFormula>
    </tableColumn>
    <tableColumn id="116" name="Player 4 Stroke 4" dataDxfId="140" totalsRowDxfId="139">
      <calculatedColumnFormula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calculatedColumnFormula>
    </tableColumn>
    <tableColumn id="117" name="Player 4 Stroke 5" dataDxfId="138" totalsRowDxfId="137">
      <calculatedColumnFormula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calculatedColumnFormula>
    </tableColumn>
    <tableColumn id="118" name="Player 4 Stroke 6" dataDxfId="136" totalsRowDxfId="135">
      <calculatedColumnFormula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calculatedColumnFormula>
    </tableColumn>
    <tableColumn id="119" name="Player 4 Stroke 7" dataDxfId="134" totalsRowDxfId="133">
      <calculatedColumnFormula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calculatedColumnFormula>
    </tableColumn>
    <tableColumn id="120" name="Player 4 Stroke 8" dataDxfId="132" totalsRowDxfId="131">
      <calculatedColumnFormula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calculatedColumnFormula>
    </tableColumn>
    <tableColumn id="121" name="Player 4 Stroke 9" dataDxfId="130" totalsRowDxfId="129">
      <calculatedColumnFormula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calculatedColumnFormula>
    </tableColumn>
    <tableColumn id="122" name="Spacer 7" dataDxfId="128" totalsRowDxfId="127"/>
    <tableColumn id="123" name="Player 4 Stroke 10" dataDxfId="126" totalsRowDxfId="125">
      <calculatedColumnFormula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calculatedColumnFormula>
    </tableColumn>
    <tableColumn id="124" name="Player 4 Stroke 11" dataDxfId="124" totalsRowDxfId="123">
      <calculatedColumnFormula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calculatedColumnFormula>
    </tableColumn>
    <tableColumn id="125" name="Player 4 Stroke 12" dataDxfId="122" totalsRowDxfId="121">
      <calculatedColumnFormula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calculatedColumnFormula>
    </tableColumn>
    <tableColumn id="126" name="Player 4 Stroke 13" dataDxfId="120" totalsRowDxfId="119">
      <calculatedColumnFormula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calculatedColumnFormula>
    </tableColumn>
    <tableColumn id="127" name="Player 4 Stroke 14" dataDxfId="118" totalsRowDxfId="117">
      <calculatedColumnFormula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calculatedColumnFormula>
    </tableColumn>
    <tableColumn id="128" name="Player 4 Stroke 15" dataDxfId="116" totalsRowDxfId="115">
      <calculatedColumnFormula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calculatedColumnFormula>
    </tableColumn>
    <tableColumn id="129" name="Player 4 Stroke 16" dataDxfId="114" totalsRowDxfId="113">
      <calculatedColumnFormula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calculatedColumnFormula>
    </tableColumn>
    <tableColumn id="130" name="Player 4 Stroke 17" dataDxfId="112" totalsRowDxfId="111">
      <calculatedColumnFormula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calculatedColumnFormula>
    </tableColumn>
    <tableColumn id="131" name="Player 4 Stroke 18" dataDxfId="110" totalsRowDxfId="109">
      <calculatedColumnFormula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calculatedColumnFormula>
    </tableColumn>
    <tableColumn id="152" name="Spacer 83" totalsRowFunction="count" dataDxfId="108" totalsRowDxfId="107"/>
    <tableColumn id="238" name="Player 5 Stroke 1" dataDxfId="106" totalsRowDxfId="105">
      <calculatedColumnFormula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calculatedColumnFormula>
    </tableColumn>
    <tableColumn id="239" name="Player 5 Stroke 2" dataDxfId="104" totalsRowDxfId="103">
      <calculatedColumnFormula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calculatedColumnFormula>
    </tableColumn>
    <tableColumn id="240" name="Player 5 Stroke 3" dataDxfId="102" totalsRowDxfId="101">
      <calculatedColumnFormula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calculatedColumnFormula>
    </tableColumn>
    <tableColumn id="241" name="Player 5 Stroke 4" dataDxfId="100" totalsRowDxfId="99">
      <calculatedColumnFormula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calculatedColumnFormula>
    </tableColumn>
    <tableColumn id="242" name="Player 5 Stroke 5" dataDxfId="98" totalsRowDxfId="97">
      <calculatedColumnFormula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calculatedColumnFormula>
    </tableColumn>
    <tableColumn id="243" name="Player 5 Stroke 6" dataDxfId="96" totalsRowDxfId="95">
      <calculatedColumnFormula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calculatedColumnFormula>
    </tableColumn>
    <tableColumn id="244" name="Player 5 Stroke 7" dataDxfId="94" totalsRowDxfId="93">
      <calculatedColumnFormula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calculatedColumnFormula>
    </tableColumn>
    <tableColumn id="245" name="Player 5 Stroke 8" dataDxfId="92" totalsRowDxfId="91">
      <calculatedColumnFormula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calculatedColumnFormula>
    </tableColumn>
    <tableColumn id="246" name="Player 5 Stroke 9" dataDxfId="90" totalsRowDxfId="89">
      <calculatedColumnFormula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calculatedColumnFormula>
    </tableColumn>
    <tableColumn id="247" name="Spacer 718" dataDxfId="88" totalsRowDxfId="87"/>
    <tableColumn id="248" name="Player 5 Stroke 10" dataDxfId="86" totalsRowDxfId="85">
      <calculatedColumnFormula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calculatedColumnFormula>
    </tableColumn>
    <tableColumn id="249" name="Player 5 Stroke 11" dataDxfId="84" totalsRowDxfId="83">
      <calculatedColumnFormula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calculatedColumnFormula>
    </tableColumn>
    <tableColumn id="250" name="Player 5 Stroke 12" dataDxfId="82" totalsRowDxfId="81">
      <calculatedColumnFormula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calculatedColumnFormula>
    </tableColumn>
    <tableColumn id="251" name="Player 5 Stroke 13" dataDxfId="80" totalsRowDxfId="79">
      <calculatedColumnFormula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calculatedColumnFormula>
    </tableColumn>
    <tableColumn id="252" name="Player 5 Stroke 14" dataDxfId="78" totalsRowDxfId="77">
      <calculatedColumnFormula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calculatedColumnFormula>
    </tableColumn>
    <tableColumn id="253" name="Player 5 Stroke 15" dataDxfId="76" totalsRowDxfId="75">
      <calculatedColumnFormula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calculatedColumnFormula>
    </tableColumn>
    <tableColumn id="254" name="Player 5 Stroke 16" dataDxfId="74" totalsRowDxfId="73">
      <calculatedColumnFormula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calculatedColumnFormula>
    </tableColumn>
    <tableColumn id="255" name="Player 5 Stroke 17" dataDxfId="72" totalsRowDxfId="71">
      <calculatedColumnFormula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calculatedColumnFormula>
    </tableColumn>
    <tableColumn id="256" name="Player 5 Stroke 18" dataDxfId="70" totalsRowDxfId="69">
      <calculatedColumnFormula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B1:N20" totalsRowShown="0" headerRowDxfId="68" dataDxfId="67" tableBorderDxfId="66">
  <autoFilter ref="B1:N20"/>
  <sortState ref="B2:N20">
    <sortCondition ref="D1:D20"/>
  </sortState>
  <tableColumns count="13">
    <tableColumn id="1" name="Tournament" dataDxfId="65"/>
    <tableColumn id="2" name="Flight" dataDxfId="64"/>
    <tableColumn id="3" name="Hole Number" dataDxfId="63"/>
    <tableColumn id="4" name="Hole Event" dataDxfId="62"/>
    <tableColumn id="5" name="Extra Rule Text" dataDxfId="61"/>
    <tableColumn id="6" name="Open To Whom" dataDxfId="60"/>
    <tableColumn id="7" name="Prize" dataDxfId="59"/>
    <tableColumn id="8" name="Prize Text" dataDxfId="58"/>
    <tableColumn id="9" name="Tournament Upper" dataDxfId="57"/>
    <tableColumn id="10" name="Flight Upper" dataDxfId="56"/>
    <tableColumn id="11" name="Hole Event Upper" dataDxfId="55"/>
    <tableColumn id="12" name="Extra Rule Text Upper" dataDxfId="54"/>
    <tableColumn id="13" name="Open To Whom Upper" dataDxfId="53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4" name="TableGiftCards" displayName="TableGiftCards" ref="B1:I60" totalsRowShown="0" headerRowDxfId="52" dataDxfId="51">
  <autoFilter ref="B1:I60"/>
  <tableColumns count="8">
    <tableColumn id="1" name="Tournament" dataDxfId="50">
      <calculatedColumnFormula>IF(OR(TableGiftCards[[#This Row],[Division]]&lt;&gt;"",TableGiftCards[[#This Row],[Description]]&lt;&gt;"",TableGiftCards[[#This Row],[Prize]]&lt;&gt;0),'Defaults and Lookup Lists'!$B$2,"")</calculatedColumnFormula>
    </tableColumn>
    <tableColumn id="2" name="Division" dataDxfId="49"/>
    <tableColumn id="3" name="Description" dataDxfId="48"/>
    <tableColumn id="4" name="Prize" dataDxfId="47"/>
    <tableColumn id="5" name="Prize_Text" dataDxfId="46"/>
    <tableColumn id="6" name="Tournament Upper" dataDxfId="45">
      <calculatedColumnFormula>UPPER(TableGiftCards[[#This Row],[Tournament]])</calculatedColumnFormula>
    </tableColumn>
    <tableColumn id="7" name="Division Upper" dataDxfId="44">
      <calculatedColumnFormula>UPPER(TableGiftCards[[#This Row],[Division]])</calculatedColumnFormula>
    </tableColumn>
    <tableColumn id="8" name="Description Upper" dataDxfId="43">
      <calculatedColumnFormula>UPPER(TableGiftCards[[#This Row],[Description]])</calculatedColumnFormula>
    </tableColumn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id="3" name="TableNameLookup" displayName="TableNameLookup" ref="A3:L101" totalsRowCount="1" headerRowDxfId="42" dataDxfId="40" totalsRowDxfId="38" headerRowBorderDxfId="41" tableBorderDxfId="39" totalsRowBorderDxfId="37">
  <autoFilter ref="A3:L100"/>
  <sortState ref="A4:L100">
    <sortCondition ref="I4:I100"/>
    <sortCondition ref="A4:A100"/>
  </sortState>
  <tableColumns count="12">
    <tableColumn id="1" name="FULL NAME IMPORTED" totalsRowFunction="count" dataDxfId="36" totalsRowDxfId="35"/>
    <tableColumn id="2" name="Title_x000a_(2)" dataDxfId="34" totalsRowDxfId="33"/>
    <tableColumn id="3" name="First Name_x000a_(3)" dataDxfId="32" totalsRowDxfId="31"/>
    <tableColumn id="4" name="MI_x000a_(4)" dataDxfId="30" totalsRowDxfId="29"/>
    <tableColumn id="5" name="Nick Name_x000a_(5)" dataDxfId="28" totalsRowDxfId="27"/>
    <tableColumn id="6" name="Last Name_x000a_(6)" dataDxfId="26" totalsRowDxfId="25"/>
    <tableColumn id="7" name="Suffix_x000a_(7)" dataDxfId="24" totalsRowDxfId="23"/>
    <tableColumn id="8" name="FULL PLAYER NAME_x000a_(8)" dataDxfId="22" totalsRowDxfId="21"/>
    <tableColumn id="9" name="Male_x000a_(9)" dataDxfId="20" totalsRowDxfId="19"/>
    <tableColumn id="10" name="Club_x000a_(10)" dataDxfId="18" totalsRowDxfId="17"/>
    <tableColumn id="11" name="USGA Index (11)" totalsRowFunction="average" dataDxfId="16" totalsRowDxfId="15"/>
    <tableColumn id="12" name="Handicap_x000a_(12)" dataDxfId="14" totalsRowDxfId="1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5" name="Table46" displayName="Table46" ref="A5:J101" totalsRowShown="0" headerRowDxfId="12" dataDxfId="10" headerRowBorderDxfId="11">
  <autoFilter ref="A5:J101"/>
  <tableColumns count="10">
    <tableColumn id="1" name="FIRST / LAST" dataDxfId="9"/>
    <tableColumn id="10" name="USGA INDEX" dataDxfId="8"/>
    <tableColumn id="6" name="LAST TEST" dataDxfId="7">
      <calculatedColumnFormula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calculatedColumnFormula>
    </tableColumn>
    <tableColumn id="2" name="TITLE" dataDxfId="6">
      <calculatedColumnFormula>PROPER(IF(Table46[[#This Row],[FIRST / LAST]]="","",IF(ISERROR(FIND(".",Table46[[#This Row],[FIRST / LAST]],1)),"",LEFT(Table46[[#This Row],[FIRST / LAST]],FIND(".",Table46[[#This Row],[FIRST / LAST]],1)))))</calculatedColumnFormula>
    </tableColumn>
    <tableColumn id="3" name="FIRST" dataDxfId="5">
      <calculatedColumnFormula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calculatedColumnFormula>
    </tableColumn>
    <tableColumn id="4" name="MIDDLE" dataDxfId="4"/>
    <tableColumn id="5" name="NICKNAME" dataDxfId="3"/>
    <tableColumn id="9" name="LAST" dataDxfId="2">
      <calculatedColumnFormula>PROPER(IF(Table46[[#This Row],[FIRST / LAST]]="","",IF(ISERROR(LEFT(Table46[[#This Row],[LAST TEST]],FIND(" ",Table46[[#This Row],[LAST TEST]],1))),Table46[[#This Row],[LAST TEST]],TRIM(LEFT(Table46[[#This Row],[LAST TEST]],FIND(" ",Table46[[#This Row],[LAST TEST]],1))))))</calculatedColumnFormula>
    </tableColumn>
    <tableColumn id="7" name="SUFFIX" dataDxfId="1">
      <calculatedColumnFormula>PROPER(IF(ISERROR(FIND(" ",Table46[[#This Row],[LAST TEST]],1)),"",RIGHT(Table46[[#This Row],[LAST TEST]],LEN(Table46[[#This Row],[LAST TEST]])-FIND(" ",Table46[[#This Row],[LAST TEST]],1))))</calculatedColumnFormula>
    </tableColumn>
    <tableColumn id="8" name="LAST / FIRST" dataDxfId="0">
      <calculatedColumnFormula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outlinePr showOutlineSymbols="0"/>
  </sheetPr>
  <dimension ref="A1:M19"/>
  <sheetViews>
    <sheetView showGridLines="0" showRowColHeaders="0" showZeros="0" tabSelected="1" showOutlineSymbols="0" workbookViewId="0">
      <selection activeCell="A2" sqref="A2"/>
    </sheetView>
  </sheetViews>
  <sheetFormatPr defaultColWidth="0" defaultRowHeight="15" zeroHeight="1"/>
  <cols>
    <col min="1" max="7" width="10.6640625" style="135" customWidth="1"/>
    <col min="8" max="8" width="21.5546875" style="135" customWidth="1"/>
    <col min="9" max="13" width="10.6640625" hidden="1" customWidth="1"/>
    <col min="14" max="16384" width="10.6640625" style="135" hidden="1"/>
  </cols>
  <sheetData>
    <row r="1" spans="1:13" s="134" customFormat="1" ht="57.95" customHeight="1" thickBot="1">
      <c r="A1" s="261" t="s">
        <v>472</v>
      </c>
      <c r="B1" s="262"/>
      <c r="C1" s="262"/>
      <c r="D1" s="262"/>
      <c r="E1" s="262"/>
      <c r="F1" s="262"/>
      <c r="G1" s="262"/>
      <c r="H1" s="263"/>
      <c r="I1"/>
      <c r="J1"/>
      <c r="K1"/>
      <c r="L1"/>
      <c r="M1"/>
    </row>
    <row r="2" spans="1:13" s="136" customFormat="1" ht="72" customHeight="1">
      <c r="A2" s="139"/>
      <c r="B2" s="140"/>
      <c r="C2" s="140"/>
      <c r="D2" s="140"/>
      <c r="E2" s="140"/>
      <c r="F2" s="140"/>
      <c r="G2" s="140"/>
      <c r="H2" s="141"/>
      <c r="I2"/>
      <c r="J2"/>
      <c r="K2"/>
      <c r="L2"/>
      <c r="M2"/>
    </row>
    <row r="3" spans="1:13" s="137" customFormat="1" ht="72" customHeight="1" thickBot="1">
      <c r="A3" s="142"/>
      <c r="B3" s="143"/>
      <c r="C3" s="143"/>
      <c r="D3" s="143"/>
      <c r="E3" s="143"/>
      <c r="F3" s="143"/>
      <c r="G3" s="143"/>
      <c r="H3" s="144"/>
      <c r="I3"/>
      <c r="J3"/>
      <c r="K3"/>
      <c r="L3"/>
      <c r="M3"/>
    </row>
    <row r="4" spans="1:13" s="3" customFormat="1" ht="57.95" customHeight="1" thickBot="1">
      <c r="A4" s="258" t="s">
        <v>473</v>
      </c>
      <c r="B4" s="258"/>
      <c r="C4" s="258"/>
      <c r="D4" s="258"/>
      <c r="E4" s="258"/>
      <c r="F4" s="258"/>
      <c r="G4" s="259"/>
      <c r="H4" s="260"/>
      <c r="I4"/>
      <c r="J4"/>
      <c r="K4"/>
      <c r="L4"/>
      <c r="M4"/>
    </row>
    <row r="5" spans="1:13" s="138" customFormat="1">
      <c r="A5" s="182"/>
      <c r="B5" s="183"/>
      <c r="C5" s="183"/>
      <c r="D5" s="183"/>
      <c r="E5" s="183"/>
      <c r="F5" s="183"/>
      <c r="G5" s="183"/>
      <c r="H5" s="184"/>
      <c r="I5"/>
    </row>
    <row r="6" spans="1:13" s="115" customFormat="1">
      <c r="A6" s="185"/>
      <c r="B6" s="186"/>
      <c r="C6" s="186"/>
      <c r="D6" s="186"/>
      <c r="E6" s="186"/>
      <c r="F6" s="186"/>
      <c r="G6" s="186"/>
      <c r="H6" s="187"/>
      <c r="I6"/>
      <c r="J6" s="138"/>
      <c r="K6" s="138"/>
      <c r="L6" s="138"/>
      <c r="M6" s="138"/>
    </row>
    <row r="7" spans="1:13" s="115" customFormat="1">
      <c r="A7" s="185"/>
      <c r="B7" s="186"/>
      <c r="C7" s="186"/>
      <c r="D7" s="186"/>
      <c r="E7" s="186"/>
      <c r="F7" s="186"/>
      <c r="G7" s="186"/>
      <c r="H7" s="187"/>
      <c r="I7"/>
      <c r="J7" s="138"/>
      <c r="K7" s="138"/>
      <c r="L7" s="138"/>
      <c r="M7" s="138"/>
    </row>
    <row r="8" spans="1:13" s="115" customFormat="1">
      <c r="A8" s="185"/>
      <c r="B8" s="186"/>
      <c r="C8" s="186"/>
      <c r="D8" s="186"/>
      <c r="E8" s="186"/>
      <c r="F8" s="186"/>
      <c r="G8" s="186"/>
      <c r="H8" s="187"/>
      <c r="I8"/>
      <c r="J8" s="138"/>
      <c r="K8" s="138"/>
      <c r="L8" s="138"/>
      <c r="M8" s="138"/>
    </row>
    <row r="9" spans="1:13" s="115" customFormat="1">
      <c r="A9" s="185"/>
      <c r="B9" s="186"/>
      <c r="C9" s="186"/>
      <c r="D9" s="186"/>
      <c r="E9" s="186"/>
      <c r="F9" s="186"/>
      <c r="G9" s="186"/>
      <c r="H9" s="187"/>
      <c r="I9"/>
      <c r="J9" s="138"/>
      <c r="K9" s="138"/>
      <c r="L9" s="138"/>
      <c r="M9" s="138"/>
    </row>
    <row r="10" spans="1:13" s="115" customFormat="1">
      <c r="A10" s="185"/>
      <c r="B10" s="186"/>
      <c r="C10" s="186"/>
      <c r="D10" s="186"/>
      <c r="E10" s="186"/>
      <c r="F10" s="186"/>
      <c r="G10" s="186"/>
      <c r="H10" s="187"/>
      <c r="I10"/>
      <c r="J10" s="138"/>
      <c r="K10" s="138"/>
      <c r="L10" s="138"/>
      <c r="M10" s="138"/>
    </row>
    <row r="11" spans="1:13" s="115" customFormat="1">
      <c r="A11" s="185"/>
      <c r="B11" s="186"/>
      <c r="C11" s="186"/>
      <c r="D11" s="186"/>
      <c r="E11" s="186"/>
      <c r="F11" s="186"/>
      <c r="G11" s="186"/>
      <c r="H11" s="187"/>
      <c r="I11"/>
      <c r="J11" s="138"/>
      <c r="K11" s="138"/>
      <c r="L11" s="138"/>
      <c r="M11" s="138"/>
    </row>
    <row r="12" spans="1:13" s="115" customFormat="1">
      <c r="A12" s="185"/>
      <c r="B12" s="186"/>
      <c r="C12" s="186"/>
      <c r="D12" s="186"/>
      <c r="E12" s="186"/>
      <c r="F12" s="186"/>
      <c r="G12" s="186"/>
      <c r="H12" s="187"/>
      <c r="I12"/>
      <c r="J12" s="138"/>
      <c r="K12" s="138"/>
      <c r="L12" s="138"/>
      <c r="M12" s="138"/>
    </row>
    <row r="13" spans="1:13" s="115" customFormat="1">
      <c r="A13" s="188"/>
      <c r="B13" s="189"/>
      <c r="C13" s="189"/>
      <c r="D13" s="189"/>
      <c r="E13" s="189"/>
      <c r="F13" s="189"/>
      <c r="G13" s="189"/>
      <c r="H13" s="190"/>
      <c r="I13"/>
      <c r="J13" s="138"/>
      <c r="K13" s="138"/>
      <c r="L13" s="138"/>
      <c r="M13" s="138"/>
    </row>
    <row r="14" spans="1:13" s="115" customFormat="1" hidden="1">
      <c r="I14"/>
      <c r="J14" s="138"/>
      <c r="K14" s="138"/>
      <c r="L14" s="138"/>
      <c r="M14" s="138"/>
    </row>
    <row r="15" spans="1:13" s="115" customFormat="1" hidden="1">
      <c r="I15"/>
      <c r="J15" s="138"/>
      <c r="K15" s="138"/>
      <c r="L15" s="138"/>
      <c r="M15" s="138"/>
    </row>
    <row r="16" spans="1:13" s="115" customFormat="1" hidden="1">
      <c r="I16"/>
      <c r="J16" s="138"/>
      <c r="K16" s="138"/>
      <c r="L16" s="138"/>
      <c r="M16" s="138"/>
    </row>
    <row r="17" spans="9:13" s="115" customFormat="1" hidden="1">
      <c r="I17"/>
      <c r="J17" s="138"/>
      <c r="K17" s="138"/>
      <c r="L17" s="138"/>
      <c r="M17" s="138"/>
    </row>
    <row r="18" spans="9:13" s="115" customFormat="1" hidden="1">
      <c r="I18"/>
      <c r="J18" s="138"/>
      <c r="K18" s="138"/>
      <c r="L18" s="138"/>
      <c r="M18" s="138"/>
    </row>
    <row r="19" spans="9:13" s="115" customFormat="1" hidden="1">
      <c r="I19"/>
      <c r="J19" s="138"/>
      <c r="K19" s="138"/>
      <c r="L19" s="138"/>
      <c r="M19" s="138"/>
    </row>
  </sheetData>
  <sheetProtection sheet="1" objects="1" scenarios="1" selectLockedCells="1" selectUnlockedCells="1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S41"/>
  <sheetViews>
    <sheetView showGridLines="0" workbookViewId="0">
      <selection activeCell="D3" sqref="D3"/>
    </sheetView>
  </sheetViews>
  <sheetFormatPr defaultColWidth="10.6640625" defaultRowHeight="23.25"/>
  <cols>
    <col min="1" max="4" width="25.88671875" style="9" customWidth="1"/>
    <col min="5" max="5" width="4.5546875" style="3" customWidth="1"/>
    <col min="6" max="6" width="21.109375" style="3" bestFit="1" customWidth="1"/>
    <col min="7" max="7" width="26.33203125" style="3" customWidth="1"/>
    <col min="8" max="8" width="21.88671875" style="3" customWidth="1"/>
    <col min="9" max="12" width="37" style="3" customWidth="1"/>
    <col min="13" max="13" width="5" style="3" customWidth="1"/>
    <col min="14" max="17" width="37" style="3" customWidth="1"/>
    <col min="18" max="18" width="5" style="3" customWidth="1"/>
    <col min="19" max="19" width="42.109375" style="3" customWidth="1"/>
    <col min="20" max="16384" width="10.6640625" style="3"/>
  </cols>
  <sheetData>
    <row r="1" spans="1:19" ht="48.95" customHeight="1">
      <c r="A1" s="128"/>
      <c r="B1" s="178" t="s">
        <v>463</v>
      </c>
      <c r="C1" s="129"/>
      <c r="D1" s="129"/>
      <c r="F1" s="174" t="s">
        <v>462</v>
      </c>
      <c r="G1" s="175"/>
      <c r="I1" s="313" t="s">
        <v>343</v>
      </c>
      <c r="J1" s="314"/>
      <c r="K1" s="315"/>
      <c r="L1" s="316"/>
      <c r="M1" s="317"/>
      <c r="N1" s="313" t="s">
        <v>410</v>
      </c>
      <c r="O1" s="314"/>
      <c r="P1" s="315"/>
      <c r="Q1" s="316"/>
      <c r="S1" s="318" t="s">
        <v>412</v>
      </c>
    </row>
    <row r="2" spans="1:19" ht="26.1" customHeight="1">
      <c r="A2" s="319" t="s">
        <v>336</v>
      </c>
      <c r="B2" s="294" t="s">
        <v>471</v>
      </c>
      <c r="C2" s="319" t="s">
        <v>339</v>
      </c>
      <c r="D2" s="298" t="s">
        <v>464</v>
      </c>
      <c r="F2" s="326"/>
      <c r="G2" s="327"/>
      <c r="I2" s="244" t="s">
        <v>119</v>
      </c>
      <c r="J2" s="244" t="s">
        <v>465</v>
      </c>
      <c r="K2" s="244" t="s">
        <v>105</v>
      </c>
      <c r="L2" s="244" t="s">
        <v>92</v>
      </c>
      <c r="M2" s="4"/>
      <c r="N2" s="244" t="s">
        <v>402</v>
      </c>
      <c r="O2" s="244" t="s">
        <v>403</v>
      </c>
      <c r="P2" s="244" t="s">
        <v>404</v>
      </c>
      <c r="Q2" s="244" t="s">
        <v>405</v>
      </c>
      <c r="R2" s="4"/>
      <c r="S2" s="244" t="s">
        <v>411</v>
      </c>
    </row>
    <row r="3" spans="1:19" ht="26.1" customHeight="1">
      <c r="A3" s="319" t="s">
        <v>459</v>
      </c>
      <c r="B3" s="295" t="s">
        <v>102</v>
      </c>
      <c r="C3" s="319" t="s">
        <v>337</v>
      </c>
      <c r="D3" s="299">
        <v>0.54166666666666663</v>
      </c>
      <c r="F3" s="328"/>
      <c r="G3" s="327"/>
      <c r="I3" s="214" t="s">
        <v>97</v>
      </c>
      <c r="J3" s="302" t="s">
        <v>355</v>
      </c>
      <c r="K3" s="214" t="s">
        <v>106</v>
      </c>
      <c r="L3" s="214" t="s">
        <v>93</v>
      </c>
      <c r="M3" s="303"/>
      <c r="N3" s="201" t="s">
        <v>376</v>
      </c>
      <c r="O3" s="201" t="s">
        <v>406</v>
      </c>
      <c r="P3" s="201" t="s">
        <v>365</v>
      </c>
      <c r="Q3" s="247">
        <v>1</v>
      </c>
      <c r="R3" s="203"/>
      <c r="S3" s="214" t="s">
        <v>395</v>
      </c>
    </row>
    <row r="4" spans="1:19" ht="26.1" customHeight="1">
      <c r="A4" s="319" t="s">
        <v>460</v>
      </c>
      <c r="B4" s="295" t="s">
        <v>108</v>
      </c>
      <c r="C4" s="319" t="s">
        <v>338</v>
      </c>
      <c r="D4" s="300">
        <v>1</v>
      </c>
      <c r="F4" s="326"/>
      <c r="G4" s="327"/>
      <c r="I4" s="214" t="s">
        <v>98</v>
      </c>
      <c r="J4" s="302" t="s">
        <v>467</v>
      </c>
      <c r="K4" s="214" t="s">
        <v>102</v>
      </c>
      <c r="L4" s="214" t="s">
        <v>94</v>
      </c>
      <c r="M4" s="203"/>
      <c r="N4" s="201" t="s">
        <v>360</v>
      </c>
      <c r="O4" s="201"/>
      <c r="P4" s="201" t="s">
        <v>358</v>
      </c>
      <c r="Q4" s="247">
        <v>2</v>
      </c>
      <c r="R4" s="203"/>
      <c r="S4" s="214" t="s">
        <v>396</v>
      </c>
    </row>
    <row r="5" spans="1:19" ht="26.1" customHeight="1">
      <c r="A5" s="319" t="s">
        <v>342</v>
      </c>
      <c r="B5" s="295">
        <v>4</v>
      </c>
      <c r="C5" s="319" t="s">
        <v>461</v>
      </c>
      <c r="D5" s="301">
        <v>10</v>
      </c>
      <c r="F5" s="326"/>
      <c r="G5" s="327"/>
      <c r="I5" s="214"/>
      <c r="J5" s="304" t="s">
        <v>362</v>
      </c>
      <c r="K5" s="214" t="s">
        <v>107</v>
      </c>
      <c r="L5" s="214" t="s">
        <v>95</v>
      </c>
      <c r="M5" s="203"/>
      <c r="N5" s="201" t="s">
        <v>380</v>
      </c>
      <c r="O5" s="201"/>
      <c r="P5" s="201" t="s">
        <v>368</v>
      </c>
      <c r="Q5" s="247">
        <v>3</v>
      </c>
      <c r="R5" s="203"/>
      <c r="S5" s="214" t="s">
        <v>397</v>
      </c>
    </row>
    <row r="6" spans="1:19" ht="26.1" customHeight="1">
      <c r="A6" s="319" t="s">
        <v>162</v>
      </c>
      <c r="B6" s="296">
        <v>50</v>
      </c>
      <c r="C6" s="319" t="s">
        <v>466</v>
      </c>
      <c r="D6" s="297" t="s">
        <v>93</v>
      </c>
      <c r="F6" s="326"/>
      <c r="G6" s="327"/>
      <c r="I6" s="214"/>
      <c r="J6" s="302" t="s">
        <v>398</v>
      </c>
      <c r="K6" s="214" t="s">
        <v>118</v>
      </c>
      <c r="L6" s="214" t="s">
        <v>96</v>
      </c>
      <c r="M6" s="203"/>
      <c r="N6" s="201" t="s">
        <v>409</v>
      </c>
      <c r="O6" s="201"/>
      <c r="P6" s="201"/>
      <c r="Q6" s="247">
        <v>4</v>
      </c>
      <c r="R6" s="203"/>
      <c r="S6" s="214" t="s">
        <v>376</v>
      </c>
    </row>
    <row r="7" spans="1:19" ht="26.1" customHeight="1">
      <c r="A7" s="319" t="s">
        <v>158</v>
      </c>
      <c r="B7" s="297">
        <v>41744</v>
      </c>
      <c r="C7" s="319"/>
      <c r="D7" s="300"/>
      <c r="F7" s="326"/>
      <c r="G7" s="327"/>
      <c r="I7" s="214"/>
      <c r="J7" s="305" t="s">
        <v>468</v>
      </c>
      <c r="K7" s="214" t="s">
        <v>123</v>
      </c>
      <c r="L7" s="214"/>
      <c r="M7" s="203"/>
      <c r="N7" s="201" t="s">
        <v>407</v>
      </c>
      <c r="O7" s="201"/>
      <c r="P7" s="201"/>
      <c r="Q7" s="247">
        <v>5</v>
      </c>
      <c r="R7" s="203"/>
      <c r="S7" s="214" t="s">
        <v>360</v>
      </c>
    </row>
    <row r="8" spans="1:19" s="135" customFormat="1" ht="26.1" customHeight="1">
      <c r="A8" s="319"/>
      <c r="B8" s="297"/>
      <c r="C8" s="319"/>
      <c r="D8" s="300"/>
      <c r="F8" s="329"/>
      <c r="G8" s="330"/>
      <c r="I8" s="214"/>
      <c r="J8" s="302" t="s">
        <v>469</v>
      </c>
      <c r="K8" s="214" t="s">
        <v>108</v>
      </c>
      <c r="L8" s="214"/>
      <c r="M8" s="203"/>
      <c r="N8" s="201" t="s">
        <v>408</v>
      </c>
      <c r="O8" s="201"/>
      <c r="P8" s="201"/>
      <c r="Q8" s="247">
        <v>6</v>
      </c>
      <c r="R8" s="203"/>
      <c r="S8" s="214" t="s">
        <v>380</v>
      </c>
    </row>
    <row r="9" spans="1:19" s="135" customFormat="1" ht="26.1" customHeight="1">
      <c r="A9" s="319"/>
      <c r="B9" s="297"/>
      <c r="C9" s="319"/>
      <c r="D9" s="300"/>
      <c r="F9" s="331"/>
      <c r="G9" s="332"/>
      <c r="I9" s="214"/>
      <c r="J9" s="304" t="s">
        <v>470</v>
      </c>
      <c r="K9" s="214"/>
      <c r="L9" s="214"/>
      <c r="M9" s="203"/>
      <c r="N9" s="201" t="s">
        <v>388</v>
      </c>
      <c r="O9" s="201"/>
      <c r="P9" s="201"/>
      <c r="Q9" s="247">
        <v>7</v>
      </c>
      <c r="R9" s="203"/>
      <c r="S9" s="214" t="s">
        <v>409</v>
      </c>
    </row>
    <row r="10" spans="1:19" s="135" customFormat="1" ht="26.1" customHeight="1">
      <c r="D10" s="180"/>
      <c r="I10" s="214"/>
      <c r="J10" s="306" t="s">
        <v>367</v>
      </c>
      <c r="K10" s="214"/>
      <c r="L10" s="214"/>
      <c r="M10" s="203"/>
      <c r="N10" s="201" t="s">
        <v>366</v>
      </c>
      <c r="O10" s="201"/>
      <c r="P10" s="201"/>
      <c r="Q10" s="247">
        <v>8</v>
      </c>
      <c r="R10" s="203"/>
      <c r="S10" s="214" t="s">
        <v>407</v>
      </c>
    </row>
    <row r="11" spans="1:19" s="181" customFormat="1" ht="26.1" customHeight="1">
      <c r="A11" s="176" t="s">
        <v>401</v>
      </c>
      <c r="B11" s="177"/>
      <c r="C11" s="176"/>
      <c r="D11" s="176"/>
      <c r="I11" s="214"/>
      <c r="J11" s="214"/>
      <c r="K11" s="214"/>
      <c r="L11" s="214"/>
      <c r="M11" s="203"/>
      <c r="N11" s="201" t="s">
        <v>357</v>
      </c>
      <c r="O11" s="201"/>
      <c r="P11" s="201"/>
      <c r="Q11" s="247">
        <v>9</v>
      </c>
      <c r="R11" s="203"/>
      <c r="S11" s="214" t="s">
        <v>408</v>
      </c>
    </row>
    <row r="12" spans="1:19" s="4" customFormat="1" ht="26.1" customHeight="1">
      <c r="I12" s="214"/>
      <c r="J12" s="302"/>
      <c r="K12" s="214"/>
      <c r="L12" s="214"/>
      <c r="M12" s="203"/>
      <c r="N12" s="201" t="s">
        <v>364</v>
      </c>
      <c r="O12" s="201"/>
      <c r="P12" s="201"/>
      <c r="Q12" s="247">
        <v>10</v>
      </c>
      <c r="R12" s="203"/>
      <c r="S12" s="214" t="s">
        <v>388</v>
      </c>
    </row>
    <row r="13" spans="1:19" s="115" customFormat="1" ht="26.1" customHeight="1">
      <c r="I13" s="214"/>
      <c r="J13" s="214"/>
      <c r="K13" s="214"/>
      <c r="L13" s="214"/>
      <c r="M13" s="203"/>
      <c r="N13" s="201"/>
      <c r="O13" s="201"/>
      <c r="P13" s="201"/>
      <c r="Q13" s="247">
        <v>11</v>
      </c>
      <c r="R13" s="203"/>
      <c r="S13" s="214" t="s">
        <v>366</v>
      </c>
    </row>
    <row r="14" spans="1:19" s="179" customFormat="1" ht="26.1" customHeight="1">
      <c r="I14" s="214"/>
      <c r="J14" s="214"/>
      <c r="K14" s="214"/>
      <c r="L14" s="214"/>
      <c r="M14" s="203"/>
      <c r="N14" s="201"/>
      <c r="O14" s="201"/>
      <c r="P14" s="201"/>
      <c r="Q14" s="247">
        <v>12</v>
      </c>
      <c r="R14" s="203"/>
      <c r="S14" s="214" t="s">
        <v>357</v>
      </c>
    </row>
    <row r="15" spans="1:19" s="179" customFormat="1" ht="26.1" customHeight="1">
      <c r="I15" s="214"/>
      <c r="J15" s="214"/>
      <c r="K15" s="214"/>
      <c r="L15" s="214"/>
      <c r="M15" s="203"/>
      <c r="N15" s="201"/>
      <c r="O15" s="201"/>
      <c r="P15" s="201"/>
      <c r="Q15" s="247">
        <v>13</v>
      </c>
      <c r="R15" s="203"/>
      <c r="S15" s="214" t="s">
        <v>364</v>
      </c>
    </row>
    <row r="16" spans="1:19" s="179" customFormat="1" ht="26.1" customHeight="1">
      <c r="I16" s="214"/>
      <c r="J16" s="214"/>
      <c r="K16" s="214"/>
      <c r="L16" s="214"/>
      <c r="M16" s="203"/>
      <c r="N16" s="201"/>
      <c r="O16" s="201"/>
      <c r="P16" s="201"/>
      <c r="Q16" s="247">
        <v>14</v>
      </c>
      <c r="R16" s="203"/>
      <c r="S16" s="214"/>
    </row>
    <row r="17" spans="9:19" s="179" customFormat="1" ht="26.1" customHeight="1">
      <c r="I17" s="214"/>
      <c r="J17" s="214"/>
      <c r="K17" s="214"/>
      <c r="L17" s="214"/>
      <c r="M17" s="203"/>
      <c r="N17" s="201"/>
      <c r="O17" s="201"/>
      <c r="P17" s="201"/>
      <c r="Q17" s="247">
        <v>15</v>
      </c>
      <c r="R17" s="203"/>
      <c r="S17" s="214"/>
    </row>
    <row r="18" spans="9:19" s="179" customFormat="1" ht="26.1" customHeight="1">
      <c r="I18" s="214"/>
      <c r="J18" s="214"/>
      <c r="K18" s="214"/>
      <c r="L18" s="214"/>
      <c r="M18" s="203"/>
      <c r="N18" s="201"/>
      <c r="O18" s="201"/>
      <c r="P18" s="201"/>
      <c r="Q18" s="247">
        <v>16</v>
      </c>
      <c r="R18" s="203"/>
      <c r="S18" s="214"/>
    </row>
    <row r="19" spans="9:19" s="179" customFormat="1" ht="26.1" customHeight="1">
      <c r="I19" s="214"/>
      <c r="J19" s="214"/>
      <c r="K19" s="214"/>
      <c r="L19" s="214"/>
      <c r="M19" s="203"/>
      <c r="N19" s="201"/>
      <c r="O19" s="201"/>
      <c r="P19" s="201"/>
      <c r="Q19" s="247">
        <v>17</v>
      </c>
      <c r="R19" s="203"/>
      <c r="S19" s="214"/>
    </row>
    <row r="20" spans="9:19" s="179" customFormat="1" ht="26.1" customHeight="1">
      <c r="I20" s="214"/>
      <c r="J20" s="214"/>
      <c r="K20" s="214"/>
      <c r="L20" s="214"/>
      <c r="M20" s="203"/>
      <c r="N20" s="201"/>
      <c r="O20" s="201"/>
      <c r="P20" s="201"/>
      <c r="Q20" s="247">
        <v>18</v>
      </c>
      <c r="R20" s="203"/>
      <c r="S20" s="214"/>
    </row>
    <row r="21" spans="9:19" customFormat="1" ht="26.1" customHeight="1">
      <c r="I21" s="214"/>
      <c r="J21" s="214"/>
      <c r="K21" s="214"/>
      <c r="L21" s="214"/>
      <c r="M21" s="203"/>
      <c r="N21" s="201"/>
      <c r="O21" s="201"/>
      <c r="P21" s="201"/>
      <c r="Q21" s="247"/>
      <c r="R21" s="203"/>
      <c r="S21" s="214"/>
    </row>
    <row r="22" spans="9:19" customFormat="1" ht="26.1" customHeight="1">
      <c r="I22" s="214"/>
      <c r="J22" s="214"/>
      <c r="K22" s="214"/>
      <c r="L22" s="214"/>
      <c r="M22" s="203"/>
      <c r="N22" s="201"/>
      <c r="O22" s="201"/>
      <c r="P22" s="201"/>
      <c r="Q22" s="247"/>
      <c r="R22" s="203"/>
      <c r="S22" s="214"/>
    </row>
    <row r="23" spans="9:19" customFormat="1" ht="26.1" customHeight="1">
      <c r="I23" s="214"/>
      <c r="J23" s="214"/>
      <c r="K23" s="214"/>
      <c r="L23" s="214"/>
      <c r="M23" s="203"/>
      <c r="N23" s="201"/>
      <c r="O23" s="201"/>
      <c r="P23" s="201"/>
      <c r="Q23" s="247"/>
      <c r="R23" s="203"/>
      <c r="S23" s="214"/>
    </row>
    <row r="24" spans="9:19" customFormat="1" ht="26.1" customHeight="1">
      <c r="I24" s="214"/>
      <c r="J24" s="214"/>
      <c r="K24" s="214"/>
      <c r="L24" s="214"/>
      <c r="M24" s="203"/>
      <c r="N24" s="201"/>
      <c r="O24" s="201"/>
      <c r="P24" s="201"/>
      <c r="Q24" s="247"/>
      <c r="R24" s="203"/>
      <c r="S24" s="214"/>
    </row>
    <row r="25" spans="9:19" customFormat="1" ht="26.1" customHeight="1">
      <c r="I25" s="214"/>
      <c r="J25" s="214"/>
      <c r="K25" s="214"/>
      <c r="L25" s="214"/>
      <c r="M25" s="203"/>
      <c r="N25" s="201"/>
      <c r="O25" s="201"/>
      <c r="P25" s="201"/>
      <c r="Q25" s="247"/>
      <c r="R25" s="203"/>
      <c r="S25" s="214"/>
    </row>
    <row r="26" spans="9:19" customFormat="1" ht="26.1" customHeight="1">
      <c r="I26" s="214"/>
      <c r="J26" s="214"/>
      <c r="K26" s="214"/>
      <c r="L26" s="214"/>
      <c r="M26" s="203"/>
      <c r="N26" s="201"/>
      <c r="O26" s="201"/>
      <c r="P26" s="201"/>
      <c r="Q26" s="247"/>
      <c r="R26" s="203"/>
      <c r="S26" s="214"/>
    </row>
    <row r="27" spans="9:19" customFormat="1" ht="26.1" customHeight="1">
      <c r="I27" s="214"/>
      <c r="J27" s="214"/>
      <c r="K27" s="214"/>
      <c r="L27" s="214"/>
      <c r="M27" s="203"/>
      <c r="N27" s="201"/>
      <c r="O27" s="201"/>
      <c r="P27" s="201"/>
      <c r="Q27" s="247"/>
      <c r="R27" s="203"/>
      <c r="S27" s="214"/>
    </row>
    <row r="28" spans="9:19" customFormat="1" ht="26.1" customHeight="1">
      <c r="I28" s="214"/>
      <c r="J28" s="214"/>
      <c r="K28" s="214"/>
      <c r="L28" s="214"/>
      <c r="M28" s="203"/>
      <c r="N28" s="201"/>
      <c r="O28" s="201"/>
      <c r="P28" s="201"/>
      <c r="Q28" s="247"/>
      <c r="R28" s="203"/>
      <c r="S28" s="214"/>
    </row>
    <row r="29" spans="9:19" customFormat="1" ht="26.1" customHeight="1">
      <c r="I29" s="214"/>
      <c r="J29" s="214"/>
      <c r="K29" s="214"/>
      <c r="L29" s="214"/>
      <c r="M29" s="203"/>
      <c r="N29" s="201"/>
      <c r="O29" s="201"/>
      <c r="P29" s="201"/>
      <c r="Q29" s="247"/>
      <c r="R29" s="203"/>
      <c r="S29" s="214"/>
    </row>
    <row r="30" spans="9:19" customFormat="1" ht="26.1" customHeight="1">
      <c r="I30" s="214"/>
      <c r="J30" s="214"/>
      <c r="K30" s="214"/>
      <c r="L30" s="214"/>
      <c r="M30" s="203"/>
      <c r="N30" s="201"/>
      <c r="O30" s="201"/>
      <c r="P30" s="201"/>
      <c r="Q30" s="247"/>
      <c r="R30" s="203"/>
      <c r="S30" s="214"/>
    </row>
    <row r="31" spans="9:19" s="179" customFormat="1" ht="20.100000000000001" customHeight="1">
      <c r="I31" s="214"/>
      <c r="J31" s="214"/>
      <c r="K31" s="214"/>
      <c r="L31" s="214"/>
      <c r="M31" s="203"/>
      <c r="N31" s="201"/>
      <c r="O31" s="201"/>
      <c r="P31" s="201"/>
      <c r="Q31" s="247"/>
      <c r="R31" s="203"/>
      <c r="S31" s="214"/>
    </row>
    <row r="32" spans="9:19" s="179" customFormat="1" ht="20.100000000000001" customHeight="1">
      <c r="I32" s="214"/>
      <c r="J32" s="214"/>
      <c r="K32" s="214"/>
      <c r="L32" s="214"/>
      <c r="M32" s="203"/>
      <c r="N32" s="201"/>
      <c r="O32" s="201"/>
      <c r="P32" s="201"/>
      <c r="Q32" s="247"/>
      <c r="R32" s="203"/>
      <c r="S32" s="214"/>
    </row>
    <row r="33" s="179" customFormat="1" ht="20.100000000000001" customHeight="1"/>
    <row r="34" s="179" customFormat="1" ht="20.100000000000001" customHeight="1"/>
    <row r="35" s="179" customFormat="1" ht="20.100000000000001" customHeight="1"/>
    <row r="36" s="179" customFormat="1" ht="20.100000000000001" customHeight="1"/>
    <row r="37" s="179" customFormat="1" ht="20.100000000000001" customHeight="1"/>
    <row r="38" s="179" customFormat="1" ht="20.100000000000001" customHeight="1"/>
    <row r="39" s="179" customFormat="1" ht="20.100000000000001" customHeight="1"/>
    <row r="40" s="179" customFormat="1" ht="20.100000000000001" customHeight="1"/>
    <row r="41" s="179" customFormat="1" ht="20.100000000000001" customHeight="1"/>
  </sheetData>
  <sheetProtection sheet="1" objects="1" scenarios="1" formatCells="0" formatColumns="0" formatRows="0" insertColumns="0" insertRows="0" insertHyperlinks="0" deleteColumns="0" deleteRows="0" selectLockedCells="1" sort="0" autoFilter="0" pivotTables="0"/>
  <sortState ref="P3:P5">
    <sortCondition ref="P3"/>
  </sortState>
  <conditionalFormatting sqref="N3:Q4 O10:P10 N10:N12">
    <cfRule type="expression" dxfId="549" priority="11">
      <formula>MOD(ROW(),2)=0</formula>
    </cfRule>
  </conditionalFormatting>
  <conditionalFormatting sqref="O11:P12 N13:P32">
    <cfRule type="expression" dxfId="548" priority="10">
      <formula>MOD(ROW(),2)=0</formula>
    </cfRule>
  </conditionalFormatting>
  <conditionalFormatting sqref="Q10:Q32">
    <cfRule type="expression" dxfId="547" priority="9">
      <formula>MOD(ROW(),2)=0</formula>
    </cfRule>
  </conditionalFormatting>
  <conditionalFormatting sqref="N5:P9">
    <cfRule type="expression" dxfId="546" priority="8">
      <formula>MOD(ROW(),2)=0</formula>
    </cfRule>
  </conditionalFormatting>
  <conditionalFormatting sqref="Q5:Q9">
    <cfRule type="expression" dxfId="545" priority="7">
      <formula>MOD(ROW(),2)=0</formula>
    </cfRule>
  </conditionalFormatting>
  <conditionalFormatting sqref="S10:S32">
    <cfRule type="expression" dxfId="544" priority="3">
      <formula>MOD(ROW(),2)=0</formula>
    </cfRule>
  </conditionalFormatting>
  <conditionalFormatting sqref="S5:S9">
    <cfRule type="expression" dxfId="543" priority="2">
      <formula>MOD(ROW(),2)=0</formula>
    </cfRule>
  </conditionalFormatting>
  <conditionalFormatting sqref="S3:S4">
    <cfRule type="expression" dxfId="542" priority="4">
      <formula>MOD(ROW(),2)=0</formula>
    </cfRule>
  </conditionalFormatting>
  <conditionalFormatting sqref="I3:L32">
    <cfRule type="expression" dxfId="541" priority="1">
      <formula>MOD(ROW(),2)=0</formula>
    </cfRule>
  </conditionalFormatting>
  <dataValidations count="4">
    <dataValidation type="list" allowBlank="1" showInputMessage="1" showErrorMessage="1" sqref="B3:B4">
      <formula1>PopUpTeeMarkers</formula1>
    </dataValidation>
    <dataValidation type="list" allowBlank="1" showInputMessage="1" showErrorMessage="1" sqref="D2">
      <formula1>"Shotgun, Tee Times"</formula1>
    </dataValidation>
    <dataValidation type="list" allowBlank="1" showInputMessage="1" showErrorMessage="1" sqref="B5">
      <formula1>"1,2,3,4,5"</formula1>
    </dataValidation>
    <dataValidation type="list" allowBlank="1" showInputMessage="1" showErrorMessage="1" sqref="D4">
      <formula1>"1,10"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B53"/>
  <sheetViews>
    <sheetView showGridLines="0" workbookViewId="0">
      <pane xSplit="2" ySplit="1" topLeftCell="C2" activePane="bottomRight" state="frozenSplit"/>
      <selection activeCell="C11" sqref="C11"/>
      <selection pane="topRight" activeCell="C11" sqref="C11"/>
      <selection pane="bottomLeft" activeCell="C11" sqref="C11"/>
      <selection pane="bottomRight" activeCell="BW4" sqref="BW4"/>
    </sheetView>
  </sheetViews>
  <sheetFormatPr defaultColWidth="10.6640625" defaultRowHeight="18"/>
  <cols>
    <col min="1" max="1" width="4.44140625" style="98" customWidth="1"/>
    <col min="2" max="2" width="41.109375" style="98" customWidth="1"/>
    <col min="3" max="4" width="30.88671875" style="4" hidden="1" customWidth="1"/>
    <col min="5" max="5" width="30.88671875" style="2" hidden="1" customWidth="1"/>
    <col min="6" max="10" width="9.88671875" style="98" hidden="1" customWidth="1"/>
    <col min="11" max="11" width="30.44140625" style="2" customWidth="1"/>
    <col min="12" max="12" width="18.5546875" style="203" customWidth="1"/>
    <col min="13" max="13" width="20" style="2" customWidth="1"/>
    <col min="14" max="14" width="20" style="98" customWidth="1"/>
    <col min="15" max="16" width="10.44140625" style="98" customWidth="1"/>
    <col min="17" max="17" width="10.44140625" style="98" hidden="1" customWidth="1"/>
    <col min="18" max="18" width="10.44140625" style="233" hidden="1" customWidth="1"/>
    <col min="19" max="19" width="10.44140625" style="98" hidden="1" customWidth="1"/>
    <col min="20" max="21" width="10.44140625" style="203" hidden="1" customWidth="1"/>
    <col min="22" max="22" width="18.5546875" style="203" hidden="1" customWidth="1"/>
    <col min="23" max="23" width="11.6640625" style="209" customWidth="1"/>
    <col min="24" max="24" width="11.6640625" style="99" customWidth="1"/>
    <col min="25" max="26" width="20.5546875" style="99" hidden="1" customWidth="1"/>
    <col min="27" max="28" width="15.44140625" style="99" hidden="1" customWidth="1"/>
    <col min="29" max="30" width="15.44140625" style="100" hidden="1" customWidth="1"/>
    <col min="31" max="40" width="18.5546875" style="2" hidden="1" customWidth="1"/>
    <col min="41" max="45" width="10.33203125" style="2" hidden="1" customWidth="1"/>
    <col min="46" max="46" width="20.5546875" style="98" hidden="1" customWidth="1"/>
    <col min="47" max="61" width="20.5546875" style="2" hidden="1" customWidth="1"/>
    <col min="62" max="62" width="20.5546875" style="98" hidden="1" customWidth="1"/>
    <col min="63" max="65" width="20.5546875" style="2" hidden="1" customWidth="1"/>
    <col min="66" max="66" width="20.5546875" style="203" customWidth="1"/>
    <col min="67" max="72" width="12.33203125" style="2" hidden="1" customWidth="1"/>
    <col min="73" max="75" width="12.33203125" style="203" customWidth="1"/>
    <col min="76" max="78" width="9.5546875" style="98" customWidth="1"/>
    <col min="79" max="79" width="9.5546875" style="204" customWidth="1"/>
    <col min="80" max="80" width="20.5546875" style="203" customWidth="1"/>
    <col min="81" max="86" width="12.33203125" style="2" hidden="1" customWidth="1"/>
    <col min="87" max="89" width="12.33203125" style="203" customWidth="1"/>
    <col min="90" max="92" width="9.5546875" style="98" customWidth="1"/>
    <col min="93" max="93" width="9.5546875" style="204" customWidth="1"/>
    <col min="94" max="94" width="20.5546875" style="203" customWidth="1"/>
    <col min="95" max="100" width="12.33203125" style="2" hidden="1" customWidth="1"/>
    <col min="101" max="103" width="12.33203125" style="203" customWidth="1"/>
    <col min="104" max="106" width="9.5546875" style="98" customWidth="1"/>
    <col min="107" max="107" width="9.5546875" style="204" customWidth="1"/>
    <col min="108" max="108" width="20.5546875" style="203" customWidth="1"/>
    <col min="109" max="114" width="12.33203125" style="98" hidden="1" customWidth="1"/>
    <col min="115" max="117" width="12.33203125" style="204" customWidth="1"/>
    <col min="118" max="120" width="9.5546875" style="98" customWidth="1"/>
    <col min="121" max="121" width="9.5546875" style="204" customWidth="1"/>
    <col min="122" max="122" width="20.5546875" style="203" customWidth="1"/>
    <col min="123" max="128" width="12.33203125" style="2" hidden="1" customWidth="1"/>
    <col min="129" max="131" width="12.33203125" style="203" customWidth="1"/>
    <col min="132" max="134" width="9.5546875" style="98" customWidth="1"/>
    <col min="135" max="135" width="9.5546875" style="204" customWidth="1"/>
    <col min="136" max="136" width="0.44140625" style="98" customWidth="1"/>
    <col min="137" max="145" width="9.33203125" style="98" hidden="1" customWidth="1"/>
    <col min="146" max="146" width="1" style="98" hidden="1" customWidth="1"/>
    <col min="147" max="155" width="9.33203125" style="98" hidden="1" customWidth="1"/>
    <col min="156" max="156" width="3.109375" style="98" hidden="1" customWidth="1"/>
    <col min="157" max="165" width="9.33203125" style="98" hidden="1" customWidth="1"/>
    <col min="166" max="166" width="1" style="98" hidden="1" customWidth="1"/>
    <col min="167" max="175" width="9.33203125" style="98" hidden="1" customWidth="1"/>
    <col min="176" max="176" width="3.109375" style="98" hidden="1" customWidth="1"/>
    <col min="177" max="185" width="9.33203125" style="98" hidden="1" customWidth="1"/>
    <col min="186" max="186" width="1" style="98" hidden="1" customWidth="1"/>
    <col min="187" max="192" width="9.33203125" style="98" hidden="1" customWidth="1"/>
    <col min="193" max="195" width="9.33203125" style="4" hidden="1" customWidth="1"/>
    <col min="196" max="196" width="3.109375" style="4" hidden="1" customWidth="1"/>
    <col min="197" max="205" width="9.33203125" style="4" hidden="1" customWidth="1"/>
    <col min="206" max="206" width="1" style="4" hidden="1" customWidth="1"/>
    <col min="207" max="213" width="9.33203125" style="4" hidden="1" customWidth="1"/>
    <col min="214" max="215" width="9.33203125" style="5" hidden="1" customWidth="1"/>
    <col min="216" max="216" width="1.88671875" style="4" hidden="1" customWidth="1"/>
    <col min="217" max="225" width="9.33203125" style="4" hidden="1" customWidth="1"/>
    <col min="226" max="226" width="1.109375" style="4" hidden="1" customWidth="1"/>
    <col min="227" max="235" width="9.33203125" style="4" hidden="1" customWidth="1"/>
    <col min="236" max="239" width="3" style="4" customWidth="1"/>
    <col min="240" max="16384" width="10.6640625" style="4"/>
  </cols>
  <sheetData>
    <row r="1" spans="1:236" s="116" customFormat="1" ht="65.099999999999994" customHeight="1" thickBot="1">
      <c r="A1" s="404"/>
      <c r="B1" s="256" t="s">
        <v>154</v>
      </c>
      <c r="C1" s="333" t="s">
        <v>155</v>
      </c>
      <c r="D1" s="334" t="s">
        <v>156</v>
      </c>
      <c r="E1" s="335" t="s">
        <v>157</v>
      </c>
      <c r="F1" s="336" t="s">
        <v>331</v>
      </c>
      <c r="G1" s="337" t="s">
        <v>332</v>
      </c>
      <c r="H1" s="337" t="s">
        <v>333</v>
      </c>
      <c r="I1" s="337" t="s">
        <v>334</v>
      </c>
      <c r="J1" s="338" t="s">
        <v>335</v>
      </c>
      <c r="K1" s="264" t="s">
        <v>7</v>
      </c>
      <c r="L1" s="199" t="s">
        <v>8</v>
      </c>
      <c r="M1" s="117" t="s">
        <v>158</v>
      </c>
      <c r="N1" s="117" t="s">
        <v>159</v>
      </c>
      <c r="O1" s="194" t="s">
        <v>160</v>
      </c>
      <c r="P1" s="194" t="s">
        <v>161</v>
      </c>
      <c r="Q1" s="195" t="s">
        <v>162</v>
      </c>
      <c r="R1" s="231" t="s">
        <v>163</v>
      </c>
      <c r="S1" s="195" t="s">
        <v>164</v>
      </c>
      <c r="T1" s="205" t="s">
        <v>165</v>
      </c>
      <c r="U1" s="205" t="s">
        <v>166</v>
      </c>
      <c r="V1" s="205" t="s">
        <v>167</v>
      </c>
      <c r="W1" s="207" t="s">
        <v>168</v>
      </c>
      <c r="X1" s="118" t="s">
        <v>169</v>
      </c>
      <c r="Y1" s="122" t="s">
        <v>170</v>
      </c>
      <c r="Z1" s="123" t="s">
        <v>171</v>
      </c>
      <c r="AA1" s="123" t="s">
        <v>172</v>
      </c>
      <c r="AB1" s="123" t="s">
        <v>173</v>
      </c>
      <c r="AC1" s="123" t="s">
        <v>174</v>
      </c>
      <c r="AD1" s="124" t="s">
        <v>175</v>
      </c>
      <c r="AE1" s="339" t="s">
        <v>176</v>
      </c>
      <c r="AF1" s="125" t="s">
        <v>177</v>
      </c>
      <c r="AG1" s="125" t="s">
        <v>178</v>
      </c>
      <c r="AH1" s="125" t="s">
        <v>179</v>
      </c>
      <c r="AI1" s="343" t="s">
        <v>413</v>
      </c>
      <c r="AJ1" s="339" t="s">
        <v>182</v>
      </c>
      <c r="AK1" s="125" t="s">
        <v>183</v>
      </c>
      <c r="AL1" s="125" t="s">
        <v>184</v>
      </c>
      <c r="AM1" s="125" t="s">
        <v>185</v>
      </c>
      <c r="AN1" s="343" t="s">
        <v>415</v>
      </c>
      <c r="AO1" s="340" t="s">
        <v>341</v>
      </c>
      <c r="AP1" s="120" t="s">
        <v>180</v>
      </c>
      <c r="AQ1" s="120" t="s">
        <v>340</v>
      </c>
      <c r="AR1" s="341" t="s">
        <v>181</v>
      </c>
      <c r="AS1" s="342" t="s">
        <v>414</v>
      </c>
      <c r="AT1" s="339" t="s">
        <v>186</v>
      </c>
      <c r="AU1" s="125" t="s">
        <v>187</v>
      </c>
      <c r="AV1" s="125" t="s">
        <v>188</v>
      </c>
      <c r="AW1" s="125" t="s">
        <v>189</v>
      </c>
      <c r="AX1" s="343" t="s">
        <v>416</v>
      </c>
      <c r="AY1" s="339" t="s">
        <v>190</v>
      </c>
      <c r="AZ1" s="125" t="s">
        <v>191</v>
      </c>
      <c r="BA1" s="125" t="s">
        <v>192</v>
      </c>
      <c r="BB1" s="125" t="s">
        <v>193</v>
      </c>
      <c r="BC1" s="343" t="s">
        <v>417</v>
      </c>
      <c r="BD1" s="339" t="s">
        <v>194</v>
      </c>
      <c r="BE1" s="125" t="s">
        <v>195</v>
      </c>
      <c r="BF1" s="125" t="s">
        <v>196</v>
      </c>
      <c r="BG1" s="125" t="s">
        <v>197</v>
      </c>
      <c r="BH1" s="343" t="s">
        <v>418</v>
      </c>
      <c r="BI1" s="339" t="s">
        <v>198</v>
      </c>
      <c r="BJ1" s="125" t="s">
        <v>199</v>
      </c>
      <c r="BK1" s="125" t="s">
        <v>200</v>
      </c>
      <c r="BL1" s="125" t="s">
        <v>201</v>
      </c>
      <c r="BM1" s="343" t="s">
        <v>419</v>
      </c>
      <c r="BN1" s="210" t="s">
        <v>474</v>
      </c>
      <c r="BO1" s="125" t="s">
        <v>202</v>
      </c>
      <c r="BP1" s="347" t="s">
        <v>203</v>
      </c>
      <c r="BQ1" s="347" t="s">
        <v>204</v>
      </c>
      <c r="BR1" s="347" t="s">
        <v>205</v>
      </c>
      <c r="BS1" s="347" t="s">
        <v>206</v>
      </c>
      <c r="BT1" s="347" t="s">
        <v>207</v>
      </c>
      <c r="BU1" s="348" t="s">
        <v>208</v>
      </c>
      <c r="BV1" s="348" t="s">
        <v>209</v>
      </c>
      <c r="BW1" s="349" t="s">
        <v>210</v>
      </c>
      <c r="BX1" s="350" t="s">
        <v>211</v>
      </c>
      <c r="BY1" s="350" t="s">
        <v>212</v>
      </c>
      <c r="BZ1" s="351" t="s">
        <v>213</v>
      </c>
      <c r="CA1" s="352" t="s">
        <v>434</v>
      </c>
      <c r="CB1" s="210" t="s">
        <v>475</v>
      </c>
      <c r="CC1" s="343" t="s">
        <v>214</v>
      </c>
      <c r="CD1" s="125" t="s">
        <v>215</v>
      </c>
      <c r="CE1" s="125" t="s">
        <v>216</v>
      </c>
      <c r="CF1" s="125" t="s">
        <v>217</v>
      </c>
      <c r="CG1" s="125" t="s">
        <v>218</v>
      </c>
      <c r="CH1" s="125" t="s">
        <v>219</v>
      </c>
      <c r="CI1" s="356" t="s">
        <v>220</v>
      </c>
      <c r="CJ1" s="357" t="s">
        <v>221</v>
      </c>
      <c r="CK1" s="358" t="s">
        <v>222</v>
      </c>
      <c r="CL1" s="351" t="s">
        <v>223</v>
      </c>
      <c r="CM1" s="351" t="s">
        <v>224</v>
      </c>
      <c r="CN1" s="351" t="s">
        <v>225</v>
      </c>
      <c r="CO1" s="352" t="s">
        <v>435</v>
      </c>
      <c r="CP1" s="210" t="s">
        <v>476</v>
      </c>
      <c r="CQ1" s="343" t="s">
        <v>226</v>
      </c>
      <c r="CR1" s="125" t="s">
        <v>227</v>
      </c>
      <c r="CS1" s="125" t="s">
        <v>228</v>
      </c>
      <c r="CT1" s="125" t="s">
        <v>229</v>
      </c>
      <c r="CU1" s="125" t="s">
        <v>230</v>
      </c>
      <c r="CV1" s="125" t="s">
        <v>231</v>
      </c>
      <c r="CW1" s="357" t="s">
        <v>232</v>
      </c>
      <c r="CX1" s="357" t="s">
        <v>233</v>
      </c>
      <c r="CY1" s="358" t="s">
        <v>234</v>
      </c>
      <c r="CZ1" s="351" t="s">
        <v>235</v>
      </c>
      <c r="DA1" s="351" t="s">
        <v>236</v>
      </c>
      <c r="DB1" s="351" t="s">
        <v>237</v>
      </c>
      <c r="DC1" s="352" t="s">
        <v>436</v>
      </c>
      <c r="DD1" s="210" t="s">
        <v>477</v>
      </c>
      <c r="DE1" s="343" t="s">
        <v>238</v>
      </c>
      <c r="DF1" s="125" t="s">
        <v>239</v>
      </c>
      <c r="DG1" s="125" t="s">
        <v>240</v>
      </c>
      <c r="DH1" s="125" t="s">
        <v>241</v>
      </c>
      <c r="DI1" s="125" t="s">
        <v>242</v>
      </c>
      <c r="DJ1" s="125" t="s">
        <v>243</v>
      </c>
      <c r="DK1" s="357" t="s">
        <v>244</v>
      </c>
      <c r="DL1" s="357" t="s">
        <v>245</v>
      </c>
      <c r="DM1" s="358" t="s">
        <v>246</v>
      </c>
      <c r="DN1" s="351" t="s">
        <v>247</v>
      </c>
      <c r="DO1" s="351" t="s">
        <v>248</v>
      </c>
      <c r="DP1" s="351" t="s">
        <v>249</v>
      </c>
      <c r="DQ1" s="359" t="s">
        <v>437</v>
      </c>
      <c r="DR1" s="210" t="s">
        <v>478</v>
      </c>
      <c r="DS1" s="343" t="s">
        <v>423</v>
      </c>
      <c r="DT1" s="125" t="s">
        <v>420</v>
      </c>
      <c r="DU1" s="125" t="s">
        <v>422</v>
      </c>
      <c r="DV1" s="125" t="s">
        <v>421</v>
      </c>
      <c r="DW1" s="125" t="s">
        <v>424</v>
      </c>
      <c r="DX1" s="125" t="s">
        <v>425</v>
      </c>
      <c r="DY1" s="357" t="s">
        <v>426</v>
      </c>
      <c r="DZ1" s="357" t="s">
        <v>427</v>
      </c>
      <c r="EA1" s="358" t="s">
        <v>433</v>
      </c>
      <c r="EB1" s="351" t="s">
        <v>428</v>
      </c>
      <c r="EC1" s="351" t="s">
        <v>429</v>
      </c>
      <c r="ED1" s="351" t="s">
        <v>430</v>
      </c>
      <c r="EE1" s="360" t="s">
        <v>438</v>
      </c>
      <c r="EF1" s="111" t="s">
        <v>250</v>
      </c>
      <c r="EG1" s="119" t="s">
        <v>251</v>
      </c>
      <c r="EH1" s="120" t="s">
        <v>252</v>
      </c>
      <c r="EI1" s="120" t="s">
        <v>253</v>
      </c>
      <c r="EJ1" s="120" t="s">
        <v>254</v>
      </c>
      <c r="EK1" s="120" t="s">
        <v>255</v>
      </c>
      <c r="EL1" s="120" t="s">
        <v>256</v>
      </c>
      <c r="EM1" s="120" t="s">
        <v>257</v>
      </c>
      <c r="EN1" s="120" t="s">
        <v>258</v>
      </c>
      <c r="EO1" s="121" t="s">
        <v>259</v>
      </c>
      <c r="EP1" s="112" t="s">
        <v>260</v>
      </c>
      <c r="EQ1" s="119" t="s">
        <v>261</v>
      </c>
      <c r="ER1" s="120" t="s">
        <v>262</v>
      </c>
      <c r="ES1" s="120" t="s">
        <v>263</v>
      </c>
      <c r="ET1" s="120" t="s">
        <v>264</v>
      </c>
      <c r="EU1" s="120" t="s">
        <v>265</v>
      </c>
      <c r="EV1" s="120" t="s">
        <v>266</v>
      </c>
      <c r="EW1" s="120" t="s">
        <v>267</v>
      </c>
      <c r="EX1" s="120" t="s">
        <v>268</v>
      </c>
      <c r="EY1" s="120" t="s">
        <v>269</v>
      </c>
      <c r="EZ1" s="113" t="s">
        <v>270</v>
      </c>
      <c r="FA1" s="353" t="s">
        <v>271</v>
      </c>
      <c r="FB1" s="353" t="s">
        <v>272</v>
      </c>
      <c r="FC1" s="353" t="s">
        <v>273</v>
      </c>
      <c r="FD1" s="353" t="s">
        <v>274</v>
      </c>
      <c r="FE1" s="353" t="s">
        <v>275</v>
      </c>
      <c r="FF1" s="353" t="s">
        <v>276</v>
      </c>
      <c r="FG1" s="353" t="s">
        <v>277</v>
      </c>
      <c r="FH1" s="353" t="s">
        <v>278</v>
      </c>
      <c r="FI1" s="354" t="s">
        <v>279</v>
      </c>
      <c r="FJ1" s="112" t="s">
        <v>280</v>
      </c>
      <c r="FK1" s="355" t="s">
        <v>281</v>
      </c>
      <c r="FL1" s="353" t="s">
        <v>282</v>
      </c>
      <c r="FM1" s="353" t="s">
        <v>283</v>
      </c>
      <c r="FN1" s="353" t="s">
        <v>284</v>
      </c>
      <c r="FO1" s="353" t="s">
        <v>285</v>
      </c>
      <c r="FP1" s="353" t="s">
        <v>286</v>
      </c>
      <c r="FQ1" s="353" t="s">
        <v>287</v>
      </c>
      <c r="FR1" s="353" t="s">
        <v>288</v>
      </c>
      <c r="FS1" s="354" t="s">
        <v>289</v>
      </c>
      <c r="FT1" s="112" t="s">
        <v>290</v>
      </c>
      <c r="FU1" s="119" t="s">
        <v>291</v>
      </c>
      <c r="FV1" s="120" t="s">
        <v>292</v>
      </c>
      <c r="FW1" s="120" t="s">
        <v>293</v>
      </c>
      <c r="FX1" s="120" t="s">
        <v>294</v>
      </c>
      <c r="FY1" s="120" t="s">
        <v>295</v>
      </c>
      <c r="FZ1" s="120" t="s">
        <v>296</v>
      </c>
      <c r="GA1" s="120" t="s">
        <v>297</v>
      </c>
      <c r="GB1" s="120" t="s">
        <v>298</v>
      </c>
      <c r="GC1" s="121" t="s">
        <v>299</v>
      </c>
      <c r="GD1" s="112" t="s">
        <v>300</v>
      </c>
      <c r="GE1" s="119" t="s">
        <v>301</v>
      </c>
      <c r="GF1" s="120" t="s">
        <v>302</v>
      </c>
      <c r="GG1" s="120" t="s">
        <v>303</v>
      </c>
      <c r="GH1" s="120" t="s">
        <v>304</v>
      </c>
      <c r="GI1" s="120" t="s">
        <v>305</v>
      </c>
      <c r="GJ1" s="120" t="s">
        <v>306</v>
      </c>
      <c r="GK1" s="120" t="s">
        <v>307</v>
      </c>
      <c r="GL1" s="120" t="s">
        <v>308</v>
      </c>
      <c r="GM1" s="121" t="s">
        <v>309</v>
      </c>
      <c r="GN1" s="112" t="s">
        <v>310</v>
      </c>
      <c r="GO1" s="355" t="s">
        <v>311</v>
      </c>
      <c r="GP1" s="353" t="s">
        <v>312</v>
      </c>
      <c r="GQ1" s="353" t="s">
        <v>313</v>
      </c>
      <c r="GR1" s="353" t="s">
        <v>314</v>
      </c>
      <c r="GS1" s="353" t="s">
        <v>315</v>
      </c>
      <c r="GT1" s="353" t="s">
        <v>316</v>
      </c>
      <c r="GU1" s="353" t="s">
        <v>317</v>
      </c>
      <c r="GV1" s="353" t="s">
        <v>318</v>
      </c>
      <c r="GW1" s="354" t="s">
        <v>319</v>
      </c>
      <c r="GX1" s="112" t="s">
        <v>320</v>
      </c>
      <c r="GY1" s="355" t="s">
        <v>321</v>
      </c>
      <c r="GZ1" s="353" t="s">
        <v>322</v>
      </c>
      <c r="HA1" s="353" t="s">
        <v>323</v>
      </c>
      <c r="HB1" s="353" t="s">
        <v>324</v>
      </c>
      <c r="HC1" s="353" t="s">
        <v>325</v>
      </c>
      <c r="HD1" s="353" t="s">
        <v>326</v>
      </c>
      <c r="HE1" s="353" t="s">
        <v>327</v>
      </c>
      <c r="HF1" s="353" t="s">
        <v>328</v>
      </c>
      <c r="HG1" s="353" t="s">
        <v>329</v>
      </c>
      <c r="HH1" s="114" t="s">
        <v>330</v>
      </c>
      <c r="HI1" s="119" t="s">
        <v>439</v>
      </c>
      <c r="HJ1" s="120" t="s">
        <v>440</v>
      </c>
      <c r="HK1" s="120" t="s">
        <v>441</v>
      </c>
      <c r="HL1" s="120" t="s">
        <v>442</v>
      </c>
      <c r="HM1" s="120" t="s">
        <v>443</v>
      </c>
      <c r="HN1" s="120" t="s">
        <v>446</v>
      </c>
      <c r="HO1" s="120" t="s">
        <v>447</v>
      </c>
      <c r="HP1" s="120" t="s">
        <v>448</v>
      </c>
      <c r="HQ1" s="121" t="s">
        <v>449</v>
      </c>
      <c r="HR1" s="114" t="s">
        <v>445</v>
      </c>
      <c r="HS1" s="119" t="s">
        <v>450</v>
      </c>
      <c r="HT1" s="120" t="s">
        <v>451</v>
      </c>
      <c r="HU1" s="120" t="s">
        <v>452</v>
      </c>
      <c r="HV1" s="120" t="s">
        <v>453</v>
      </c>
      <c r="HW1" s="120" t="s">
        <v>454</v>
      </c>
      <c r="HX1" s="120" t="s">
        <v>455</v>
      </c>
      <c r="HY1" s="120" t="s">
        <v>458</v>
      </c>
      <c r="HZ1" s="120" t="s">
        <v>456</v>
      </c>
      <c r="IA1" s="120" t="s">
        <v>457</v>
      </c>
      <c r="IB1" s="114" t="s">
        <v>444</v>
      </c>
    </row>
    <row r="2" spans="1:236" ht="21" customHeight="1">
      <c r="A2" s="365">
        <v>1</v>
      </c>
      <c r="B2" s="361" t="str">
        <f>MergeNamesTable[[#This Row],[Team Name Concat]]</f>
        <v>Elliott Jenneman &amp; Spencer Golden</v>
      </c>
      <c r="C2" s="37" t="str">
        <f>UPPER(MergeNamesTable[[#This Row],[Team Name]])</f>
        <v>ELLIOTT JENNEMAN &amp; SPENCER GOLDEN</v>
      </c>
      <c r="D2" s="38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>Elliott Jenneman &amp; Spencer Golden</v>
      </c>
      <c r="E2" s="39" t="str">
        <f>UPPER(MergeNamesTable[[#This Row],[Team Name Concat]])</f>
        <v>ELLIOTT JENNEMAN &amp; SPENCER GOLDEN</v>
      </c>
      <c r="F2" s="40">
        <f>MergeNamesTable[[#This Row],[Player 1 Handicap]]+MergeNamesTable[[#This Row],[Player 2 Handicap]]+MergeNamesTable[[#This Row],[Player 3 Handicap]]+MergeNamesTable[[#This Row],[Player 4 Handicap]]</f>
        <v>18</v>
      </c>
      <c r="G2" s="41">
        <f>IF(ISERROR(MergeNamesTable[[#This Row],[Handicap Team Total]]/4),0,ROUND(MergeNamesTable[[#This Row],[Handicap Team Total]]/4,0))</f>
        <v>5</v>
      </c>
      <c r="H2" s="41">
        <f>ROUND(((MergeNamesTable[[#This Row],[Player 1 Handicap]]+MergeNamesTable[[#This Row],[Player 2 Handicap]])*0.25)*0.335,0)</f>
        <v>2</v>
      </c>
      <c r="I2" s="41">
        <f>ROUND(((MergeNamesTable[[#This Row],[Player 1 Handicap]]+MergeNamesTable[[#This Row],[Player 2 Handicap]])*0.5)*0.335,0)</f>
        <v>3</v>
      </c>
      <c r="J2" s="42"/>
      <c r="K2" s="43" t="str">
        <f>IF(OR(MergeNamesTable[[#This Row],[Team Name]]&lt;&gt;"",MergeNamesTable[[#This Row],[Player 1 First Last]]&lt;&gt;""),'Defaults and Lookup Lists'!$B$2,"")</f>
        <v>Christmas Cup</v>
      </c>
      <c r="L2" s="200"/>
      <c r="M2" s="44" t="str">
        <f>IF(OR(MergeNamesTable[[#This Row],[Team Name]]&lt;&gt;"",MergeNamesTable[[#This Row],[Player 1 First Last]]&lt;&gt;""),TEXT('Defaults and Lookup Lists'!$B$7,"ddd, mmm d, yyyy"),"")</f>
        <v>Tue, Apr 15, 2014</v>
      </c>
      <c r="N2" s="307">
        <f>IF(OR(MergeNamesTable[[#This Row],[Team Name]]&lt;&gt;"",MergeNamesTable[[#This Row],[Player 1 First Last]]&lt;&gt;""),IF('Defaults and Lookup Lists'!$D$3="","",'Defaults and Lookup Lists'!$D$3),"")</f>
        <v>0.54166666666666663</v>
      </c>
      <c r="O2" s="308">
        <f>IF(OR(MergeNamesTable[[#This Row],[Team Name]]&lt;&gt;"",MergeNamesTable[[#This Row],[Player 1 First Last]]&lt;&gt;""),IF('Defaults and Lookup Lists'!$D$4="","",'Defaults and Lookup Lists'!$D$4),"")</f>
        <v>1</v>
      </c>
      <c r="P2" s="308" t="str">
        <f>IF(OR(MergeNamesTable[[#This Row],[Team Name]]&lt;&gt;"",MergeNamesTable[[#This Row],[Player 1 First Last]]&lt;&gt;""),IF('Defaults and Lookup Lists'!$D$2="Shotgun","A",""),"")</f>
        <v>A</v>
      </c>
      <c r="Q2" s="309">
        <f>IF(OR(MergeNamesTable[[#This Row],[Team Name]]&lt;&gt;"",MergeNamesTable[[#This Row],[Player 1 First Last]]&lt;&gt;""),IF('Defaults and Lookup Lists'!$B$6="","",'Defaults and Lookup Lists'!$B$6),"")</f>
        <v>50</v>
      </c>
      <c r="R2" s="310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" s="310">
        <f>IF(MergeNamesTable[[#This Row],[Entry Fee Team]]="","",MergeNamesTable[[#This Row],[Entry Fee Team]]-MergeNamesTable[[#This Row],[Entry Fee Paid]])</f>
        <v>50</v>
      </c>
      <c r="T2" s="200"/>
      <c r="U2" s="200"/>
      <c r="V2" s="200"/>
      <c r="W2" s="200" t="str">
        <f>IF(OR(MergeNamesTable[[#This Row],[Team Name]]&lt;&gt;"",MergeNamesTable[[#This Row],[Player 1 First Last]]&lt;&gt;""),'Defaults and Lookup Lists'!$B$3,"")</f>
        <v>Blue</v>
      </c>
      <c r="X2" s="46">
        <f>IF(MergeNamesTable[[#This Row],[Tee Markers]]="","",VLOOKUP(MergeNamesTable[[#This Row],[Tee Markers]],TeeMarkerTable,23,FALSE))</f>
        <v>126</v>
      </c>
      <c r="Y2" s="37" t="str">
        <f>UPPER(MergeNamesTable[[#This Row],[Tournament]])</f>
        <v>CHRISTMAS CUP</v>
      </c>
      <c r="Z2" s="38" t="str">
        <f>UPPER(MergeNamesTable[[#This Row],[Flight]])</f>
        <v/>
      </c>
      <c r="AA2" s="38" t="str">
        <f>UPPER(MergeNamesTable[[#This Row],[Tee Markers]])</f>
        <v>BLUE</v>
      </c>
      <c r="AB2" s="45" t="str">
        <f>IF(OR(MergeNamesTable[[#This Row],[Team Name]]&lt;&gt;"",MergeNamesTable[[#This Row],[Player 1 First Last]]&lt;&gt;""),IF(MergeNamesTable[[#This Row],[Start Time]]="","",TEXT(MergeNamesTable[[#This Row],[Start Time]],"HH:MM AM/PM")),"")</f>
        <v>01:00 PM</v>
      </c>
      <c r="AC2" s="47" t="str">
        <f>IF(MergeNamesTable[[#This Row],[Start Time Day 2]]="","",TEXT(MergeNamesTable[[#This Row],[Start Time Day 2]],"HH:MM AM/PM"))</f>
        <v/>
      </c>
      <c r="AD2" s="39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>#1A</v>
      </c>
      <c r="AE2" s="37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>Elliott Jenneman</v>
      </c>
      <c r="AF2" s="38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>Spencer Golden</v>
      </c>
      <c r="AG2" s="38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" s="38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" s="39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" s="37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>Jenneman, Elliott</v>
      </c>
      <c r="AK2" s="38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>Golden, Spencer</v>
      </c>
      <c r="AL2" s="38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" s="38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" s="39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" s="52" t="str">
        <f>TEXT(MergeNamesTable[[#This Row],[Player 1 Handicap]],"##;+##;")</f>
        <v>14</v>
      </c>
      <c r="AP2" s="51" t="str">
        <f>TEXT(MergeNamesTable[[#This Row],[Player 2 Handicap]],"##;+##;")</f>
        <v>4</v>
      </c>
      <c r="AQ2" s="51" t="str">
        <f>TEXT(MergeNamesTable[[#This Row],[Player 3 Handicap]],"##;+##;")</f>
        <v/>
      </c>
      <c r="AR2" s="46" t="str">
        <f>TEXT(MergeNamesTable[[#This Row],[Player 4 Handicap]],"##;+##;")</f>
        <v/>
      </c>
      <c r="AS2" s="46" t="str">
        <f>TEXT(MergeNamesTable[[#This Row],[Player 5 Handicap]],"##;+##;")</f>
        <v/>
      </c>
      <c r="AT2" s="37" t="str">
        <f>UPPER(MergeNamesTable[[#This Row],[Player 1 First Last]])</f>
        <v>ELLIOTT JENNEMAN</v>
      </c>
      <c r="AU2" s="38" t="str">
        <f>UPPER(MergeNamesTable[[#This Row],[Player 2 First Last]])</f>
        <v>SPENCER GOLDEN</v>
      </c>
      <c r="AV2" s="38" t="str">
        <f>UPPER(MergeNamesTable[[#This Row],[Player 3 First Last]])</f>
        <v/>
      </c>
      <c r="AW2" s="38" t="str">
        <f>UPPER(MergeNamesTable[[#This Row],[Player 4 First Last]])</f>
        <v/>
      </c>
      <c r="AX2" s="39" t="str">
        <f>UPPER(MergeNamesTable[[#This Row],[Player 5 First Last]])</f>
        <v/>
      </c>
      <c r="AY2" s="37" t="str">
        <f>UPPER(MergeNamesTable[[#This Row],[Player 1 First]])</f>
        <v>ELLIOTT</v>
      </c>
      <c r="AZ2" s="38" t="str">
        <f>UPPER(MergeNamesTable[[#This Row],[Player 2 First]])</f>
        <v>SPENCER</v>
      </c>
      <c r="BA2" s="38" t="str">
        <f>UPPER(MergeNamesTable[[#This Row],[Player 3 First]])</f>
        <v/>
      </c>
      <c r="BB2" s="38" t="str">
        <f>UPPER(MergeNamesTable[[#This Row],[Player 4 First]])</f>
        <v/>
      </c>
      <c r="BC2" s="39" t="str">
        <f>UPPER(MergeNamesTable[[#This Row],[Player 5 First]])</f>
        <v/>
      </c>
      <c r="BD2" s="37" t="str">
        <f>UPPER(MergeNamesTable[[#This Row],[Player 1 Last]])</f>
        <v>JENNEMAN</v>
      </c>
      <c r="BE2" s="38" t="str">
        <f>UPPER(MergeNamesTable[[#This Row],[Player 2 Last]])</f>
        <v>GOLDEN</v>
      </c>
      <c r="BF2" s="38" t="str">
        <f>UPPER(MergeNamesTable[[#This Row],[Player 3 Last]])</f>
        <v/>
      </c>
      <c r="BG2" s="38" t="str">
        <f>UPPER(MergeNamesTable[[#This Row],[Player 4 Last]])</f>
        <v/>
      </c>
      <c r="BH2" s="39" t="str">
        <f>UPPER(MergeNamesTable[[#This Row],[Player 5 Last]])</f>
        <v/>
      </c>
      <c r="BI2" s="37" t="str">
        <f>UPPER(MergeNamesTable[[#This Row],[Player 1 Club]])</f>
        <v>TURTLEBACK</v>
      </c>
      <c r="BJ2" s="38" t="str">
        <f>UPPER(MergeNamesTable[[#This Row],[Player 2 Club]])</f>
        <v>TURTLEBACK</v>
      </c>
      <c r="BK2" s="38" t="str">
        <f>UPPER(MergeNamesTable[[#This Row],[Player 3 Club]])</f>
        <v/>
      </c>
      <c r="BL2" s="38" t="str">
        <f>UPPER(MergeNamesTable[[#This Row],[Player 4 Club]])</f>
        <v/>
      </c>
      <c r="BM2" s="39" t="str">
        <f>UPPER(MergeNamesTable[[#This Row],[Player 5 Club]])</f>
        <v/>
      </c>
      <c r="BN2" s="211" t="s">
        <v>43</v>
      </c>
      <c r="BO2" s="38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" s="48" t="str">
        <f>IF(MergeNamesTable[[#This Row],[LOOKUP PLAYER 1]]="","",IF(VLOOKUP(MergeNamesTable[[#This Row],[LOOKUP PLAYER 1]],TableNameLookup[],3,FALSE)="","",VLOOKUP(MergeNamesTable[[#This Row],[LOOKUP PLAYER 1]],TableNameLookup[],3,FALSE)))</f>
        <v>Elliott</v>
      </c>
      <c r="BQ2" s="48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" s="48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" s="48" t="str">
        <f>IF(MergeNamesTable[[#This Row],[LOOKUP PLAYER 1]]="","",IF(VLOOKUP(MergeNamesTable[[#This Row],[LOOKUP PLAYER 1]],TableNameLookup[],6,FALSE)="","",VLOOKUP(MergeNamesTable[[#This Row],[LOOKUP PLAYER 1]],TableNameLookup[],6,FALSE)))</f>
        <v>Jenneman</v>
      </c>
      <c r="BT2" s="48" t="str">
        <f>IF(MergeNamesTable[[#This Row],[LOOKUP PLAYER 1]]="","",IF(VLOOKUP(MergeNamesTable[[#This Row],[LOOKUP PLAYER 1]],TableNameLookup[],7,FALSE)="","",VLOOKUP(MergeNamesTable[[#This Row],[LOOKUP PLAYER 1]],TableNameLookup[],7,FALSE)))</f>
        <v/>
      </c>
      <c r="BU2" s="234" t="str">
        <f>IF(MergeNamesTable[[#This Row],[LOOKUP PLAYER 1]]="","",IF(VLOOKUP(MergeNamesTable[[#This Row],[LOOKUP PLAYER 1]],TableNameLookup[],9,FALSE)="","",VLOOKUP(MergeNamesTable[[#This Row],[LOOKUP PLAYER 1]],TableNameLookup[],9,FALSE)))</f>
        <v>Male</v>
      </c>
      <c r="BV2" s="234" t="str">
        <f>IF(MergeNamesTable[[#This Row],[LOOKUP PLAYER 1]]="","",IF(VLOOKUP(MergeNamesTable[[#This Row],[LOOKUP PLAYER 1]],TableNameLookup[],10,FALSE)="","",VLOOKUP(MergeNamesTable[[#This Row],[LOOKUP PLAYER 1]],TableNameLookup[],10,FALSE)))</f>
        <v>Turtleback</v>
      </c>
      <c r="BW2" s="234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>Blue</v>
      </c>
      <c r="BX2" s="49">
        <f>IF(MergeNamesTable[[#This Row],[Player 1 Tees]]="","",VLOOKUP(MergeNamesTable[[#This Row],[Player 1 Tees]],TeeMarkerTable,23,FALSE))</f>
        <v>126</v>
      </c>
      <c r="BY2" s="49">
        <f>IF(MergeNamesTable[[#This Row],[LOOKUP PLAYER 1]]="","",IF(VLOOKUP(MergeNamesTable[[#This Row],[LOOKUP PLAYER 1]],TableNameLookup[],11,FALSE)="","",VLOOKUP(MergeNamesTable[[#This Row],[LOOKUP PLAYER 1]],TableNameLookup[],11,FALSE)))</f>
        <v>13</v>
      </c>
      <c r="BZ2" s="157">
        <f>IF(OR(MergeNamesTable[[#This Row],[Player 1 Index]]=0,MergeNamesTable[[#This Row],[Player 1 Index]]=""),0,ROUND((MergeNamesTable[[#This Row],[Player 1 Index]]*MergeNamesTable[[#This Row],[Player 1 Slope]])/113,0))</f>
        <v>14</v>
      </c>
      <c r="CA2" s="216"/>
      <c r="CB2" s="217" t="s">
        <v>35</v>
      </c>
      <c r="CC2" s="50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" s="38" t="str">
        <f>IF(MergeNamesTable[[#This Row],[LOOKUP PLAYER 2]]="","",IF(VLOOKUP(MergeNamesTable[[#This Row],[LOOKUP PLAYER 2]],TableNameLookup[],3,FALSE)="","",VLOOKUP(MergeNamesTable[[#This Row],[LOOKUP PLAYER 2]],TableNameLookup[],3,FALSE)))</f>
        <v>Spencer</v>
      </c>
      <c r="CE2" s="38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" s="38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" s="38" t="str">
        <f>IF(MergeNamesTable[[#This Row],[LOOKUP PLAYER 2]]="","",IF(VLOOKUP(MergeNamesTable[[#This Row],[LOOKUP PLAYER 2]],TableNameLookup[],6,FALSE)="","",VLOOKUP(MergeNamesTable[[#This Row],[LOOKUP PLAYER 2]],TableNameLookup[],6,FALSE)))</f>
        <v>Golden</v>
      </c>
      <c r="CH2" s="38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" s="236" t="str">
        <f>IF(MergeNamesTable[[#This Row],[LOOKUP PLAYER 2]]="","",IF(VLOOKUP(MergeNamesTable[[#This Row],[LOOKUP PLAYER 2]],TableNameLookup[],9,FALSE)="","",VLOOKUP(MergeNamesTable[[#This Row],[LOOKUP PLAYER 2]],TableNameLookup[],9,FALSE)))</f>
        <v>Male</v>
      </c>
      <c r="CJ2" s="236" t="str">
        <f>IF(MergeNamesTable[[#This Row],[LOOKUP PLAYER 2]]="","",IF(VLOOKUP(MergeNamesTable[[#This Row],[LOOKUP PLAYER 2]],TableNameLookup[],10,FALSE)="","",VLOOKUP(MergeNamesTable[[#This Row],[LOOKUP PLAYER 2]],TableNameLookup[],10,FALSE)))</f>
        <v>Turtleback</v>
      </c>
      <c r="CK2" s="236" t="str">
        <f>IF(MergeNamesTable[[#This Row],[Player 2 First Last]]="","",IF(MergeNamesTable[[#This Row],[Player 2 Male]]="Female",'Defaults and Lookup Lists'!$B$4,IF(MergeNamesTable[[#This Row],[Tee Markers]]="","",MergeNamesTable[[#This Row],[Tee Markers]])))</f>
        <v>Blue</v>
      </c>
      <c r="CL2" s="49">
        <f>IF(MergeNamesTable[[#This Row],[Player 2 Tees]]="","",VLOOKUP(MergeNamesTable[[#This Row],[Player 2 Tees]],TeeMarkerTable,23,FALSE))</f>
        <v>126</v>
      </c>
      <c r="CM2" s="51">
        <f>IF(MergeNamesTable[[#This Row],[LOOKUP PLAYER 2]]="","",IF(VLOOKUP(MergeNamesTable[[#This Row],[LOOKUP PLAYER 2]],TableNameLookup[],11,FALSE)="","",VLOOKUP(MergeNamesTable[[#This Row],[LOOKUP PLAYER 2]],TableNameLookup[],11,FALSE)))</f>
        <v>4</v>
      </c>
      <c r="CN2" s="157">
        <f>IF(OR(MergeNamesTable[[#This Row],[Player 2 Index]]=0,MergeNamesTable[[#This Row],[Player 2 Index]]=""),0,ROUND((MergeNamesTable[[#This Row],[Player 2 Index]]*MergeNamesTable[[#This Row],[Player 2 Slope]])/113,0))</f>
        <v>4</v>
      </c>
      <c r="CO2" s="216"/>
      <c r="CP2" s="217"/>
      <c r="CQ2" s="50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" s="38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" s="38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" s="38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" s="38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" s="38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" s="236" t="str">
        <f>IF(MergeNamesTable[[#This Row],[LOOKUP PLAYER 3]]="","",IF(VLOOKUP(MergeNamesTable[[#This Row],[LOOKUP PLAYER 3]],TableNameLookup[],9,FALSE)="","",VLOOKUP(MergeNamesTable[[#This Row],[LOOKUP PLAYER 3]],TableNameLookup[],9,FALSE)))</f>
        <v/>
      </c>
      <c r="CX2" s="236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" s="236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" s="51" t="str">
        <f>IF(MergeNamesTable[[#This Row],[Player 3 Tees]]="","",VLOOKUP(MergeNamesTable[[#This Row],[Player 3 Tees]],TeeMarkerTable,23,FALSE))</f>
        <v/>
      </c>
      <c r="DA2" s="51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" s="157">
        <f>IF(OR(MergeNamesTable[[#This Row],[Player 3 Index]]=0,MergeNamesTable[[#This Row],[Player 3 Index]]=""),0,ROUND((MergeNamesTable[[#This Row],[Player 3 Index]]*MergeNamesTable[[#This Row],[Player 3 Slope]])/113,0))</f>
        <v>0</v>
      </c>
      <c r="DC2" s="216"/>
      <c r="DD2" s="211"/>
      <c r="DE2" s="50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" s="38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" s="38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" s="38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" s="38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" s="38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" s="236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" s="236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" s="236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" s="51" t="str">
        <f>IF(MergeNamesTable[[#This Row],[Player 4 Tees]]="","",VLOOKUP(MergeNamesTable[[#This Row],[Player 4 Tees]],TeeMarkerTable,23,FALSE))</f>
        <v/>
      </c>
      <c r="DO2" s="51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" s="157">
        <f>IF(OR(MergeNamesTable[[#This Row],[Player 4 Index]]=0,MergeNamesTable[[#This Row],[Player 4 Index]]=""),0,ROUND((MergeNamesTable[[#This Row],[Player 4 Index]]*MergeNamesTable[[#This Row],[Player 4 Slope]])/113,0))</f>
        <v>0</v>
      </c>
      <c r="DQ2" s="223"/>
      <c r="DR2" s="224"/>
      <c r="DS2" s="159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" s="159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" s="159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" s="159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" s="159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" s="159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" s="238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" s="238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" s="238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" s="160" t="str">
        <f>IF(MergeNamesTable[[#This Row],[Player 5 Tees]]="","",VLOOKUP(MergeNamesTable[[#This Row],[Player 5 Tees]],TeeMarkerTable,23,FALSE))</f>
        <v/>
      </c>
      <c r="EC2" s="162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" s="132">
        <f>IF(OR(MergeNamesTable[[#This Row],[Player 5 Index]]=0,MergeNamesTable[[#This Row],[Player 5 Index]]=""),0,ROUND((MergeNamesTable[[#This Row],[Player 5 Index]]*MergeNamesTable[[#This Row],[Player 5 Slope]])/113,0))</f>
        <v>0</v>
      </c>
      <c r="EE2" s="229"/>
      <c r="EF2" s="53"/>
      <c r="EG2" s="5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>•</v>
      </c>
      <c r="EH2" s="5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>•</v>
      </c>
      <c r="EI2" s="5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>•</v>
      </c>
      <c r="EJ2" s="5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" s="5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>•</v>
      </c>
      <c r="EL2" s="5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>•</v>
      </c>
      <c r="EM2" s="5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>•</v>
      </c>
      <c r="EN2" s="5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" s="5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>•</v>
      </c>
      <c r="EP2" s="106"/>
      <c r="EQ2" s="5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>•</v>
      </c>
      <c r="ER2" s="5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>•</v>
      </c>
      <c r="ES2" s="5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>•</v>
      </c>
      <c r="ET2" s="5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" s="5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>•</v>
      </c>
      <c r="EV2" s="5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" s="5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>•</v>
      </c>
      <c r="EX2" s="5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>•</v>
      </c>
      <c r="EY2" s="5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>•</v>
      </c>
      <c r="EZ2" s="57"/>
      <c r="FA2" s="5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" s="5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>•</v>
      </c>
      <c r="FC2" s="5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>•</v>
      </c>
      <c r="FD2" s="5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" s="5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" s="5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" s="5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" s="5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" s="5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" s="109"/>
      <c r="FK2" s="5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" s="5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" s="5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" s="5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" s="5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>•</v>
      </c>
      <c r="FP2" s="5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" s="5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" s="5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" s="5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>•</v>
      </c>
      <c r="FT2" s="57"/>
      <c r="FU2" s="5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" s="5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" s="5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" s="5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" s="5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" s="5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" s="5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" s="5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" s="5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" s="106"/>
      <c r="GE2" s="5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" s="5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" s="5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" s="5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" s="5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" s="5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" s="5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" s="5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" s="5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" s="57"/>
      <c r="GO2" s="5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" s="5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" s="5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" s="5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" s="5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" s="5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" s="5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" s="5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" s="5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" s="104"/>
      <c r="GY2" s="5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" s="5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" s="5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" s="5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" s="5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" s="5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" s="5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" s="5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" s="5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" s="58"/>
      <c r="HI2" s="164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" s="164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" s="164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" s="164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" s="164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" s="164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" s="164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" s="164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" s="164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" s="58"/>
      <c r="HS2" s="164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" s="164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" s="164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" s="164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" s="164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" s="164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" s="164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" s="164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" s="164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" s="58"/>
    </row>
    <row r="3" spans="1:236" ht="21" customHeight="1">
      <c r="A3" s="365">
        <v>2</v>
      </c>
      <c r="B3" s="362" t="str">
        <f>MergeNamesTable[[#This Row],[Team Name Concat]]</f>
        <v>Steve Bowman &amp; Casey Hauck</v>
      </c>
      <c r="C3" s="59" t="str">
        <f>UPPER(MergeNamesTable[[#This Row],[Team Name]])</f>
        <v>STEVE BOWMAN &amp; CASEY HAUCK</v>
      </c>
      <c r="D3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>Steve Bowman &amp; Casey Hauck</v>
      </c>
      <c r="E3" s="60" t="str">
        <f>UPPER(MergeNamesTable[[#This Row],[Team Name Concat]])</f>
        <v>STEVE BOWMAN &amp; CASEY HAUCK</v>
      </c>
      <c r="F3" s="61">
        <f>MergeNamesTable[[#This Row],[Player 1 Handicap]]+MergeNamesTable[[#This Row],[Player 2 Handicap]]+MergeNamesTable[[#This Row],[Player 3 Handicap]]+MergeNamesTable[[#This Row],[Player 4 Handicap]]</f>
        <v>22</v>
      </c>
      <c r="G3" s="62">
        <f>IF(ISERROR(MergeNamesTable[[#This Row],[Handicap Team Total]]/4),0,ROUND(MergeNamesTable[[#This Row],[Handicap Team Total]]/4,0))</f>
        <v>6</v>
      </c>
      <c r="H3" s="62">
        <f>ROUND(((MergeNamesTable[[#This Row],[Player 1 Handicap]]+MergeNamesTable[[#This Row],[Player 2 Handicap]])*0.25)*0.335,0)</f>
        <v>2</v>
      </c>
      <c r="I3" s="62">
        <f>ROUND(((MergeNamesTable[[#This Row],[Player 1 Handicap]]+MergeNamesTable[[#This Row],[Player 2 Handicap]])*0.5)*0.335,0)</f>
        <v>4</v>
      </c>
      <c r="J3" s="63"/>
      <c r="K3" s="64" t="str">
        <f>IF(OR(MergeNamesTable[[#This Row],[Team Name]]&lt;&gt;"",MergeNamesTable[[#This Row],[Player 1 First Last]]&lt;&gt;""),'Defaults and Lookup Lists'!$B$2,"")</f>
        <v>Christmas Cup</v>
      </c>
      <c r="L3" s="201"/>
      <c r="M3" s="65" t="str">
        <f>IF(OR(MergeNamesTable[[#This Row],[Team Name]]&lt;&gt;"",MergeNamesTable[[#This Row],[Player 1 First Last]]&lt;&gt;""),TEXT('Defaults and Lookup Lists'!$B$7,"ddd, mmm d, yyyy"),"")</f>
        <v>Tue, Apr 15, 2014</v>
      </c>
      <c r="N3" s="311">
        <f>IF(OR(MergeNamesTable[[#This Row],[Team Name]]&lt;&gt;"",MergeNamesTable[[#This Row],[Player 1 First Last]]&lt;&gt;""),IF('Defaults and Lookup Lists'!$D$3="","",'Defaults and Lookup Lists'!$D$3),"")</f>
        <v>0.54166666666666663</v>
      </c>
      <c r="O3" s="247">
        <f>IF(OR(MergeNamesTable[[#This Row],[Team Name]]&lt;&gt;"",MergeNamesTable[[#This Row],[Player 1 First Last]]&lt;&gt;""),IF('Defaults and Lookup Lists'!$D$4="","",'Defaults and Lookup Lists'!$D$4),"")</f>
        <v>1</v>
      </c>
      <c r="P3" s="247" t="str">
        <f>IF(OR(MergeNamesTable[[#This Row],[Team Name]]&lt;&gt;"",MergeNamesTable[[#This Row],[Player 1 First Last]]&lt;&gt;""),IF('Defaults and Lookup Lists'!$D$2="Shotgun","A",""),"")</f>
        <v>A</v>
      </c>
      <c r="Q3" s="220">
        <f>IF(OR(MergeNamesTable[[#This Row],[Team Name]]&lt;&gt;"",MergeNamesTable[[#This Row],[Player 1 First Last]]&lt;&gt;""),IF('Defaults and Lookup Lists'!$B$6="","",'Defaults and Lookup Lists'!$B$6),"")</f>
        <v>50</v>
      </c>
      <c r="R3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" s="312">
        <f>IF(MergeNamesTable[[#This Row],[Entry Fee Team]]="","",MergeNamesTable[[#This Row],[Entry Fee Team]]-MergeNamesTable[[#This Row],[Entry Fee Paid]])</f>
        <v>50</v>
      </c>
      <c r="T3" s="201"/>
      <c r="U3" s="201"/>
      <c r="V3" s="201"/>
      <c r="W3" s="201" t="str">
        <f>IF(OR(MergeNamesTable[[#This Row],[Team Name]]&lt;&gt;"",MergeNamesTable[[#This Row],[Player 1 First Last]]&lt;&gt;""),'Defaults and Lookup Lists'!$B$3,"")</f>
        <v>Blue</v>
      </c>
      <c r="X3" s="67">
        <f>IF(MergeNamesTable[[#This Row],[Tee Markers]]="","",VLOOKUP(MergeNamesTable[[#This Row],[Tee Markers]],TeeMarkerTable,23,FALSE))</f>
        <v>126</v>
      </c>
      <c r="Y3" s="59" t="str">
        <f>UPPER(MergeNamesTable[[#This Row],[Tournament]])</f>
        <v>CHRISTMAS CUP</v>
      </c>
      <c r="Z3" s="6" t="str">
        <f>UPPER(MergeNamesTable[[#This Row],[Flight]])</f>
        <v/>
      </c>
      <c r="AA3" s="6" t="str">
        <f>UPPER(MergeNamesTable[[#This Row],[Tee Markers]])</f>
        <v>BLUE</v>
      </c>
      <c r="AB3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>01:00 PM</v>
      </c>
      <c r="AC3" s="68" t="str">
        <f>IF(MergeNamesTable[[#This Row],[Start Time Day 2]]="","",TEXT(MergeNamesTable[[#This Row],[Start Time Day 2]],"HH:MM AM/PM"))</f>
        <v/>
      </c>
      <c r="AD3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>#1A</v>
      </c>
      <c r="AE3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>Steve Bowman</v>
      </c>
      <c r="AF3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>Casey Hauck</v>
      </c>
      <c r="AG3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>Bowman, Steve</v>
      </c>
      <c r="AK3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>Hauck, Casey</v>
      </c>
      <c r="AL3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" s="72" t="str">
        <f>TEXT(MergeNamesTable[[#This Row],[Player 1 Handicap]],"##;+##;")</f>
        <v>10</v>
      </c>
      <c r="AP3" s="7" t="str">
        <f>TEXT(MergeNamesTable[[#This Row],[Player 2 Handicap]],"##;+##;")</f>
        <v>12</v>
      </c>
      <c r="AQ3" s="7" t="str">
        <f>TEXT(MergeNamesTable[[#This Row],[Player 3 Handicap]],"##;+##;")</f>
        <v/>
      </c>
      <c r="AR3" s="67" t="str">
        <f>TEXT(MergeNamesTable[[#This Row],[Player 4 Handicap]],"##;+##;")</f>
        <v/>
      </c>
      <c r="AS3" s="131" t="str">
        <f>TEXT(MergeNamesTable[[#This Row],[Player 5 Handicap]],"##;+##;")</f>
        <v/>
      </c>
      <c r="AT3" s="59" t="str">
        <f>UPPER(MergeNamesTable[[#This Row],[Player 1 First Last]])</f>
        <v>STEVE BOWMAN</v>
      </c>
      <c r="AU3" s="6" t="str">
        <f>UPPER(MergeNamesTable[[#This Row],[Player 2 First Last]])</f>
        <v>CASEY HAUCK</v>
      </c>
      <c r="AV3" s="6" t="str">
        <f>UPPER(MergeNamesTable[[#This Row],[Player 3 First Last]])</f>
        <v/>
      </c>
      <c r="AW3" s="6" t="str">
        <f>UPPER(MergeNamesTable[[#This Row],[Player 4 First Last]])</f>
        <v/>
      </c>
      <c r="AX3" s="344" t="str">
        <f>UPPER(MergeNamesTable[[#This Row],[Player 5 First Last]])</f>
        <v/>
      </c>
      <c r="AY3" s="59" t="str">
        <f>UPPER(MergeNamesTable[[#This Row],[Player 1 First]])</f>
        <v>STEVE</v>
      </c>
      <c r="AZ3" s="6" t="str">
        <f>UPPER(MergeNamesTable[[#This Row],[Player 2 First]])</f>
        <v>CASEY</v>
      </c>
      <c r="BA3" s="6" t="str">
        <f>UPPER(MergeNamesTable[[#This Row],[Player 3 First]])</f>
        <v/>
      </c>
      <c r="BB3" s="6" t="str">
        <f>UPPER(MergeNamesTable[[#This Row],[Player 4 First]])</f>
        <v/>
      </c>
      <c r="BC3" s="344" t="str">
        <f>UPPER(MergeNamesTable[[#This Row],[Player 5 First]])</f>
        <v/>
      </c>
      <c r="BD3" s="59" t="str">
        <f>UPPER(MergeNamesTable[[#This Row],[Player 1 Last]])</f>
        <v>BOWMAN</v>
      </c>
      <c r="BE3" s="6" t="str">
        <f>UPPER(MergeNamesTable[[#This Row],[Player 2 Last]])</f>
        <v>HAUCK</v>
      </c>
      <c r="BF3" s="6" t="str">
        <f>UPPER(MergeNamesTable[[#This Row],[Player 3 Last]])</f>
        <v/>
      </c>
      <c r="BG3" s="6" t="str">
        <f>UPPER(MergeNamesTable[[#This Row],[Player 4 Last]])</f>
        <v/>
      </c>
      <c r="BH3" s="344" t="str">
        <f>UPPER(MergeNamesTable[[#This Row],[Player 5 Last]])</f>
        <v/>
      </c>
      <c r="BI3" s="59" t="str">
        <f>UPPER(MergeNamesTable[[#This Row],[Player 1 Club]])</f>
        <v>TURTLEBACK</v>
      </c>
      <c r="BJ3" s="6" t="str">
        <f>UPPER(MergeNamesTable[[#This Row],[Player 2 Club]])</f>
        <v>TURTLEBACK</v>
      </c>
      <c r="BK3" s="6" t="str">
        <f>UPPER(MergeNamesTable[[#This Row],[Player 3 Club]])</f>
        <v/>
      </c>
      <c r="BL3" s="6" t="str">
        <f>UPPER(MergeNamesTable[[#This Row],[Player 4 Club]])</f>
        <v/>
      </c>
      <c r="BM3" s="344" t="str">
        <f>UPPER(MergeNamesTable[[#This Row],[Player 5 Club]])</f>
        <v/>
      </c>
      <c r="BN3" s="212" t="s">
        <v>19</v>
      </c>
      <c r="BO3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" s="69" t="str">
        <f>IF(MergeNamesTable[[#This Row],[LOOKUP PLAYER 1]]="","",IF(VLOOKUP(MergeNamesTable[[#This Row],[LOOKUP PLAYER 1]],TableNameLookup[],3,FALSE)="","",VLOOKUP(MergeNamesTable[[#This Row],[LOOKUP PLAYER 1]],TableNameLookup[],3,FALSE)))</f>
        <v>Steve</v>
      </c>
      <c r="BQ3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" s="69" t="str">
        <f>IF(MergeNamesTable[[#This Row],[LOOKUP PLAYER 1]]="","",IF(VLOOKUP(MergeNamesTable[[#This Row],[LOOKUP PLAYER 1]],TableNameLookup[],6,FALSE)="","",VLOOKUP(MergeNamesTable[[#This Row],[LOOKUP PLAYER 1]],TableNameLookup[],6,FALSE)))</f>
        <v>Bowman</v>
      </c>
      <c r="BT3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" s="213" t="str">
        <f>IF(MergeNamesTable[[#This Row],[LOOKUP PLAYER 1]]="","",IF(VLOOKUP(MergeNamesTable[[#This Row],[LOOKUP PLAYER 1]],TableNameLookup[],9,FALSE)="","",VLOOKUP(MergeNamesTable[[#This Row],[LOOKUP PLAYER 1]],TableNameLookup[],9,FALSE)))</f>
        <v>Male</v>
      </c>
      <c r="BV3" s="213" t="str">
        <f>IF(MergeNamesTable[[#This Row],[LOOKUP PLAYER 1]]="","",IF(VLOOKUP(MergeNamesTable[[#This Row],[LOOKUP PLAYER 1]],TableNameLookup[],10,FALSE)="","",VLOOKUP(MergeNamesTable[[#This Row],[LOOKUP PLAYER 1]],TableNameLookup[],10,FALSE)))</f>
        <v>Turtleback</v>
      </c>
      <c r="BW3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>Blue</v>
      </c>
      <c r="BX3" s="70">
        <f>IF(MergeNamesTable[[#This Row],[Player 1 Tees]]="","",VLOOKUP(MergeNamesTable[[#This Row],[Player 1 Tees]],TeeMarkerTable,23,FALSE))</f>
        <v>126</v>
      </c>
      <c r="BY3" s="70">
        <f>IF(MergeNamesTable[[#This Row],[LOOKUP PLAYER 1]]="","",IF(VLOOKUP(MergeNamesTable[[#This Row],[LOOKUP PLAYER 1]],TableNameLookup[],11,FALSE)="","",VLOOKUP(MergeNamesTable[[#This Row],[LOOKUP PLAYER 1]],TableNameLookup[],11,FALSE)))</f>
        <v>9</v>
      </c>
      <c r="BZ3" s="158">
        <f>IF(OR(MergeNamesTable[[#This Row],[Player 1 Index]]=0,MergeNamesTable[[#This Row],[Player 1 Index]]=""),0,ROUND((MergeNamesTable[[#This Row],[Player 1 Index]]*MergeNamesTable[[#This Row],[Player 1 Slope]])/113,0))</f>
        <v>10</v>
      </c>
      <c r="CA3" s="218"/>
      <c r="CB3" s="219" t="s">
        <v>37</v>
      </c>
      <c r="CC3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" s="6" t="str">
        <f>IF(MergeNamesTable[[#This Row],[LOOKUP PLAYER 2]]="","",IF(VLOOKUP(MergeNamesTable[[#This Row],[LOOKUP PLAYER 2]],TableNameLookup[],3,FALSE)="","",VLOOKUP(MergeNamesTable[[#This Row],[LOOKUP PLAYER 2]],TableNameLookup[],3,FALSE)))</f>
        <v>Casey</v>
      </c>
      <c r="CE3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" s="6" t="str">
        <f>IF(MergeNamesTable[[#This Row],[LOOKUP PLAYER 2]]="","",IF(VLOOKUP(MergeNamesTable[[#This Row],[LOOKUP PLAYER 2]],TableNameLookup[],6,FALSE)="","",VLOOKUP(MergeNamesTable[[#This Row],[LOOKUP PLAYER 2]],TableNameLookup[],6,FALSE)))</f>
        <v>Hauck</v>
      </c>
      <c r="CH3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" s="214" t="str">
        <f>IF(MergeNamesTable[[#This Row],[LOOKUP PLAYER 2]]="","",IF(VLOOKUP(MergeNamesTable[[#This Row],[LOOKUP PLAYER 2]],TableNameLookup[],9,FALSE)="","",VLOOKUP(MergeNamesTable[[#This Row],[LOOKUP PLAYER 2]],TableNameLookup[],9,FALSE)))</f>
        <v>Male</v>
      </c>
      <c r="CJ3" s="214" t="str">
        <f>IF(MergeNamesTable[[#This Row],[LOOKUP PLAYER 2]]="","",IF(VLOOKUP(MergeNamesTable[[#This Row],[LOOKUP PLAYER 2]],TableNameLookup[],10,FALSE)="","",VLOOKUP(MergeNamesTable[[#This Row],[LOOKUP PLAYER 2]],TableNameLookup[],10,FALSE)))</f>
        <v>Turtleback</v>
      </c>
      <c r="CK3" s="214" t="str">
        <f>IF(MergeNamesTable[[#This Row],[Player 2 Male]]="Female",'Defaults and Lookup Lists'!$B$4,IF(MergeNamesTable[[#This Row],[Tee Markers]]="","",MergeNamesTable[[#This Row],[Tee Markers]]))</f>
        <v>Blue</v>
      </c>
      <c r="CL3" s="7">
        <f>IF(MergeNamesTable[[#This Row],[Player 2 Tees]]="","",VLOOKUP(MergeNamesTable[[#This Row],[Player 2 Tees]],TeeMarkerTable,23,FALSE))</f>
        <v>126</v>
      </c>
      <c r="CM3" s="7">
        <f>IF(MergeNamesTable[[#This Row],[LOOKUP PLAYER 2]]="","",IF(VLOOKUP(MergeNamesTable[[#This Row],[LOOKUP PLAYER 2]],TableNameLookup[],11,FALSE)="","",VLOOKUP(MergeNamesTable[[#This Row],[LOOKUP PLAYER 2]],TableNameLookup[],11,FALSE)))</f>
        <v>11</v>
      </c>
      <c r="CN3" s="158">
        <f>IF(OR(MergeNamesTable[[#This Row],[Player 2 Index]]=0,MergeNamesTable[[#This Row],[Player 2 Index]]=""),0,ROUND((MergeNamesTable[[#This Row],[Player 2 Index]]*MergeNamesTable[[#This Row],[Player 2 Slope]])/113,0))</f>
        <v>12</v>
      </c>
      <c r="CO3" s="218"/>
      <c r="CP3" s="219"/>
      <c r="CQ3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" s="214"/>
      <c r="CX3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" s="7" t="str">
        <f>IF(MergeNamesTable[[#This Row],[Player 3 Tees]]="","",VLOOKUP(MergeNamesTable[[#This Row],[Player 3 Tees]],TeeMarkerTable,23,FALSE))</f>
        <v/>
      </c>
      <c r="DA3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" s="218"/>
      <c r="DD3" s="212"/>
      <c r="DE3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" s="7" t="str">
        <f>IF(MergeNamesTable[[#This Row],[Player 4 Tees]]="","",VLOOKUP(MergeNamesTable[[#This Row],[Player 4 Tees]],TeeMarkerTable,23,FALSE))</f>
        <v/>
      </c>
      <c r="DO3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" s="225"/>
      <c r="DR3" s="226"/>
      <c r="DS3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" s="161" t="str">
        <f>IF(MergeNamesTable[[#This Row],[Player 5 Tees]]="","",VLOOKUP(MergeNamesTable[[#This Row],[Player 5 Tees]],TeeMarkerTable,23,FALSE))</f>
        <v/>
      </c>
      <c r="EC3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" s="230"/>
      <c r="EF3" s="73"/>
      <c r="EG3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>•</v>
      </c>
      <c r="EH3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>•</v>
      </c>
      <c r="EI3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>•</v>
      </c>
      <c r="EJ3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>•</v>
      </c>
      <c r="EL3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>•</v>
      </c>
      <c r="EM3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" s="107"/>
      <c r="EQ3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>•</v>
      </c>
      <c r="ET3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>•</v>
      </c>
      <c r="EV3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>•</v>
      </c>
      <c r="EX3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>•</v>
      </c>
      <c r="EY3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>•</v>
      </c>
      <c r="EZ3" s="77"/>
      <c r="FA3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>•</v>
      </c>
      <c r="FB3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>•</v>
      </c>
      <c r="FC3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>•</v>
      </c>
      <c r="FD3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>•</v>
      </c>
      <c r="FF3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>•</v>
      </c>
      <c r="FG3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>•</v>
      </c>
      <c r="FJ3" s="110"/>
      <c r="FK3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>•</v>
      </c>
      <c r="FL3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>•</v>
      </c>
      <c r="FN3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>•</v>
      </c>
      <c r="FP3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>•</v>
      </c>
      <c r="FR3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>•</v>
      </c>
      <c r="FS3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>•</v>
      </c>
      <c r="FT3" s="77"/>
      <c r="FU3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" s="107"/>
      <c r="GE3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" s="77"/>
      <c r="GO3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" s="79"/>
      <c r="GY3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" s="78"/>
      <c r="HI3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" s="78"/>
      <c r="HS3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" s="78"/>
    </row>
    <row r="4" spans="1:236" ht="21" customHeight="1">
      <c r="A4" s="365">
        <v>3</v>
      </c>
      <c r="B4" s="362" t="str">
        <f>MergeNamesTable[[#This Row],[Team Name Concat]]</f>
        <v>Mark Johnson &amp; Mark Johnson Sr.</v>
      </c>
      <c r="C4" s="59" t="str">
        <f>UPPER(MergeNamesTable[[#This Row],[Team Name]])</f>
        <v>MARK JOHNSON &amp; MARK JOHNSON SR.</v>
      </c>
      <c r="D4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>Mark Johnson &amp; Mark Johnson Sr.</v>
      </c>
      <c r="E4" s="60" t="str">
        <f>UPPER(MergeNamesTable[[#This Row],[Team Name Concat]])</f>
        <v>MARK JOHNSON &amp; MARK JOHNSON SR.</v>
      </c>
      <c r="F4" s="61">
        <f>MergeNamesTable[[#This Row],[Player 1 Handicap]]+MergeNamesTable[[#This Row],[Player 2 Handicap]]+MergeNamesTable[[#This Row],[Player 3 Handicap]]+MergeNamesTable[[#This Row],[Player 4 Handicap]]</f>
        <v>54</v>
      </c>
      <c r="G4" s="62">
        <f>IF(ISERROR(MergeNamesTable[[#This Row],[Handicap Team Total]]/4),0,ROUND(MergeNamesTable[[#This Row],[Handicap Team Total]]/4,0))</f>
        <v>14</v>
      </c>
      <c r="H4" s="62">
        <f>ROUND(((MergeNamesTable[[#This Row],[Player 1 Handicap]]+MergeNamesTable[[#This Row],[Player 2 Handicap]])*0.25)*0.335,0)</f>
        <v>5</v>
      </c>
      <c r="I4" s="62">
        <f>ROUND(((MergeNamesTable[[#This Row],[Player 1 Handicap]]+MergeNamesTable[[#This Row],[Player 2 Handicap]])*0.5)*0.335,0)</f>
        <v>9</v>
      </c>
      <c r="J4" s="63"/>
      <c r="K4" s="64" t="str">
        <f>IF(OR(MergeNamesTable[[#This Row],[Team Name]]&lt;&gt;"",MergeNamesTable[[#This Row],[Player 1 First Last]]&lt;&gt;""),'Defaults and Lookup Lists'!$B$2,"")</f>
        <v>Christmas Cup</v>
      </c>
      <c r="L4" s="201"/>
      <c r="M4" s="65" t="str">
        <f>IF(OR(MergeNamesTable[[#This Row],[Team Name]]&lt;&gt;"",MergeNamesTable[[#This Row],[Player 1 First Last]]&lt;&gt;""),TEXT('Defaults and Lookup Lists'!$B$7,"ddd, mmm d, yyyy"),"")</f>
        <v>Tue, Apr 15, 2014</v>
      </c>
      <c r="N4" s="311">
        <f>IF(OR(MergeNamesTable[[#This Row],[Team Name]]&lt;&gt;"",MergeNamesTable[[#This Row],[Player 1 First Last]]&lt;&gt;""),IF('Defaults and Lookup Lists'!$D$3="","",'Defaults and Lookup Lists'!$D$3),"")</f>
        <v>0.54166666666666663</v>
      </c>
      <c r="O4" s="247">
        <f>IF(OR(MergeNamesTable[[#This Row],[Team Name]]&lt;&gt;"",MergeNamesTable[[#This Row],[Player 1 First Last]]&lt;&gt;""),IF('Defaults and Lookup Lists'!$D$4="","",'Defaults and Lookup Lists'!$D$4),"")</f>
        <v>1</v>
      </c>
      <c r="P4" s="247" t="str">
        <f>IF(OR(MergeNamesTable[[#This Row],[Team Name]]&lt;&gt;"",MergeNamesTable[[#This Row],[Player 1 First Last]]&lt;&gt;""),IF('Defaults and Lookup Lists'!$D$2="Shotgun","A",""),"")</f>
        <v>A</v>
      </c>
      <c r="Q4" s="220">
        <f>IF(OR(MergeNamesTable[[#This Row],[Team Name]]&lt;&gt;"",MergeNamesTable[[#This Row],[Player 1 First Last]]&lt;&gt;""),IF('Defaults and Lookup Lists'!$B$6="","",'Defaults and Lookup Lists'!$B$6),"")</f>
        <v>50</v>
      </c>
      <c r="R4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" s="312">
        <f>IF(MergeNamesTable[[#This Row],[Entry Fee Team]]="","",MergeNamesTable[[#This Row],[Entry Fee Team]]-MergeNamesTable[[#This Row],[Entry Fee Paid]])</f>
        <v>50</v>
      </c>
      <c r="T4" s="201"/>
      <c r="U4" s="201"/>
      <c r="V4" s="201"/>
      <c r="W4" s="201" t="str">
        <f>IF(OR(MergeNamesTable[[#This Row],[Team Name]]&lt;&gt;"",MergeNamesTable[[#This Row],[Player 1 First Last]]&lt;&gt;""),'Defaults and Lookup Lists'!$B$3,"")</f>
        <v>Blue</v>
      </c>
      <c r="X4" s="67">
        <f>IF(MergeNamesTable[[#This Row],[Tee Markers]]="","",VLOOKUP(MergeNamesTable[[#This Row],[Tee Markers]],TeeMarkerTable,23,FALSE))</f>
        <v>126</v>
      </c>
      <c r="Y4" s="59" t="str">
        <f>UPPER(MergeNamesTable[[#This Row],[Tournament]])</f>
        <v>CHRISTMAS CUP</v>
      </c>
      <c r="Z4" s="6" t="str">
        <f>UPPER(MergeNamesTable[[#This Row],[Flight]])</f>
        <v/>
      </c>
      <c r="AA4" s="6" t="str">
        <f>UPPER(MergeNamesTable[[#This Row],[Tee Markers]])</f>
        <v>BLUE</v>
      </c>
      <c r="AB4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>01:00 PM</v>
      </c>
      <c r="AC4" s="68" t="str">
        <f>IF(MergeNamesTable[[#This Row],[Start Time Day 2]]="","",TEXT(MergeNamesTable[[#This Row],[Start Time Day 2]],"HH:MM AM/PM"))</f>
        <v/>
      </c>
      <c r="AD4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>#1A</v>
      </c>
      <c r="AE4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>Mark Johnson</v>
      </c>
      <c r="AF4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>Mark Johnson Sr.</v>
      </c>
      <c r="AG4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>Johnson, Mark</v>
      </c>
      <c r="AK4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>Johnson, Mark Sr.</v>
      </c>
      <c r="AL4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" s="72" t="str">
        <f>TEXT(MergeNamesTable[[#This Row],[Player 1 Handicap]],"##;+##;")</f>
        <v>21</v>
      </c>
      <c r="AP4" s="7" t="str">
        <f>TEXT(MergeNamesTable[[#This Row],[Player 2 Handicap]],"##;+##;")</f>
        <v>33</v>
      </c>
      <c r="AQ4" s="7" t="str">
        <f>TEXT(MergeNamesTable[[#This Row],[Player 3 Handicap]],"##;+##;")</f>
        <v/>
      </c>
      <c r="AR4" s="67" t="str">
        <f>TEXT(MergeNamesTable[[#This Row],[Player 4 Handicap]],"##;+##;")</f>
        <v/>
      </c>
      <c r="AS4" s="131" t="str">
        <f>TEXT(MergeNamesTable[[#This Row],[Player 5 Handicap]],"##;+##;")</f>
        <v/>
      </c>
      <c r="AT4" s="59" t="str">
        <f>UPPER(MergeNamesTable[[#This Row],[Player 1 First Last]])</f>
        <v>MARK JOHNSON</v>
      </c>
      <c r="AU4" s="6" t="str">
        <f>UPPER(MergeNamesTable[[#This Row],[Player 2 First Last]])</f>
        <v>MARK JOHNSON SR.</v>
      </c>
      <c r="AV4" s="6" t="str">
        <f>UPPER(MergeNamesTable[[#This Row],[Player 3 First Last]])</f>
        <v/>
      </c>
      <c r="AW4" s="6" t="str">
        <f>UPPER(MergeNamesTable[[#This Row],[Player 4 First Last]])</f>
        <v/>
      </c>
      <c r="AX4" s="344" t="str">
        <f>UPPER(MergeNamesTable[[#This Row],[Player 5 First Last]])</f>
        <v/>
      </c>
      <c r="AY4" s="59" t="str">
        <f>UPPER(MergeNamesTable[[#This Row],[Player 1 First]])</f>
        <v>MARK</v>
      </c>
      <c r="AZ4" s="6" t="str">
        <f>UPPER(MergeNamesTable[[#This Row],[Player 2 First]])</f>
        <v>MARK</v>
      </c>
      <c r="BA4" s="6" t="str">
        <f>UPPER(MergeNamesTable[[#This Row],[Player 3 First]])</f>
        <v/>
      </c>
      <c r="BB4" s="6" t="str">
        <f>UPPER(MergeNamesTable[[#This Row],[Player 4 First]])</f>
        <v/>
      </c>
      <c r="BC4" s="344" t="str">
        <f>UPPER(MergeNamesTable[[#This Row],[Player 5 First]])</f>
        <v/>
      </c>
      <c r="BD4" s="59" t="str">
        <f>UPPER(MergeNamesTable[[#This Row],[Player 1 Last]])</f>
        <v>JOHNSON</v>
      </c>
      <c r="BE4" s="6" t="str">
        <f>UPPER(MergeNamesTable[[#This Row],[Player 2 Last]])</f>
        <v>JOHNSON</v>
      </c>
      <c r="BF4" s="6" t="str">
        <f>UPPER(MergeNamesTable[[#This Row],[Player 3 Last]])</f>
        <v/>
      </c>
      <c r="BG4" s="6" t="str">
        <f>UPPER(MergeNamesTable[[#This Row],[Player 4 Last]])</f>
        <v/>
      </c>
      <c r="BH4" s="344" t="str">
        <f>UPPER(MergeNamesTable[[#This Row],[Player 5 Last]])</f>
        <v/>
      </c>
      <c r="BI4" s="59" t="str">
        <f>UPPER(MergeNamesTable[[#This Row],[Player 1 Club]])</f>
        <v>TURTLEBACK</v>
      </c>
      <c r="BJ4" s="6" t="str">
        <f>UPPER(MergeNamesTable[[#This Row],[Player 2 Club]])</f>
        <v>TURTLEBACK</v>
      </c>
      <c r="BK4" s="6" t="str">
        <f>UPPER(MergeNamesTable[[#This Row],[Player 3 Club]])</f>
        <v/>
      </c>
      <c r="BL4" s="6" t="str">
        <f>UPPER(MergeNamesTable[[#This Row],[Player 4 Club]])</f>
        <v/>
      </c>
      <c r="BM4" s="344" t="str">
        <f>UPPER(MergeNamesTable[[#This Row],[Player 5 Club]])</f>
        <v/>
      </c>
      <c r="BN4" s="212" t="s">
        <v>48</v>
      </c>
      <c r="BO4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" s="69" t="str">
        <f>IF(MergeNamesTable[[#This Row],[LOOKUP PLAYER 1]]="","",IF(VLOOKUP(MergeNamesTable[[#This Row],[LOOKUP PLAYER 1]],TableNameLookup[],3,FALSE)="","",VLOOKUP(MergeNamesTable[[#This Row],[LOOKUP PLAYER 1]],TableNameLookup[],3,FALSE)))</f>
        <v>Mark</v>
      </c>
      <c r="BQ4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" s="69" t="str">
        <f>IF(MergeNamesTable[[#This Row],[LOOKUP PLAYER 1]]="","",IF(VLOOKUP(MergeNamesTable[[#This Row],[LOOKUP PLAYER 1]],TableNameLookup[],6,FALSE)="","",VLOOKUP(MergeNamesTable[[#This Row],[LOOKUP PLAYER 1]],TableNameLookup[],6,FALSE)))</f>
        <v>Johnson</v>
      </c>
      <c r="BT4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" s="213" t="str">
        <f>IF(MergeNamesTable[[#This Row],[LOOKUP PLAYER 1]]="","",IF(VLOOKUP(MergeNamesTable[[#This Row],[LOOKUP PLAYER 1]],TableNameLookup[],9,FALSE)="","",VLOOKUP(MergeNamesTable[[#This Row],[LOOKUP PLAYER 1]],TableNameLookup[],9,FALSE)))</f>
        <v>Male</v>
      </c>
      <c r="BV4" s="213" t="str">
        <f>IF(MergeNamesTable[[#This Row],[LOOKUP PLAYER 1]]="","",IF(VLOOKUP(MergeNamesTable[[#This Row],[LOOKUP PLAYER 1]],TableNameLookup[],10,FALSE)="","",VLOOKUP(MergeNamesTable[[#This Row],[LOOKUP PLAYER 1]],TableNameLookup[],10,FALSE)))</f>
        <v>Turtleback</v>
      </c>
      <c r="BW4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>Blue</v>
      </c>
      <c r="BX4" s="70">
        <f>IF(MergeNamesTable[[#This Row],[Player 1 Tees]]="","",VLOOKUP(MergeNamesTable[[#This Row],[Player 1 Tees]],TeeMarkerTable,23,FALSE))</f>
        <v>126</v>
      </c>
      <c r="BY4" s="70">
        <f>IF(MergeNamesTable[[#This Row],[LOOKUP PLAYER 1]]="","",IF(VLOOKUP(MergeNamesTable[[#This Row],[LOOKUP PLAYER 1]],TableNameLookup[],11,FALSE)="","",VLOOKUP(MergeNamesTable[[#This Row],[LOOKUP PLAYER 1]],TableNameLookup[],11,FALSE)))</f>
        <v>19</v>
      </c>
      <c r="BZ4" s="158">
        <f>IF(OR(MergeNamesTable[[#This Row],[Player 1 Index]]=0,MergeNamesTable[[#This Row],[Player 1 Index]]=""),0,ROUND((MergeNamesTable[[#This Row],[Player 1 Index]]*MergeNamesTable[[#This Row],[Player 1 Slope]])/113,0))</f>
        <v>21</v>
      </c>
      <c r="CA4" s="218"/>
      <c r="CB4" s="219" t="s">
        <v>49</v>
      </c>
      <c r="CC4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" s="6" t="str">
        <f>IF(MergeNamesTable[[#This Row],[LOOKUP PLAYER 2]]="","",IF(VLOOKUP(MergeNamesTable[[#This Row],[LOOKUP PLAYER 2]],TableNameLookup[],3,FALSE)="","",VLOOKUP(MergeNamesTable[[#This Row],[LOOKUP PLAYER 2]],TableNameLookup[],3,FALSE)))</f>
        <v>Mark</v>
      </c>
      <c r="CE4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" s="6" t="str">
        <f>IF(MergeNamesTable[[#This Row],[LOOKUP PLAYER 2]]="","",IF(VLOOKUP(MergeNamesTable[[#This Row],[LOOKUP PLAYER 2]],TableNameLookup[],6,FALSE)="","",VLOOKUP(MergeNamesTable[[#This Row],[LOOKUP PLAYER 2]],TableNameLookup[],6,FALSE)))</f>
        <v>Johnson</v>
      </c>
      <c r="CH4" s="6" t="str">
        <f>IF(MergeNamesTable[[#This Row],[LOOKUP PLAYER 2]]="","",IF(VLOOKUP(MergeNamesTable[[#This Row],[LOOKUP PLAYER 2]],TableNameLookup[],7,FALSE)="","",VLOOKUP(MergeNamesTable[[#This Row],[LOOKUP PLAYER 2]],TableNameLookup[],7,FALSE)))</f>
        <v>Sr.</v>
      </c>
      <c r="CI4" s="214" t="str">
        <f>IF(MergeNamesTable[[#This Row],[LOOKUP PLAYER 2]]="","",IF(VLOOKUP(MergeNamesTable[[#This Row],[LOOKUP PLAYER 2]],TableNameLookup[],9,FALSE)="","",VLOOKUP(MergeNamesTable[[#This Row],[LOOKUP PLAYER 2]],TableNameLookup[],9,FALSE)))</f>
        <v>Male</v>
      </c>
      <c r="CJ4" s="214" t="str">
        <f>IF(MergeNamesTable[[#This Row],[LOOKUP PLAYER 2]]="","",IF(VLOOKUP(MergeNamesTable[[#This Row],[LOOKUP PLAYER 2]],TableNameLookup[],10,FALSE)="","",VLOOKUP(MergeNamesTable[[#This Row],[LOOKUP PLAYER 2]],TableNameLookup[],10,FALSE)))</f>
        <v>Turtleback</v>
      </c>
      <c r="CK4" s="214" t="str">
        <f>IF(MergeNamesTable[[#This Row],[Player 2 Male]]="Female",'Defaults and Lookup Lists'!$B$4,IF(MergeNamesTable[[#This Row],[Tee Markers]]="","",MergeNamesTable[[#This Row],[Tee Markers]]))</f>
        <v>Blue</v>
      </c>
      <c r="CL4" s="7">
        <f>IF(MergeNamesTable[[#This Row],[Player 2 Tees]]="","",VLOOKUP(MergeNamesTable[[#This Row],[Player 2 Tees]],TeeMarkerTable,23,FALSE))</f>
        <v>126</v>
      </c>
      <c r="CM4" s="7">
        <f>IF(MergeNamesTable[[#This Row],[LOOKUP PLAYER 2]]="","",IF(VLOOKUP(MergeNamesTable[[#This Row],[LOOKUP PLAYER 2]],TableNameLookup[],11,FALSE)="","",VLOOKUP(MergeNamesTable[[#This Row],[LOOKUP PLAYER 2]],TableNameLookup[],11,FALSE)))</f>
        <v>30</v>
      </c>
      <c r="CN4" s="158">
        <f>IF(OR(MergeNamesTable[[#This Row],[Player 2 Index]]=0,MergeNamesTable[[#This Row],[Player 2 Index]]=""),0,ROUND((MergeNamesTable[[#This Row],[Player 2 Index]]*MergeNamesTable[[#This Row],[Player 2 Slope]])/113,0))</f>
        <v>33</v>
      </c>
      <c r="CO4" s="218"/>
      <c r="CP4" s="219"/>
      <c r="CQ4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" s="7" t="str">
        <f>IF(MergeNamesTable[[#This Row],[Player 3 Tees]]="","",VLOOKUP(MergeNamesTable[[#This Row],[Player 3 Tees]],TeeMarkerTable,23,FALSE))</f>
        <v/>
      </c>
      <c r="DA4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" s="218"/>
      <c r="DD4" s="212"/>
      <c r="DE4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" s="7" t="str">
        <f>IF(MergeNamesTable[[#This Row],[Player 4 Tees]]="","",VLOOKUP(MergeNamesTable[[#This Row],[Player 4 Tees]],TeeMarkerTable,23,FALSE))</f>
        <v/>
      </c>
      <c r="DO4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" s="225"/>
      <c r="DR4" s="226"/>
      <c r="DS4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" s="161" t="str">
        <f>IF(MergeNamesTable[[#This Row],[Player 5 Tees]]="","",VLOOKUP(MergeNamesTable[[#This Row],[Player 5 Tees]],TeeMarkerTable,23,FALSE))</f>
        <v/>
      </c>
      <c r="EC4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" s="230"/>
      <c r="EF4" s="73"/>
      <c r="EG4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>•</v>
      </c>
      <c r="EH4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>••</v>
      </c>
      <c r="EI4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>•</v>
      </c>
      <c r="EJ4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>•</v>
      </c>
      <c r="EK4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>•</v>
      </c>
      <c r="EL4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>•</v>
      </c>
      <c r="EM4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>•</v>
      </c>
      <c r="EN4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>•</v>
      </c>
      <c r="EO4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>•</v>
      </c>
      <c r="EP4" s="107"/>
      <c r="EQ4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>•</v>
      </c>
      <c r="ER4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>•</v>
      </c>
      <c r="ES4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>•</v>
      </c>
      <c r="ET4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>•</v>
      </c>
      <c r="EU4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>••</v>
      </c>
      <c r="EV4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>•</v>
      </c>
      <c r="EW4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>•</v>
      </c>
      <c r="EX4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>•</v>
      </c>
      <c r="EY4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>••</v>
      </c>
      <c r="EZ4" s="77"/>
      <c r="FA4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>••</v>
      </c>
      <c r="FB4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>••</v>
      </c>
      <c r="FC4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>••</v>
      </c>
      <c r="FD4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>•</v>
      </c>
      <c r="FE4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>••</v>
      </c>
      <c r="FF4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>••</v>
      </c>
      <c r="FG4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>••</v>
      </c>
      <c r="FH4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>•</v>
      </c>
      <c r="FI4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>••</v>
      </c>
      <c r="FJ4" s="110"/>
      <c r="FK4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>••</v>
      </c>
      <c r="FL4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>••</v>
      </c>
      <c r="FM4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>••</v>
      </c>
      <c r="FN4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>•</v>
      </c>
      <c r="FO4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>••</v>
      </c>
      <c r="FP4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>••</v>
      </c>
      <c r="FQ4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>••</v>
      </c>
      <c r="FR4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>••</v>
      </c>
      <c r="FS4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>••</v>
      </c>
      <c r="FT4" s="77"/>
      <c r="FU4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" s="107"/>
      <c r="GE4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" s="77"/>
      <c r="GO4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" s="79"/>
      <c r="GY4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" s="78"/>
      <c r="HI4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" s="78"/>
      <c r="HS4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" s="78"/>
    </row>
    <row r="5" spans="1:236" ht="21" customHeight="1">
      <c r="A5" s="365">
        <v>4</v>
      </c>
      <c r="B5" s="362" t="str">
        <f>MergeNamesTable[[#This Row],[Team Name Concat]]</f>
        <v>Steve Hostetler &amp; Randy Krautkramer</v>
      </c>
      <c r="C5" s="59" t="str">
        <f>UPPER(MergeNamesTable[[#This Row],[Team Name]])</f>
        <v>STEVE HOSTETLER &amp; RANDY KRAUTKRAMER</v>
      </c>
      <c r="D5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>Steve Hostetler &amp; Randy Krautkramer</v>
      </c>
      <c r="E5" s="60" t="str">
        <f>UPPER(MergeNamesTable[[#This Row],[Team Name Concat]])</f>
        <v>STEVE HOSTETLER &amp; RANDY KRAUTKRAMER</v>
      </c>
      <c r="F5" s="61">
        <f>MergeNamesTable[[#This Row],[Player 1 Handicap]]+MergeNamesTable[[#This Row],[Player 2 Handicap]]+MergeNamesTable[[#This Row],[Player 3 Handicap]]+MergeNamesTable[[#This Row],[Player 4 Handicap]]</f>
        <v>38</v>
      </c>
      <c r="G5" s="62">
        <f>IF(ISERROR(MergeNamesTable[[#This Row],[Handicap Team Total]]/4),0,ROUND(MergeNamesTable[[#This Row],[Handicap Team Total]]/4,0))</f>
        <v>10</v>
      </c>
      <c r="H5" s="62">
        <f>ROUND(((MergeNamesTable[[#This Row],[Player 1 Handicap]]+MergeNamesTable[[#This Row],[Player 2 Handicap]])*0.25)*0.335,0)</f>
        <v>3</v>
      </c>
      <c r="I5" s="62">
        <f>ROUND(((MergeNamesTable[[#This Row],[Player 1 Handicap]]+MergeNamesTable[[#This Row],[Player 2 Handicap]])*0.5)*0.335,0)</f>
        <v>6</v>
      </c>
      <c r="J5" s="63"/>
      <c r="K5" s="64" t="str">
        <f>IF(OR(MergeNamesTable[[#This Row],[Team Name]]&lt;&gt;"",MergeNamesTable[[#This Row],[Player 1 First Last]]&lt;&gt;""),'Defaults and Lookup Lists'!$B$2,"")</f>
        <v>Christmas Cup</v>
      </c>
      <c r="L5" s="201"/>
      <c r="M5" s="65" t="str">
        <f>IF(OR(MergeNamesTable[[#This Row],[Team Name]]&lt;&gt;"",MergeNamesTable[[#This Row],[Player 1 First Last]]&lt;&gt;""),TEXT('Defaults and Lookup Lists'!$B$7,"ddd, mmm d, yyyy"),"")</f>
        <v>Tue, Apr 15, 2014</v>
      </c>
      <c r="N5" s="311">
        <f>IF(OR(MergeNamesTable[[#This Row],[Team Name]]&lt;&gt;"",MergeNamesTable[[#This Row],[Player 1 First Last]]&lt;&gt;""),IF('Defaults and Lookup Lists'!$D$3="","",'Defaults and Lookup Lists'!$D$3),"")</f>
        <v>0.54166666666666663</v>
      </c>
      <c r="O5" s="247">
        <f>IF(OR(MergeNamesTable[[#This Row],[Team Name]]&lt;&gt;"",MergeNamesTable[[#This Row],[Player 1 First Last]]&lt;&gt;""),IF('Defaults and Lookup Lists'!$D$4="","",'Defaults and Lookup Lists'!$D$4),"")</f>
        <v>1</v>
      </c>
      <c r="P5" s="247" t="str">
        <f>IF(OR(MergeNamesTable[[#This Row],[Team Name]]&lt;&gt;"",MergeNamesTable[[#This Row],[Player 1 First Last]]&lt;&gt;""),IF('Defaults and Lookup Lists'!$D$2="Shotgun","A",""),"")</f>
        <v>A</v>
      </c>
      <c r="Q5" s="220">
        <f>IF(OR(MergeNamesTable[[#This Row],[Team Name]]&lt;&gt;"",MergeNamesTable[[#This Row],[Player 1 First Last]]&lt;&gt;""),IF('Defaults and Lookup Lists'!$B$6="","",'Defaults and Lookup Lists'!$B$6),"")</f>
        <v>50</v>
      </c>
      <c r="R5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5" s="312">
        <f>IF(MergeNamesTable[[#This Row],[Entry Fee Team]]="","",MergeNamesTable[[#This Row],[Entry Fee Team]]-MergeNamesTable[[#This Row],[Entry Fee Paid]])</f>
        <v>50</v>
      </c>
      <c r="T5" s="201"/>
      <c r="U5" s="201"/>
      <c r="V5" s="206"/>
      <c r="W5" s="201" t="str">
        <f>IF(OR(MergeNamesTable[[#This Row],[Team Name]]&lt;&gt;"",MergeNamesTable[[#This Row],[Player 1 First Last]]&lt;&gt;""),'Defaults and Lookup Lists'!$B$3,"")</f>
        <v>Blue</v>
      </c>
      <c r="X5" s="67">
        <f>IF(MergeNamesTable[[#This Row],[Tee Markers]]="","",VLOOKUP(MergeNamesTable[[#This Row],[Tee Markers]],TeeMarkerTable,23,FALSE))</f>
        <v>126</v>
      </c>
      <c r="Y5" s="59" t="str">
        <f>UPPER(MergeNamesTable[[#This Row],[Tournament]])</f>
        <v>CHRISTMAS CUP</v>
      </c>
      <c r="Z5" s="6" t="str">
        <f>UPPER(MergeNamesTable[[#This Row],[Flight]])</f>
        <v/>
      </c>
      <c r="AA5" s="6" t="str">
        <f>UPPER(MergeNamesTable[[#This Row],[Tee Markers]])</f>
        <v>BLUE</v>
      </c>
      <c r="AB5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>01:00 PM</v>
      </c>
      <c r="AC5" s="68" t="str">
        <f>IF(MergeNamesTable[[#This Row],[Start Time Day 2]]="","",TEXT(MergeNamesTable[[#This Row],[Start Time Day 2]],"HH:MM AM/PM"))</f>
        <v/>
      </c>
      <c r="AD5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>#1A</v>
      </c>
      <c r="AE5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>Steve Hostetler</v>
      </c>
      <c r="AF5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>Randy Krautkramer</v>
      </c>
      <c r="AG5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5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5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5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>Hostetler, Steve</v>
      </c>
      <c r="AK5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>Krautkramer, Randy</v>
      </c>
      <c r="AL5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5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5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5" s="72" t="str">
        <f>TEXT(MergeNamesTable[[#This Row],[Player 1 Handicap]],"##;+##;")</f>
        <v>19</v>
      </c>
      <c r="AP5" s="7" t="str">
        <f>TEXT(MergeNamesTable[[#This Row],[Player 2 Handicap]],"##;+##;")</f>
        <v>19</v>
      </c>
      <c r="AQ5" s="7" t="str">
        <f>TEXT(MergeNamesTable[[#This Row],[Player 3 Handicap]],"##;+##;")</f>
        <v/>
      </c>
      <c r="AR5" s="67" t="str">
        <f>TEXT(MergeNamesTable[[#This Row],[Player 4 Handicap]],"##;+##;")</f>
        <v/>
      </c>
      <c r="AS5" s="131" t="str">
        <f>TEXT(MergeNamesTable[[#This Row],[Player 5 Handicap]],"##;+##;")</f>
        <v/>
      </c>
      <c r="AT5" s="59" t="str">
        <f>UPPER(MergeNamesTable[[#This Row],[Player 1 First Last]])</f>
        <v>STEVE HOSTETLER</v>
      </c>
      <c r="AU5" s="6" t="str">
        <f>UPPER(MergeNamesTable[[#This Row],[Player 2 First Last]])</f>
        <v>RANDY KRAUTKRAMER</v>
      </c>
      <c r="AV5" s="6" t="str">
        <f>UPPER(MergeNamesTable[[#This Row],[Player 3 First Last]])</f>
        <v/>
      </c>
      <c r="AW5" s="6" t="str">
        <f>UPPER(MergeNamesTable[[#This Row],[Player 4 First Last]])</f>
        <v/>
      </c>
      <c r="AX5" s="344" t="str">
        <f>UPPER(MergeNamesTable[[#This Row],[Player 5 First Last]])</f>
        <v/>
      </c>
      <c r="AY5" s="59" t="str">
        <f>UPPER(MergeNamesTable[[#This Row],[Player 1 First]])</f>
        <v>STEVE</v>
      </c>
      <c r="AZ5" s="6" t="str">
        <f>UPPER(MergeNamesTable[[#This Row],[Player 2 First]])</f>
        <v>RANDY</v>
      </c>
      <c r="BA5" s="6" t="str">
        <f>UPPER(MergeNamesTable[[#This Row],[Player 3 First]])</f>
        <v/>
      </c>
      <c r="BB5" s="6" t="str">
        <f>UPPER(MergeNamesTable[[#This Row],[Player 4 First]])</f>
        <v/>
      </c>
      <c r="BC5" s="344" t="str">
        <f>UPPER(MergeNamesTable[[#This Row],[Player 5 First]])</f>
        <v/>
      </c>
      <c r="BD5" s="59" t="str">
        <f>UPPER(MergeNamesTable[[#This Row],[Player 1 Last]])</f>
        <v>HOSTETLER</v>
      </c>
      <c r="BE5" s="6" t="str">
        <f>UPPER(MergeNamesTable[[#This Row],[Player 2 Last]])</f>
        <v>KRAUTKRAMER</v>
      </c>
      <c r="BF5" s="6" t="str">
        <f>UPPER(MergeNamesTable[[#This Row],[Player 3 Last]])</f>
        <v/>
      </c>
      <c r="BG5" s="6" t="str">
        <f>UPPER(MergeNamesTable[[#This Row],[Player 4 Last]])</f>
        <v/>
      </c>
      <c r="BH5" s="344" t="str">
        <f>UPPER(MergeNamesTable[[#This Row],[Player 5 Last]])</f>
        <v/>
      </c>
      <c r="BI5" s="59" t="str">
        <f>UPPER(MergeNamesTable[[#This Row],[Player 1 Club]])</f>
        <v>TURTLEBACK</v>
      </c>
      <c r="BJ5" s="6" t="str">
        <f>UPPER(MergeNamesTable[[#This Row],[Player 2 Club]])</f>
        <v>TURTLEBACK</v>
      </c>
      <c r="BK5" s="6" t="str">
        <f>UPPER(MergeNamesTable[[#This Row],[Player 3 Club]])</f>
        <v/>
      </c>
      <c r="BL5" s="6" t="str">
        <f>UPPER(MergeNamesTable[[#This Row],[Player 4 Club]])</f>
        <v/>
      </c>
      <c r="BM5" s="344" t="str">
        <f>UPPER(MergeNamesTable[[#This Row],[Player 5 Club]])</f>
        <v/>
      </c>
      <c r="BN5" s="212" t="s">
        <v>40</v>
      </c>
      <c r="BO5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5" s="69" t="str">
        <f>IF(MergeNamesTable[[#This Row],[LOOKUP PLAYER 1]]="","",IF(VLOOKUP(MergeNamesTable[[#This Row],[LOOKUP PLAYER 1]],TableNameLookup[],3,FALSE)="","",VLOOKUP(MergeNamesTable[[#This Row],[LOOKUP PLAYER 1]],TableNameLookup[],3,FALSE)))</f>
        <v>Steve</v>
      </c>
      <c r="BQ5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5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5" s="69" t="str">
        <f>IF(MergeNamesTable[[#This Row],[LOOKUP PLAYER 1]]="","",IF(VLOOKUP(MergeNamesTable[[#This Row],[LOOKUP PLAYER 1]],TableNameLookup[],6,FALSE)="","",VLOOKUP(MergeNamesTable[[#This Row],[LOOKUP PLAYER 1]],TableNameLookup[],6,FALSE)))</f>
        <v>Hostetler</v>
      </c>
      <c r="BT5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5" s="213" t="str">
        <f>IF(MergeNamesTable[[#This Row],[LOOKUP PLAYER 1]]="","",IF(VLOOKUP(MergeNamesTable[[#This Row],[LOOKUP PLAYER 1]],TableNameLookup[],9,FALSE)="","",VLOOKUP(MergeNamesTable[[#This Row],[LOOKUP PLAYER 1]],TableNameLookup[],9,FALSE)))</f>
        <v>Male</v>
      </c>
      <c r="BV5" s="213" t="str">
        <f>IF(MergeNamesTable[[#This Row],[LOOKUP PLAYER 1]]="","",IF(VLOOKUP(MergeNamesTable[[#This Row],[LOOKUP PLAYER 1]],TableNameLookup[],10,FALSE)="","",VLOOKUP(MergeNamesTable[[#This Row],[LOOKUP PLAYER 1]],TableNameLookup[],10,FALSE)))</f>
        <v>Turtleback</v>
      </c>
      <c r="BW5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>Blue</v>
      </c>
      <c r="BX5" s="70">
        <f>IF(MergeNamesTable[[#This Row],[Player 1 Tees]]="","",VLOOKUP(MergeNamesTable[[#This Row],[Player 1 Tees]],TeeMarkerTable,23,FALSE))</f>
        <v>126</v>
      </c>
      <c r="BY5" s="70">
        <f>IF(MergeNamesTable[[#This Row],[LOOKUP PLAYER 1]]="","",IF(VLOOKUP(MergeNamesTable[[#This Row],[LOOKUP PLAYER 1]],TableNameLookup[],11,FALSE)="","",VLOOKUP(MergeNamesTable[[#This Row],[LOOKUP PLAYER 1]],TableNameLookup[],11,FALSE)))</f>
        <v>17</v>
      </c>
      <c r="BZ5" s="158">
        <f>IF(OR(MergeNamesTable[[#This Row],[Player 1 Index]]=0,MergeNamesTable[[#This Row],[Player 1 Index]]=""),0,ROUND((MergeNamesTable[[#This Row],[Player 1 Index]]*MergeNamesTable[[#This Row],[Player 1 Slope]])/113,0))</f>
        <v>19</v>
      </c>
      <c r="CA5" s="218"/>
      <c r="CB5" s="219" t="s">
        <v>55</v>
      </c>
      <c r="CC5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5" s="6" t="str">
        <f>IF(MergeNamesTable[[#This Row],[LOOKUP PLAYER 2]]="","",IF(VLOOKUP(MergeNamesTable[[#This Row],[LOOKUP PLAYER 2]],TableNameLookup[],3,FALSE)="","",VLOOKUP(MergeNamesTable[[#This Row],[LOOKUP PLAYER 2]],TableNameLookup[],3,FALSE)))</f>
        <v>Randy</v>
      </c>
      <c r="CE5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5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5" s="6" t="str">
        <f>IF(MergeNamesTable[[#This Row],[LOOKUP PLAYER 2]]="","",IF(VLOOKUP(MergeNamesTable[[#This Row],[LOOKUP PLAYER 2]],TableNameLookup[],6,FALSE)="","",VLOOKUP(MergeNamesTable[[#This Row],[LOOKUP PLAYER 2]],TableNameLookup[],6,FALSE)))</f>
        <v>Krautkramer</v>
      </c>
      <c r="CH5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5" s="214" t="str">
        <f>IF(MergeNamesTable[[#This Row],[LOOKUP PLAYER 2]]="","",IF(VLOOKUP(MergeNamesTable[[#This Row],[LOOKUP PLAYER 2]],TableNameLookup[],9,FALSE)="","",VLOOKUP(MergeNamesTable[[#This Row],[LOOKUP PLAYER 2]],TableNameLookup[],9,FALSE)))</f>
        <v>Male</v>
      </c>
      <c r="CJ5" s="214" t="str">
        <f>IF(MergeNamesTable[[#This Row],[LOOKUP PLAYER 2]]="","",IF(VLOOKUP(MergeNamesTable[[#This Row],[LOOKUP PLAYER 2]],TableNameLookup[],10,FALSE)="","",VLOOKUP(MergeNamesTable[[#This Row],[LOOKUP PLAYER 2]],TableNameLookup[],10,FALSE)))</f>
        <v>Turtleback</v>
      </c>
      <c r="CK5" s="214" t="str">
        <f>IF(MergeNamesTable[[#This Row],[Player 2 Male]]="Female",'Defaults and Lookup Lists'!$B$4,IF(MergeNamesTable[[#This Row],[Tee Markers]]="","",MergeNamesTable[[#This Row],[Tee Markers]]))</f>
        <v>Blue</v>
      </c>
      <c r="CL5" s="7">
        <f>IF(MergeNamesTable[[#This Row],[Player 2 Tees]]="","",VLOOKUP(MergeNamesTable[[#This Row],[Player 2 Tees]],TeeMarkerTable,23,FALSE))</f>
        <v>126</v>
      </c>
      <c r="CM5" s="7">
        <f>IF(MergeNamesTable[[#This Row],[LOOKUP PLAYER 2]]="","",IF(VLOOKUP(MergeNamesTable[[#This Row],[LOOKUP PLAYER 2]],TableNameLookup[],11,FALSE)="","",VLOOKUP(MergeNamesTable[[#This Row],[LOOKUP PLAYER 2]],TableNameLookup[],11,FALSE)))</f>
        <v>17</v>
      </c>
      <c r="CN5" s="158">
        <f>IF(OR(MergeNamesTable[[#This Row],[Player 2 Index]]=0,MergeNamesTable[[#This Row],[Player 2 Index]]=""),0,ROUND((MergeNamesTable[[#This Row],[Player 2 Index]]*MergeNamesTable[[#This Row],[Player 2 Slope]])/113,0))</f>
        <v>19</v>
      </c>
      <c r="CO5" s="218"/>
      <c r="CP5" s="219"/>
      <c r="CQ5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5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5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5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5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5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5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5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5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5" s="7" t="str">
        <f>IF(MergeNamesTable[[#This Row],[Player 3 Tees]]="","",VLOOKUP(MergeNamesTable[[#This Row],[Player 3 Tees]],TeeMarkerTable,23,FALSE))</f>
        <v/>
      </c>
      <c r="DA5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5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5" s="218"/>
      <c r="DD5" s="212"/>
      <c r="DE5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5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5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5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5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5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5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5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5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5" s="7" t="str">
        <f>IF(MergeNamesTable[[#This Row],[Player 4 Tees]]="","",VLOOKUP(MergeNamesTable[[#This Row],[Player 4 Tees]],TeeMarkerTable,23,FALSE))</f>
        <v/>
      </c>
      <c r="DO5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5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5" s="225"/>
      <c r="DR5" s="226"/>
      <c r="DS5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5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5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5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5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5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5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5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5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5" s="161" t="str">
        <f>IF(MergeNamesTable[[#This Row],[Player 5 Tees]]="","",VLOOKUP(MergeNamesTable[[#This Row],[Player 5 Tees]],TeeMarkerTable,23,FALSE))</f>
        <v/>
      </c>
      <c r="EC5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5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5" s="230"/>
      <c r="EF5" s="73"/>
      <c r="EG5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>•</v>
      </c>
      <c r="EH5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>•</v>
      </c>
      <c r="EI5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>•</v>
      </c>
      <c r="EJ5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>•</v>
      </c>
      <c r="EK5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>•</v>
      </c>
      <c r="EL5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>•</v>
      </c>
      <c r="EM5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>•</v>
      </c>
      <c r="EN5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>•</v>
      </c>
      <c r="EO5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>•</v>
      </c>
      <c r="EP5" s="107"/>
      <c r="EQ5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>•</v>
      </c>
      <c r="ER5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>•</v>
      </c>
      <c r="ES5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>•</v>
      </c>
      <c r="ET5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>•</v>
      </c>
      <c r="EU5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>•</v>
      </c>
      <c r="EV5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>•</v>
      </c>
      <c r="EW5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>•</v>
      </c>
      <c r="EX5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>•</v>
      </c>
      <c r="EY5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>••</v>
      </c>
      <c r="EZ5" s="77"/>
      <c r="FA5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>•</v>
      </c>
      <c r="FB5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>•</v>
      </c>
      <c r="FC5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>•</v>
      </c>
      <c r="FD5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>•</v>
      </c>
      <c r="FE5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>•</v>
      </c>
      <c r="FF5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>•</v>
      </c>
      <c r="FG5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>•</v>
      </c>
      <c r="FH5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>•</v>
      </c>
      <c r="FI5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>•</v>
      </c>
      <c r="FJ5" s="110"/>
      <c r="FK5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>•</v>
      </c>
      <c r="FL5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>•</v>
      </c>
      <c r="FM5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>•</v>
      </c>
      <c r="FN5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>•</v>
      </c>
      <c r="FO5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>•</v>
      </c>
      <c r="FP5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>•</v>
      </c>
      <c r="FQ5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>•</v>
      </c>
      <c r="FR5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>•</v>
      </c>
      <c r="FS5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>••</v>
      </c>
      <c r="FT5" s="77"/>
      <c r="FU5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5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5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5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5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5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5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5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5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5" s="107"/>
      <c r="GE5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5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5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5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5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5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5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5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5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5" s="77"/>
      <c r="GO5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5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5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5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5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5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5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5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5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5" s="79"/>
      <c r="GY5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5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5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5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5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5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5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5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5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5" s="78"/>
      <c r="HI5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5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5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5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5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5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5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5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5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5" s="78"/>
      <c r="HS5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5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5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5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5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5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5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5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5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5" s="78"/>
    </row>
    <row r="6" spans="1:236" ht="21" customHeight="1">
      <c r="A6" s="365">
        <v>5</v>
      </c>
      <c r="B6" s="362" t="str">
        <f>MergeNamesTable[[#This Row],[Team Name Concat]]</f>
        <v/>
      </c>
      <c r="C6" s="59" t="str">
        <f>UPPER(MergeNamesTable[[#This Row],[Team Name]])</f>
        <v/>
      </c>
      <c r="D6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6" s="60" t="str">
        <f>UPPER(MergeNamesTable[[#This Row],[Team Name Concat]])</f>
        <v/>
      </c>
      <c r="F6" s="61">
        <f>MergeNamesTable[[#This Row],[Player 1 Handicap]]+MergeNamesTable[[#This Row],[Player 2 Handicap]]+MergeNamesTable[[#This Row],[Player 3 Handicap]]+MergeNamesTable[[#This Row],[Player 4 Handicap]]</f>
        <v>0</v>
      </c>
      <c r="G6" s="62">
        <f>IF(ISERROR(MergeNamesTable[[#This Row],[Handicap Team Total]]/4),0,ROUND(MergeNamesTable[[#This Row],[Handicap Team Total]]/4,0))</f>
        <v>0</v>
      </c>
      <c r="H6" s="62">
        <f>ROUND(((MergeNamesTable[[#This Row],[Player 1 Handicap]]+MergeNamesTable[[#This Row],[Player 2 Handicap]])*0.25)*0.335,0)</f>
        <v>0</v>
      </c>
      <c r="I6" s="62">
        <f>ROUND(((MergeNamesTable[[#This Row],[Player 1 Handicap]]+MergeNamesTable[[#This Row],[Player 2 Handicap]])*0.5)*0.335,0)</f>
        <v>0</v>
      </c>
      <c r="J6" s="63"/>
      <c r="K6" s="64" t="str">
        <f>IF(OR(MergeNamesTable[[#This Row],[Team Name]]&lt;&gt;"",MergeNamesTable[[#This Row],[Player 1 First Last]]&lt;&gt;""),'Defaults and Lookup Lists'!$B$2,"")</f>
        <v/>
      </c>
      <c r="L6" s="201"/>
      <c r="M6" s="65" t="str">
        <f>IF(OR(MergeNamesTable[[#This Row],[Team Name]]&lt;&gt;"",MergeNamesTable[[#This Row],[Player 1 First Last]]&lt;&gt;""),TEXT('Defaults and Lookup Lists'!$B$7,"ddd, mmm d, yyyy"),"")</f>
        <v/>
      </c>
      <c r="N6" s="311" t="str">
        <f>IF(OR(MergeNamesTable[[#This Row],[Team Name]]&lt;&gt;"",MergeNamesTable[[#This Row],[Player 1 First Last]]&lt;&gt;""),IF('Defaults and Lookup Lists'!$D$3="","",'Defaults and Lookup Lists'!$D$3),"")</f>
        <v/>
      </c>
      <c r="O6" s="247" t="str">
        <f>IF(OR(MergeNamesTable[[#This Row],[Team Name]]&lt;&gt;"",MergeNamesTable[[#This Row],[Player 1 First Last]]&lt;&gt;""),IF('Defaults and Lookup Lists'!$D$4="","",'Defaults and Lookup Lists'!$D$4),"")</f>
        <v/>
      </c>
      <c r="P6" s="247" t="str">
        <f>IF(OR(MergeNamesTable[[#This Row],[Team Name]]&lt;&gt;"",MergeNamesTable[[#This Row],[Player 1 First Last]]&lt;&gt;""),IF('Defaults and Lookup Lists'!$D$2="Shotgun","A",""),"")</f>
        <v/>
      </c>
      <c r="Q6" s="220" t="str">
        <f>IF(OR(MergeNamesTable[[#This Row],[Team Name]]&lt;&gt;"",MergeNamesTable[[#This Row],[Player 1 First Last]]&lt;&gt;""),IF('Defaults and Lookup Lists'!$B$6="","",'Defaults and Lookup Lists'!$B$6),"")</f>
        <v/>
      </c>
      <c r="R6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6" s="312" t="str">
        <f>IF(MergeNamesTable[[#This Row],[Entry Fee Team]]="","",MergeNamesTable[[#This Row],[Entry Fee Team]]-MergeNamesTable[[#This Row],[Entry Fee Paid]])</f>
        <v/>
      </c>
      <c r="T6" s="201"/>
      <c r="U6" s="201"/>
      <c r="V6" s="201"/>
      <c r="W6" s="201" t="str">
        <f>IF(OR(MergeNamesTable[[#This Row],[Team Name]]&lt;&gt;"",MergeNamesTable[[#This Row],[Player 1 First Last]]&lt;&gt;""),'Defaults and Lookup Lists'!$B$3,"")</f>
        <v/>
      </c>
      <c r="X6" s="67" t="str">
        <f>IF(MergeNamesTable[[#This Row],[Tee Markers]]="","",VLOOKUP(MergeNamesTable[[#This Row],[Tee Markers]],TeeMarkerTable,23,FALSE))</f>
        <v/>
      </c>
      <c r="Y6" s="59" t="str">
        <f>UPPER(MergeNamesTable[[#This Row],[Tournament]])</f>
        <v/>
      </c>
      <c r="Z6" s="6" t="str">
        <f>UPPER(MergeNamesTable[[#This Row],[Flight]])</f>
        <v/>
      </c>
      <c r="AA6" s="6" t="str">
        <f>UPPER(MergeNamesTable[[#This Row],[Tee Markers]])</f>
        <v/>
      </c>
      <c r="AB6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6" s="68" t="str">
        <f>IF(MergeNamesTable[[#This Row],[Start Time Day 2]]="","",TEXT(MergeNamesTable[[#This Row],[Start Time Day 2]],"HH:MM AM/PM"))</f>
        <v/>
      </c>
      <c r="AD6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6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6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6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6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6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6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6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6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6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6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6" s="72" t="str">
        <f>TEXT(MergeNamesTable[[#This Row],[Player 1 Handicap]],"##;+##;")</f>
        <v/>
      </c>
      <c r="AP6" s="7" t="str">
        <f>TEXT(MergeNamesTable[[#This Row],[Player 2 Handicap]],"##;+##;")</f>
        <v/>
      </c>
      <c r="AQ6" s="7" t="str">
        <f>TEXT(MergeNamesTable[[#This Row],[Player 3 Handicap]],"##;+##;")</f>
        <v/>
      </c>
      <c r="AR6" s="67" t="str">
        <f>TEXT(MergeNamesTable[[#This Row],[Player 4 Handicap]],"##;+##;")</f>
        <v/>
      </c>
      <c r="AS6" s="131" t="str">
        <f>TEXT(MergeNamesTable[[#This Row],[Player 5 Handicap]],"##;+##;")</f>
        <v/>
      </c>
      <c r="AT6" s="59" t="str">
        <f>UPPER(MergeNamesTable[[#This Row],[Player 1 First Last]])</f>
        <v/>
      </c>
      <c r="AU6" s="6" t="str">
        <f>UPPER(MergeNamesTable[[#This Row],[Player 2 First Last]])</f>
        <v/>
      </c>
      <c r="AV6" s="6" t="str">
        <f>UPPER(MergeNamesTable[[#This Row],[Player 3 First Last]])</f>
        <v/>
      </c>
      <c r="AW6" s="6" t="str">
        <f>UPPER(MergeNamesTable[[#This Row],[Player 4 First Last]])</f>
        <v/>
      </c>
      <c r="AX6" s="344" t="str">
        <f>UPPER(MergeNamesTable[[#This Row],[Player 5 First Last]])</f>
        <v/>
      </c>
      <c r="AY6" s="59" t="str">
        <f>UPPER(MergeNamesTable[[#This Row],[Player 1 First]])</f>
        <v/>
      </c>
      <c r="AZ6" s="6" t="str">
        <f>UPPER(MergeNamesTable[[#This Row],[Player 2 First]])</f>
        <v/>
      </c>
      <c r="BA6" s="6" t="str">
        <f>UPPER(MergeNamesTable[[#This Row],[Player 3 First]])</f>
        <v/>
      </c>
      <c r="BB6" s="6" t="str">
        <f>UPPER(MergeNamesTable[[#This Row],[Player 4 First]])</f>
        <v/>
      </c>
      <c r="BC6" s="344" t="str">
        <f>UPPER(MergeNamesTable[[#This Row],[Player 5 First]])</f>
        <v/>
      </c>
      <c r="BD6" s="59" t="str">
        <f>UPPER(MergeNamesTable[[#This Row],[Player 1 Last]])</f>
        <v/>
      </c>
      <c r="BE6" s="6" t="str">
        <f>UPPER(MergeNamesTable[[#This Row],[Player 2 Last]])</f>
        <v/>
      </c>
      <c r="BF6" s="6" t="str">
        <f>UPPER(MergeNamesTable[[#This Row],[Player 3 Last]])</f>
        <v/>
      </c>
      <c r="BG6" s="6" t="str">
        <f>UPPER(MergeNamesTable[[#This Row],[Player 4 Last]])</f>
        <v/>
      </c>
      <c r="BH6" s="344" t="str">
        <f>UPPER(MergeNamesTable[[#This Row],[Player 5 Last]])</f>
        <v/>
      </c>
      <c r="BI6" s="59" t="str">
        <f>UPPER(MergeNamesTable[[#This Row],[Player 1 Club]])</f>
        <v/>
      </c>
      <c r="BJ6" s="6" t="str">
        <f>UPPER(MergeNamesTable[[#This Row],[Player 2 Club]])</f>
        <v/>
      </c>
      <c r="BK6" s="6" t="str">
        <f>UPPER(MergeNamesTable[[#This Row],[Player 3 Club]])</f>
        <v/>
      </c>
      <c r="BL6" s="6" t="str">
        <f>UPPER(MergeNamesTable[[#This Row],[Player 4 Club]])</f>
        <v/>
      </c>
      <c r="BM6" s="344" t="str">
        <f>UPPER(MergeNamesTable[[#This Row],[Player 5 Club]])</f>
        <v/>
      </c>
      <c r="BN6" s="212"/>
      <c r="BO6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6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6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6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6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6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6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6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6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6" s="70" t="str">
        <f>IF(MergeNamesTable[[#This Row],[Player 1 Tees]]="","",VLOOKUP(MergeNamesTable[[#This Row],[Player 1 Tees]],TeeMarkerTable,23,FALSE))</f>
        <v/>
      </c>
      <c r="BY6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6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6" s="218"/>
      <c r="CB6" s="219"/>
      <c r="CC6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6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6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6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6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6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6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6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6" s="214" t="str">
        <f>IF(MergeNamesTable[[#This Row],[Player 2 Male]]="Female",'Defaults and Lookup Lists'!$B$4,IF(MergeNamesTable[[#This Row],[Tee Markers]]="","",MergeNamesTable[[#This Row],[Tee Markers]]))</f>
        <v/>
      </c>
      <c r="CL6" s="7" t="str">
        <f>IF(MergeNamesTable[[#This Row],[Player 2 Tees]]="","",VLOOKUP(MergeNamesTable[[#This Row],[Player 2 Tees]],TeeMarkerTable,23,FALSE))</f>
        <v/>
      </c>
      <c r="CM6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6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6" s="218"/>
      <c r="CP6" s="219"/>
      <c r="CQ6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6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6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6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6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6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6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6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6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6" s="7" t="str">
        <f>IF(MergeNamesTable[[#This Row],[Player 3 Tees]]="","",VLOOKUP(MergeNamesTable[[#This Row],[Player 3 Tees]],TeeMarkerTable,23,FALSE))</f>
        <v/>
      </c>
      <c r="DA6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6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6" s="218"/>
      <c r="DD6" s="212"/>
      <c r="DE6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6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6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6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6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6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6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6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6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6" s="7" t="str">
        <f>IF(MergeNamesTable[[#This Row],[Player 4 Tees]]="","",VLOOKUP(MergeNamesTable[[#This Row],[Player 4 Tees]],TeeMarkerTable,23,FALSE))</f>
        <v/>
      </c>
      <c r="DO6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6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6" s="225"/>
      <c r="DR6" s="226"/>
      <c r="DS6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6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6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6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6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6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6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6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6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6" s="161" t="str">
        <f>IF(MergeNamesTable[[#This Row],[Player 5 Tees]]="","",VLOOKUP(MergeNamesTable[[#This Row],[Player 5 Tees]],TeeMarkerTable,23,FALSE))</f>
        <v/>
      </c>
      <c r="EC6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6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6" s="230"/>
      <c r="EF6" s="73"/>
      <c r="EG6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6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6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6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6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6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6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6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6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6" s="107"/>
      <c r="EQ6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6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6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6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6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6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6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6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6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6" s="77"/>
      <c r="FA6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6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6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6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6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6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6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6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6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6" s="110"/>
      <c r="FK6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6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6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6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6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6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6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6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6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6" s="77"/>
      <c r="FU6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6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6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6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6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6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6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6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6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6" s="107"/>
      <c r="GE6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6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6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6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6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6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6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6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6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6" s="77"/>
      <c r="GO6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6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6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6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6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6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6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6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6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6" s="79"/>
      <c r="GY6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6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6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6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6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6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6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6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6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6" s="78"/>
      <c r="HI6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6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6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6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6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6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6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6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6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6" s="78"/>
      <c r="HS6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6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6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6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6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6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6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6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6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6" s="78"/>
    </row>
    <row r="7" spans="1:236" ht="21" customHeight="1">
      <c r="A7" s="365">
        <v>6</v>
      </c>
      <c r="B7" s="362" t="str">
        <f>MergeNamesTable[[#This Row],[Team Name Concat]]</f>
        <v/>
      </c>
      <c r="C7" s="59" t="str">
        <f>UPPER(MergeNamesTable[[#This Row],[Team Name]])</f>
        <v/>
      </c>
      <c r="D7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7" s="60" t="str">
        <f>UPPER(MergeNamesTable[[#This Row],[Team Name Concat]])</f>
        <v/>
      </c>
      <c r="F7" s="61">
        <f>MergeNamesTable[[#This Row],[Player 1 Handicap]]+MergeNamesTable[[#This Row],[Player 2 Handicap]]+MergeNamesTable[[#This Row],[Player 3 Handicap]]+MergeNamesTable[[#This Row],[Player 4 Handicap]]</f>
        <v>0</v>
      </c>
      <c r="G7" s="62">
        <f>IF(ISERROR(MergeNamesTable[[#This Row],[Handicap Team Total]]/4),0,ROUND(MergeNamesTable[[#This Row],[Handicap Team Total]]/4,0))</f>
        <v>0</v>
      </c>
      <c r="H7" s="62">
        <f>ROUND(((MergeNamesTable[[#This Row],[Player 1 Handicap]]+MergeNamesTable[[#This Row],[Player 2 Handicap]])*0.25)*0.335,0)</f>
        <v>0</v>
      </c>
      <c r="I7" s="62">
        <f>ROUND(((MergeNamesTable[[#This Row],[Player 1 Handicap]]+MergeNamesTable[[#This Row],[Player 2 Handicap]])*0.5)*0.335,0)</f>
        <v>0</v>
      </c>
      <c r="J7" s="63"/>
      <c r="K7" s="64" t="str">
        <f>IF(OR(MergeNamesTable[[#This Row],[Team Name]]&lt;&gt;"",MergeNamesTable[[#This Row],[Player 1 First Last]]&lt;&gt;""),'Defaults and Lookup Lists'!$B$2,"")</f>
        <v/>
      </c>
      <c r="L7" s="201"/>
      <c r="M7" s="65" t="str">
        <f>IF(OR(MergeNamesTable[[#This Row],[Team Name]]&lt;&gt;"",MergeNamesTable[[#This Row],[Player 1 First Last]]&lt;&gt;""),TEXT('Defaults and Lookup Lists'!$B$7,"ddd, mmm d, yyyy"),"")</f>
        <v/>
      </c>
      <c r="N7" s="311" t="str">
        <f>IF(OR(MergeNamesTable[[#This Row],[Team Name]]&lt;&gt;"",MergeNamesTable[[#This Row],[Player 1 First Last]]&lt;&gt;""),IF('Defaults and Lookup Lists'!$D$3="","",'Defaults and Lookup Lists'!$D$3),"")</f>
        <v/>
      </c>
      <c r="O7" s="247" t="str">
        <f>IF(OR(MergeNamesTable[[#This Row],[Team Name]]&lt;&gt;"",MergeNamesTable[[#This Row],[Player 1 First Last]]&lt;&gt;""),IF('Defaults and Lookup Lists'!$D$4="","",'Defaults and Lookup Lists'!$D$4),"")</f>
        <v/>
      </c>
      <c r="P7" s="247" t="str">
        <f>IF(OR(MergeNamesTable[[#This Row],[Team Name]]&lt;&gt;"",MergeNamesTable[[#This Row],[Player 1 First Last]]&lt;&gt;""),IF('Defaults and Lookup Lists'!$D$2="Shotgun","A",""),"")</f>
        <v/>
      </c>
      <c r="Q7" s="220" t="str">
        <f>IF(OR(MergeNamesTable[[#This Row],[Team Name]]&lt;&gt;"",MergeNamesTable[[#This Row],[Player 1 First Last]]&lt;&gt;""),IF('Defaults and Lookup Lists'!$B$6="","",'Defaults and Lookup Lists'!$B$6),"")</f>
        <v/>
      </c>
      <c r="R7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7" s="312" t="str">
        <f>IF(MergeNamesTable[[#This Row],[Entry Fee Team]]="","",MergeNamesTable[[#This Row],[Entry Fee Team]]-MergeNamesTable[[#This Row],[Entry Fee Paid]])</f>
        <v/>
      </c>
      <c r="T7" s="201"/>
      <c r="U7" s="201"/>
      <c r="V7" s="201"/>
      <c r="W7" s="201" t="str">
        <f>IF(OR(MergeNamesTable[[#This Row],[Team Name]]&lt;&gt;"",MergeNamesTable[[#This Row],[Player 1 First Last]]&lt;&gt;""),'Defaults and Lookup Lists'!$B$3,"")</f>
        <v/>
      </c>
      <c r="X7" s="67" t="str">
        <f>IF(MergeNamesTable[[#This Row],[Tee Markers]]="","",VLOOKUP(MergeNamesTable[[#This Row],[Tee Markers]],TeeMarkerTable,23,FALSE))</f>
        <v/>
      </c>
      <c r="Y7" s="59" t="str">
        <f>UPPER(MergeNamesTable[[#This Row],[Tournament]])</f>
        <v/>
      </c>
      <c r="Z7" s="6" t="str">
        <f>UPPER(MergeNamesTable[[#This Row],[Flight]])</f>
        <v/>
      </c>
      <c r="AA7" s="6" t="str">
        <f>UPPER(MergeNamesTable[[#This Row],[Tee Markers]])</f>
        <v/>
      </c>
      <c r="AB7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7" s="68" t="str">
        <f>IF(MergeNamesTable[[#This Row],[Start Time Day 2]]="","",TEXT(MergeNamesTable[[#This Row],[Start Time Day 2]],"HH:MM AM/PM"))</f>
        <v/>
      </c>
      <c r="AD7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7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7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7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7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7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7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7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7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7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7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7" s="72" t="str">
        <f>TEXT(MergeNamesTable[[#This Row],[Player 1 Handicap]],"##;+##;")</f>
        <v/>
      </c>
      <c r="AP7" s="7" t="str">
        <f>TEXT(MergeNamesTable[[#This Row],[Player 2 Handicap]],"##;+##;")</f>
        <v/>
      </c>
      <c r="AQ7" s="7" t="str">
        <f>TEXT(MergeNamesTable[[#This Row],[Player 3 Handicap]],"##;+##;")</f>
        <v/>
      </c>
      <c r="AR7" s="67" t="str">
        <f>TEXT(MergeNamesTable[[#This Row],[Player 4 Handicap]],"##;+##;")</f>
        <v/>
      </c>
      <c r="AS7" s="131" t="str">
        <f>TEXT(MergeNamesTable[[#This Row],[Player 5 Handicap]],"##;+##;")</f>
        <v/>
      </c>
      <c r="AT7" s="59" t="str">
        <f>UPPER(MergeNamesTable[[#This Row],[Player 1 First Last]])</f>
        <v/>
      </c>
      <c r="AU7" s="6" t="str">
        <f>UPPER(MergeNamesTable[[#This Row],[Player 2 First Last]])</f>
        <v/>
      </c>
      <c r="AV7" s="6" t="str">
        <f>UPPER(MergeNamesTable[[#This Row],[Player 3 First Last]])</f>
        <v/>
      </c>
      <c r="AW7" s="6" t="str">
        <f>UPPER(MergeNamesTable[[#This Row],[Player 4 First Last]])</f>
        <v/>
      </c>
      <c r="AX7" s="344" t="str">
        <f>UPPER(MergeNamesTable[[#This Row],[Player 5 First Last]])</f>
        <v/>
      </c>
      <c r="AY7" s="59" t="str">
        <f>UPPER(MergeNamesTable[[#This Row],[Player 1 First]])</f>
        <v/>
      </c>
      <c r="AZ7" s="6" t="str">
        <f>UPPER(MergeNamesTable[[#This Row],[Player 2 First]])</f>
        <v/>
      </c>
      <c r="BA7" s="6" t="str">
        <f>UPPER(MergeNamesTable[[#This Row],[Player 3 First]])</f>
        <v/>
      </c>
      <c r="BB7" s="6" t="str">
        <f>UPPER(MergeNamesTable[[#This Row],[Player 4 First]])</f>
        <v/>
      </c>
      <c r="BC7" s="344" t="str">
        <f>UPPER(MergeNamesTable[[#This Row],[Player 5 First]])</f>
        <v/>
      </c>
      <c r="BD7" s="59" t="str">
        <f>UPPER(MergeNamesTable[[#This Row],[Player 1 Last]])</f>
        <v/>
      </c>
      <c r="BE7" s="6" t="str">
        <f>UPPER(MergeNamesTable[[#This Row],[Player 2 Last]])</f>
        <v/>
      </c>
      <c r="BF7" s="6" t="str">
        <f>UPPER(MergeNamesTable[[#This Row],[Player 3 Last]])</f>
        <v/>
      </c>
      <c r="BG7" s="6" t="str">
        <f>UPPER(MergeNamesTable[[#This Row],[Player 4 Last]])</f>
        <v/>
      </c>
      <c r="BH7" s="344" t="str">
        <f>UPPER(MergeNamesTable[[#This Row],[Player 5 Last]])</f>
        <v/>
      </c>
      <c r="BI7" s="59" t="str">
        <f>UPPER(MergeNamesTable[[#This Row],[Player 1 Club]])</f>
        <v/>
      </c>
      <c r="BJ7" s="6" t="str">
        <f>UPPER(MergeNamesTable[[#This Row],[Player 2 Club]])</f>
        <v/>
      </c>
      <c r="BK7" s="6" t="str">
        <f>UPPER(MergeNamesTable[[#This Row],[Player 3 Club]])</f>
        <v/>
      </c>
      <c r="BL7" s="6" t="str">
        <f>UPPER(MergeNamesTable[[#This Row],[Player 4 Club]])</f>
        <v/>
      </c>
      <c r="BM7" s="344" t="str">
        <f>UPPER(MergeNamesTable[[#This Row],[Player 5 Club]])</f>
        <v/>
      </c>
      <c r="BN7" s="212"/>
      <c r="BO7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7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7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7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7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7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7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7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7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7" s="70" t="str">
        <f>IF(MergeNamesTable[[#This Row],[Player 1 Tees]]="","",VLOOKUP(MergeNamesTable[[#This Row],[Player 1 Tees]],TeeMarkerTable,23,FALSE))</f>
        <v/>
      </c>
      <c r="BY7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7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7" s="218"/>
      <c r="CB7" s="219"/>
      <c r="CC7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7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7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7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7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7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7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7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7" s="214" t="str">
        <f>IF(MergeNamesTable[[#This Row],[Player 2 Male]]="Female",'Defaults and Lookup Lists'!$B$4,IF(MergeNamesTable[[#This Row],[Tee Markers]]="","",MergeNamesTable[[#This Row],[Tee Markers]]))</f>
        <v/>
      </c>
      <c r="CL7" s="7" t="str">
        <f>IF(MergeNamesTable[[#This Row],[Player 2 Tees]]="","",VLOOKUP(MergeNamesTable[[#This Row],[Player 2 Tees]],TeeMarkerTable,23,FALSE))</f>
        <v/>
      </c>
      <c r="CM7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7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7" s="218"/>
      <c r="CP7" s="219"/>
      <c r="CQ7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7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7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7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7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7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7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7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7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7" s="7" t="str">
        <f>IF(MergeNamesTable[[#This Row],[Player 3 Tees]]="","",VLOOKUP(MergeNamesTable[[#This Row],[Player 3 Tees]],TeeMarkerTable,23,FALSE))</f>
        <v/>
      </c>
      <c r="DA7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7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7" s="218"/>
      <c r="DD7" s="212"/>
      <c r="DE7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7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7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7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7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7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7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7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7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7" s="7" t="str">
        <f>IF(MergeNamesTable[[#This Row],[Player 4 Tees]]="","",VLOOKUP(MergeNamesTable[[#This Row],[Player 4 Tees]],TeeMarkerTable,23,FALSE))</f>
        <v/>
      </c>
      <c r="DO7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7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7" s="225"/>
      <c r="DR7" s="226"/>
      <c r="DS7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7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7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7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7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7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7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7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7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7" s="161" t="str">
        <f>IF(MergeNamesTable[[#This Row],[Player 5 Tees]]="","",VLOOKUP(MergeNamesTable[[#This Row],[Player 5 Tees]],TeeMarkerTable,23,FALSE))</f>
        <v/>
      </c>
      <c r="EC7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7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7" s="230"/>
      <c r="EF7" s="73"/>
      <c r="EG7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7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7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7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7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7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7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7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7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7" s="107"/>
      <c r="EQ7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7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7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7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7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7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7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7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7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7" s="77"/>
      <c r="FA7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7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7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7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7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7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7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7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7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7" s="110"/>
      <c r="FK7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7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7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7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7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7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7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7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7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7" s="77"/>
      <c r="FU7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7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7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7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7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7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7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7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7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7" s="107"/>
      <c r="GE7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7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7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7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7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7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7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7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7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7" s="77"/>
      <c r="GO7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7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7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7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7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7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7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7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7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7" s="79"/>
      <c r="GY7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7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7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7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7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7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7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7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7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7" s="78"/>
      <c r="HI7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7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7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7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7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7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7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7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7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7" s="78"/>
      <c r="HS7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7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7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7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7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7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7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7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7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7" s="78"/>
    </row>
    <row r="8" spans="1:236" ht="21" customHeight="1">
      <c r="A8" s="365">
        <v>7</v>
      </c>
      <c r="B8" s="362" t="str">
        <f>MergeNamesTable[[#This Row],[Team Name Concat]]</f>
        <v/>
      </c>
      <c r="C8" s="59" t="str">
        <f>UPPER(MergeNamesTable[[#This Row],[Team Name]])</f>
        <v/>
      </c>
      <c r="D8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8" s="60" t="str">
        <f>UPPER(MergeNamesTable[[#This Row],[Team Name Concat]])</f>
        <v/>
      </c>
      <c r="F8" s="61">
        <f>MergeNamesTable[[#This Row],[Player 1 Handicap]]+MergeNamesTable[[#This Row],[Player 2 Handicap]]+MergeNamesTable[[#This Row],[Player 3 Handicap]]+MergeNamesTable[[#This Row],[Player 4 Handicap]]</f>
        <v>0</v>
      </c>
      <c r="G8" s="62">
        <f>IF(ISERROR(MergeNamesTable[[#This Row],[Handicap Team Total]]/4),0,ROUND(MergeNamesTable[[#This Row],[Handicap Team Total]]/4,0))</f>
        <v>0</v>
      </c>
      <c r="H8" s="62">
        <f>ROUND(((MergeNamesTable[[#This Row],[Player 1 Handicap]]+MergeNamesTable[[#This Row],[Player 2 Handicap]])*0.25)*0.335,0)</f>
        <v>0</v>
      </c>
      <c r="I8" s="62">
        <f>ROUND(((MergeNamesTable[[#This Row],[Player 1 Handicap]]+MergeNamesTable[[#This Row],[Player 2 Handicap]])*0.5)*0.335,0)</f>
        <v>0</v>
      </c>
      <c r="J8" s="63"/>
      <c r="K8" s="64" t="str">
        <f>IF(OR(MergeNamesTable[[#This Row],[Team Name]]&lt;&gt;"",MergeNamesTable[[#This Row],[Player 1 First Last]]&lt;&gt;""),'Defaults and Lookup Lists'!$B$2,"")</f>
        <v/>
      </c>
      <c r="L8" s="201"/>
      <c r="M8" s="65" t="str">
        <f>IF(OR(MergeNamesTable[[#This Row],[Team Name]]&lt;&gt;"",MergeNamesTable[[#This Row],[Player 1 First Last]]&lt;&gt;""),TEXT('Defaults and Lookup Lists'!$B$7,"ddd, mmm d, yyyy"),"")</f>
        <v/>
      </c>
      <c r="N8" s="311" t="str">
        <f>IF(OR(MergeNamesTable[[#This Row],[Team Name]]&lt;&gt;"",MergeNamesTable[[#This Row],[Player 1 First Last]]&lt;&gt;""),IF('Defaults and Lookup Lists'!$D$3="","",'Defaults and Lookup Lists'!$D$3),"")</f>
        <v/>
      </c>
      <c r="O8" s="247" t="str">
        <f>IF(OR(MergeNamesTable[[#This Row],[Team Name]]&lt;&gt;"",MergeNamesTable[[#This Row],[Player 1 First Last]]&lt;&gt;""),IF('Defaults and Lookup Lists'!$D$4="","",'Defaults and Lookup Lists'!$D$4),"")</f>
        <v/>
      </c>
      <c r="P8" s="247" t="str">
        <f>IF(OR(MergeNamesTable[[#This Row],[Team Name]]&lt;&gt;"",MergeNamesTable[[#This Row],[Player 1 First Last]]&lt;&gt;""),IF('Defaults and Lookup Lists'!$D$2="Shotgun","A",""),"")</f>
        <v/>
      </c>
      <c r="Q8" s="220" t="str">
        <f>IF(OR(MergeNamesTable[[#This Row],[Team Name]]&lt;&gt;"",MergeNamesTable[[#This Row],[Player 1 First Last]]&lt;&gt;""),IF('Defaults and Lookup Lists'!$B$6="","",'Defaults and Lookup Lists'!$B$6),"")</f>
        <v/>
      </c>
      <c r="R8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8" s="312" t="str">
        <f>IF(MergeNamesTable[[#This Row],[Entry Fee Team]]="","",MergeNamesTable[[#This Row],[Entry Fee Team]]-MergeNamesTable[[#This Row],[Entry Fee Paid]])</f>
        <v/>
      </c>
      <c r="T8" s="201"/>
      <c r="U8" s="201"/>
      <c r="V8" s="201"/>
      <c r="W8" s="201" t="str">
        <f>IF(OR(MergeNamesTable[[#This Row],[Team Name]]&lt;&gt;"",MergeNamesTable[[#This Row],[Player 1 First Last]]&lt;&gt;""),'Defaults and Lookup Lists'!$B$3,"")</f>
        <v/>
      </c>
      <c r="X8" s="67" t="str">
        <f>IF(MergeNamesTable[[#This Row],[Tee Markers]]="","",VLOOKUP(MergeNamesTable[[#This Row],[Tee Markers]],TeeMarkerTable,23,FALSE))</f>
        <v/>
      </c>
      <c r="Y8" s="59" t="str">
        <f>UPPER(MergeNamesTable[[#This Row],[Tournament]])</f>
        <v/>
      </c>
      <c r="Z8" s="6" t="str">
        <f>UPPER(MergeNamesTable[[#This Row],[Flight]])</f>
        <v/>
      </c>
      <c r="AA8" s="6" t="str">
        <f>UPPER(MergeNamesTable[[#This Row],[Tee Markers]])</f>
        <v/>
      </c>
      <c r="AB8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8" s="68" t="str">
        <f>IF(MergeNamesTable[[#This Row],[Start Time Day 2]]="","",TEXT(MergeNamesTable[[#This Row],[Start Time Day 2]],"HH:MM AM/PM"))</f>
        <v/>
      </c>
      <c r="AD8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8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8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8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8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8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8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8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8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8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8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8" s="72" t="str">
        <f>TEXT(MergeNamesTable[[#This Row],[Player 1 Handicap]],"##;+##;")</f>
        <v/>
      </c>
      <c r="AP8" s="7" t="str">
        <f>TEXT(MergeNamesTable[[#This Row],[Player 2 Handicap]],"##;+##;")</f>
        <v/>
      </c>
      <c r="AQ8" s="7" t="str">
        <f>TEXT(MergeNamesTable[[#This Row],[Player 3 Handicap]],"##;+##;")</f>
        <v/>
      </c>
      <c r="AR8" s="67" t="str">
        <f>TEXT(MergeNamesTable[[#This Row],[Player 4 Handicap]],"##;+##;")</f>
        <v/>
      </c>
      <c r="AS8" s="131" t="str">
        <f>TEXT(MergeNamesTable[[#This Row],[Player 5 Handicap]],"##;+##;")</f>
        <v/>
      </c>
      <c r="AT8" s="59" t="str">
        <f>UPPER(MergeNamesTable[[#This Row],[Player 1 First Last]])</f>
        <v/>
      </c>
      <c r="AU8" s="6" t="str">
        <f>UPPER(MergeNamesTable[[#This Row],[Player 2 First Last]])</f>
        <v/>
      </c>
      <c r="AV8" s="6" t="str">
        <f>UPPER(MergeNamesTable[[#This Row],[Player 3 First Last]])</f>
        <v/>
      </c>
      <c r="AW8" s="6" t="str">
        <f>UPPER(MergeNamesTable[[#This Row],[Player 4 First Last]])</f>
        <v/>
      </c>
      <c r="AX8" s="344" t="str">
        <f>UPPER(MergeNamesTable[[#This Row],[Player 5 First Last]])</f>
        <v/>
      </c>
      <c r="AY8" s="59" t="str">
        <f>UPPER(MergeNamesTable[[#This Row],[Player 1 First]])</f>
        <v/>
      </c>
      <c r="AZ8" s="6" t="str">
        <f>UPPER(MergeNamesTable[[#This Row],[Player 2 First]])</f>
        <v/>
      </c>
      <c r="BA8" s="6" t="str">
        <f>UPPER(MergeNamesTable[[#This Row],[Player 3 First]])</f>
        <v/>
      </c>
      <c r="BB8" s="6" t="str">
        <f>UPPER(MergeNamesTable[[#This Row],[Player 4 First]])</f>
        <v/>
      </c>
      <c r="BC8" s="344" t="str">
        <f>UPPER(MergeNamesTable[[#This Row],[Player 5 First]])</f>
        <v/>
      </c>
      <c r="BD8" s="59" t="str">
        <f>UPPER(MergeNamesTable[[#This Row],[Player 1 Last]])</f>
        <v/>
      </c>
      <c r="BE8" s="6" t="str">
        <f>UPPER(MergeNamesTable[[#This Row],[Player 2 Last]])</f>
        <v/>
      </c>
      <c r="BF8" s="6" t="str">
        <f>UPPER(MergeNamesTable[[#This Row],[Player 3 Last]])</f>
        <v/>
      </c>
      <c r="BG8" s="6" t="str">
        <f>UPPER(MergeNamesTable[[#This Row],[Player 4 Last]])</f>
        <v/>
      </c>
      <c r="BH8" s="344" t="str">
        <f>UPPER(MergeNamesTable[[#This Row],[Player 5 Last]])</f>
        <v/>
      </c>
      <c r="BI8" s="59" t="str">
        <f>UPPER(MergeNamesTable[[#This Row],[Player 1 Club]])</f>
        <v/>
      </c>
      <c r="BJ8" s="6" t="str">
        <f>UPPER(MergeNamesTable[[#This Row],[Player 2 Club]])</f>
        <v/>
      </c>
      <c r="BK8" s="6" t="str">
        <f>UPPER(MergeNamesTable[[#This Row],[Player 3 Club]])</f>
        <v/>
      </c>
      <c r="BL8" s="6" t="str">
        <f>UPPER(MergeNamesTable[[#This Row],[Player 4 Club]])</f>
        <v/>
      </c>
      <c r="BM8" s="344" t="str">
        <f>UPPER(MergeNamesTable[[#This Row],[Player 5 Club]])</f>
        <v/>
      </c>
      <c r="BN8" s="212"/>
      <c r="BO8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8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8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8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8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8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8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8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8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8" s="70" t="str">
        <f>IF(MergeNamesTable[[#This Row],[Player 1 Tees]]="","",VLOOKUP(MergeNamesTable[[#This Row],[Player 1 Tees]],TeeMarkerTable,23,FALSE))</f>
        <v/>
      </c>
      <c r="BY8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8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8" s="218"/>
      <c r="CB8" s="219"/>
      <c r="CC8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8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8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8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8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8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8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8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8" s="214" t="str">
        <f>IF(MergeNamesTable[[#This Row],[Player 2 Male]]="Female",'Defaults and Lookup Lists'!$B$4,IF(MergeNamesTable[[#This Row],[Tee Markers]]="","",MergeNamesTable[[#This Row],[Tee Markers]]))</f>
        <v/>
      </c>
      <c r="CL8" s="7" t="str">
        <f>IF(MergeNamesTable[[#This Row],[Player 2 Tees]]="","",VLOOKUP(MergeNamesTable[[#This Row],[Player 2 Tees]],TeeMarkerTable,23,FALSE))</f>
        <v/>
      </c>
      <c r="CM8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8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8" s="218"/>
      <c r="CP8" s="219"/>
      <c r="CQ8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8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8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8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8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8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8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8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8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8" s="7" t="str">
        <f>IF(MergeNamesTable[[#This Row],[Player 3 Tees]]="","",VLOOKUP(MergeNamesTable[[#This Row],[Player 3 Tees]],TeeMarkerTable,23,FALSE))</f>
        <v/>
      </c>
      <c r="DA8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8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8" s="218"/>
      <c r="DD8" s="212"/>
      <c r="DE8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8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8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8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8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8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8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8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8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8" s="7" t="str">
        <f>IF(MergeNamesTable[[#This Row],[Player 4 Tees]]="","",VLOOKUP(MergeNamesTable[[#This Row],[Player 4 Tees]],TeeMarkerTable,23,FALSE))</f>
        <v/>
      </c>
      <c r="DO8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8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8" s="225"/>
      <c r="DR8" s="226"/>
      <c r="DS8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8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8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8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8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8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8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8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8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8" s="161" t="str">
        <f>IF(MergeNamesTable[[#This Row],[Player 5 Tees]]="","",VLOOKUP(MergeNamesTable[[#This Row],[Player 5 Tees]],TeeMarkerTable,23,FALSE))</f>
        <v/>
      </c>
      <c r="EC8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8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8" s="230"/>
      <c r="EF8" s="73"/>
      <c r="EG8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8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8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8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8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8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8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8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8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8" s="107"/>
      <c r="EQ8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8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8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8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8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8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8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8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8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8" s="77"/>
      <c r="FA8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8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8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8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8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8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8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8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8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8" s="110"/>
      <c r="FK8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8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8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8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8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8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8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8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8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8" s="77"/>
      <c r="FU8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8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8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8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8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8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8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8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8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8" s="107"/>
      <c r="GE8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8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8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8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8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8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8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8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8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8" s="77"/>
      <c r="GO8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8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8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8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8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8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8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8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8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8" s="79"/>
      <c r="GY8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8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8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8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8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8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8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8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8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8" s="78"/>
      <c r="HI8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8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8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8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8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8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8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8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8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8" s="78"/>
      <c r="HS8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8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8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8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8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8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8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8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8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8" s="78"/>
    </row>
    <row r="9" spans="1:236" ht="21" customHeight="1">
      <c r="A9" s="365">
        <v>8</v>
      </c>
      <c r="B9" s="362" t="str">
        <f>MergeNamesTable[[#This Row],[Team Name Concat]]</f>
        <v/>
      </c>
      <c r="C9" s="59" t="str">
        <f>UPPER(MergeNamesTable[[#This Row],[Team Name]])</f>
        <v/>
      </c>
      <c r="D9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9" s="60" t="str">
        <f>UPPER(MergeNamesTable[[#This Row],[Team Name Concat]])</f>
        <v/>
      </c>
      <c r="F9" s="61">
        <f>MergeNamesTable[[#This Row],[Player 1 Handicap]]+MergeNamesTable[[#This Row],[Player 2 Handicap]]+MergeNamesTable[[#This Row],[Player 3 Handicap]]+MergeNamesTable[[#This Row],[Player 4 Handicap]]</f>
        <v>0</v>
      </c>
      <c r="G9" s="62">
        <f>IF(ISERROR(MergeNamesTable[[#This Row],[Handicap Team Total]]/4),0,ROUND(MergeNamesTable[[#This Row],[Handicap Team Total]]/4,0))</f>
        <v>0</v>
      </c>
      <c r="H9" s="62">
        <f>ROUND(((MergeNamesTable[[#This Row],[Player 1 Handicap]]+MergeNamesTable[[#This Row],[Player 2 Handicap]])*0.25)*0.335,0)</f>
        <v>0</v>
      </c>
      <c r="I9" s="62">
        <f>ROUND(((MergeNamesTable[[#This Row],[Player 1 Handicap]]+MergeNamesTable[[#This Row],[Player 2 Handicap]])*0.5)*0.335,0)</f>
        <v>0</v>
      </c>
      <c r="J9" s="63"/>
      <c r="K9" s="64" t="str">
        <f>IF(OR(MergeNamesTable[[#This Row],[Team Name]]&lt;&gt;"",MergeNamesTable[[#This Row],[Player 1 First Last]]&lt;&gt;""),'Defaults and Lookup Lists'!$B$2,"")</f>
        <v/>
      </c>
      <c r="L9" s="201"/>
      <c r="M9" s="65" t="str">
        <f>IF(OR(MergeNamesTable[[#This Row],[Team Name]]&lt;&gt;"",MergeNamesTable[[#This Row],[Player 1 First Last]]&lt;&gt;""),TEXT('Defaults and Lookup Lists'!$B$7,"ddd, mmm d, yyyy"),"")</f>
        <v/>
      </c>
      <c r="N9" s="311" t="str">
        <f>IF(OR(MergeNamesTable[[#This Row],[Team Name]]&lt;&gt;"",MergeNamesTable[[#This Row],[Player 1 First Last]]&lt;&gt;""),IF('Defaults and Lookup Lists'!$D$3="","",'Defaults and Lookup Lists'!$D$3),"")</f>
        <v/>
      </c>
      <c r="O9" s="247" t="str">
        <f>IF(OR(MergeNamesTable[[#This Row],[Team Name]]&lt;&gt;"",MergeNamesTable[[#This Row],[Player 1 First Last]]&lt;&gt;""),IF('Defaults and Lookup Lists'!$D$4="","",'Defaults and Lookup Lists'!$D$4),"")</f>
        <v/>
      </c>
      <c r="P9" s="247" t="str">
        <f>IF(OR(MergeNamesTable[[#This Row],[Team Name]]&lt;&gt;"",MergeNamesTable[[#This Row],[Player 1 First Last]]&lt;&gt;""),IF('Defaults and Lookup Lists'!$D$2="Shotgun","A",""),"")</f>
        <v/>
      </c>
      <c r="Q9" s="220" t="str">
        <f>IF(OR(MergeNamesTable[[#This Row],[Team Name]]&lt;&gt;"",MergeNamesTable[[#This Row],[Player 1 First Last]]&lt;&gt;""),IF('Defaults and Lookup Lists'!$B$6="","",'Defaults and Lookup Lists'!$B$6),"")</f>
        <v/>
      </c>
      <c r="R9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9" s="312" t="str">
        <f>IF(MergeNamesTable[[#This Row],[Entry Fee Team]]="","",MergeNamesTable[[#This Row],[Entry Fee Team]]-MergeNamesTable[[#This Row],[Entry Fee Paid]])</f>
        <v/>
      </c>
      <c r="T9" s="201"/>
      <c r="U9" s="201"/>
      <c r="V9" s="201"/>
      <c r="W9" s="201" t="str">
        <f>IF(OR(MergeNamesTable[[#This Row],[Team Name]]&lt;&gt;"",MergeNamesTable[[#This Row],[Player 1 First Last]]&lt;&gt;""),'Defaults and Lookup Lists'!$B$3,"")</f>
        <v/>
      </c>
      <c r="X9" s="67" t="str">
        <f>IF(MergeNamesTable[[#This Row],[Tee Markers]]="","",VLOOKUP(MergeNamesTable[[#This Row],[Tee Markers]],TeeMarkerTable,23,FALSE))</f>
        <v/>
      </c>
      <c r="Y9" s="59" t="str">
        <f>UPPER(MergeNamesTable[[#This Row],[Tournament]])</f>
        <v/>
      </c>
      <c r="Z9" s="6" t="str">
        <f>UPPER(MergeNamesTable[[#This Row],[Flight]])</f>
        <v/>
      </c>
      <c r="AA9" s="6" t="str">
        <f>UPPER(MergeNamesTable[[#This Row],[Tee Markers]])</f>
        <v/>
      </c>
      <c r="AB9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9" s="68" t="str">
        <f>IF(MergeNamesTable[[#This Row],[Start Time Day 2]]="","",TEXT(MergeNamesTable[[#This Row],[Start Time Day 2]],"HH:MM AM/PM"))</f>
        <v/>
      </c>
      <c r="AD9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9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9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9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9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9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9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9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9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9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9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9" s="72" t="str">
        <f>TEXT(MergeNamesTable[[#This Row],[Player 1 Handicap]],"##;+##;")</f>
        <v/>
      </c>
      <c r="AP9" s="7" t="str">
        <f>TEXT(MergeNamesTable[[#This Row],[Player 2 Handicap]],"##;+##;")</f>
        <v/>
      </c>
      <c r="AQ9" s="7" t="str">
        <f>TEXT(MergeNamesTable[[#This Row],[Player 3 Handicap]],"##;+##;")</f>
        <v/>
      </c>
      <c r="AR9" s="67" t="str">
        <f>TEXT(MergeNamesTable[[#This Row],[Player 4 Handicap]],"##;+##;")</f>
        <v/>
      </c>
      <c r="AS9" s="131" t="str">
        <f>TEXT(MergeNamesTable[[#This Row],[Player 5 Handicap]],"##;+##;")</f>
        <v/>
      </c>
      <c r="AT9" s="59" t="str">
        <f>UPPER(MergeNamesTable[[#This Row],[Player 1 First Last]])</f>
        <v/>
      </c>
      <c r="AU9" s="6" t="str">
        <f>UPPER(MergeNamesTable[[#This Row],[Player 2 First Last]])</f>
        <v/>
      </c>
      <c r="AV9" s="6" t="str">
        <f>UPPER(MergeNamesTable[[#This Row],[Player 3 First Last]])</f>
        <v/>
      </c>
      <c r="AW9" s="6" t="str">
        <f>UPPER(MergeNamesTable[[#This Row],[Player 4 First Last]])</f>
        <v/>
      </c>
      <c r="AX9" s="344" t="str">
        <f>UPPER(MergeNamesTable[[#This Row],[Player 5 First Last]])</f>
        <v/>
      </c>
      <c r="AY9" s="59" t="str">
        <f>UPPER(MergeNamesTable[[#This Row],[Player 1 First]])</f>
        <v/>
      </c>
      <c r="AZ9" s="6" t="str">
        <f>UPPER(MergeNamesTable[[#This Row],[Player 2 First]])</f>
        <v/>
      </c>
      <c r="BA9" s="6" t="str">
        <f>UPPER(MergeNamesTable[[#This Row],[Player 3 First]])</f>
        <v/>
      </c>
      <c r="BB9" s="6" t="str">
        <f>UPPER(MergeNamesTable[[#This Row],[Player 4 First]])</f>
        <v/>
      </c>
      <c r="BC9" s="344" t="str">
        <f>UPPER(MergeNamesTable[[#This Row],[Player 5 First]])</f>
        <v/>
      </c>
      <c r="BD9" s="59" t="str">
        <f>UPPER(MergeNamesTable[[#This Row],[Player 1 Last]])</f>
        <v/>
      </c>
      <c r="BE9" s="6" t="str">
        <f>UPPER(MergeNamesTable[[#This Row],[Player 2 Last]])</f>
        <v/>
      </c>
      <c r="BF9" s="6" t="str">
        <f>UPPER(MergeNamesTable[[#This Row],[Player 3 Last]])</f>
        <v/>
      </c>
      <c r="BG9" s="6" t="str">
        <f>UPPER(MergeNamesTable[[#This Row],[Player 4 Last]])</f>
        <v/>
      </c>
      <c r="BH9" s="344" t="str">
        <f>UPPER(MergeNamesTable[[#This Row],[Player 5 Last]])</f>
        <v/>
      </c>
      <c r="BI9" s="59" t="str">
        <f>UPPER(MergeNamesTable[[#This Row],[Player 1 Club]])</f>
        <v/>
      </c>
      <c r="BJ9" s="6" t="str">
        <f>UPPER(MergeNamesTable[[#This Row],[Player 2 Club]])</f>
        <v/>
      </c>
      <c r="BK9" s="6" t="str">
        <f>UPPER(MergeNamesTable[[#This Row],[Player 3 Club]])</f>
        <v/>
      </c>
      <c r="BL9" s="6" t="str">
        <f>UPPER(MergeNamesTable[[#This Row],[Player 4 Club]])</f>
        <v/>
      </c>
      <c r="BM9" s="344" t="str">
        <f>UPPER(MergeNamesTable[[#This Row],[Player 5 Club]])</f>
        <v/>
      </c>
      <c r="BN9" s="212"/>
      <c r="BO9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9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9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9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9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9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9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9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9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9" s="70" t="str">
        <f>IF(MergeNamesTable[[#This Row],[Player 1 Tees]]="","",VLOOKUP(MergeNamesTable[[#This Row],[Player 1 Tees]],TeeMarkerTable,23,FALSE))</f>
        <v/>
      </c>
      <c r="BY9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9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9" s="218"/>
      <c r="CB9" s="219"/>
      <c r="CC9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9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9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9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9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9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9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9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9" s="214" t="str">
        <f>IF(MergeNamesTable[[#This Row],[Player 2 Male]]="Female",'Defaults and Lookup Lists'!$B$4,IF(MergeNamesTable[[#This Row],[Tee Markers]]="","",MergeNamesTable[[#This Row],[Tee Markers]]))</f>
        <v/>
      </c>
      <c r="CL9" s="7" t="str">
        <f>IF(MergeNamesTable[[#This Row],[Player 2 Tees]]="","",VLOOKUP(MergeNamesTable[[#This Row],[Player 2 Tees]],TeeMarkerTable,23,FALSE))</f>
        <v/>
      </c>
      <c r="CM9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9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9" s="218"/>
      <c r="CP9" s="219"/>
      <c r="CQ9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9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9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9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9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9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9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9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9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9" s="7" t="str">
        <f>IF(MergeNamesTable[[#This Row],[Player 3 Tees]]="","",VLOOKUP(MergeNamesTable[[#This Row],[Player 3 Tees]],TeeMarkerTable,23,FALSE))</f>
        <v/>
      </c>
      <c r="DA9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9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9" s="218"/>
      <c r="DD9" s="212"/>
      <c r="DE9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9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9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9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9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9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9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9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9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9" s="7" t="str">
        <f>IF(MergeNamesTable[[#This Row],[Player 4 Tees]]="","",VLOOKUP(MergeNamesTable[[#This Row],[Player 4 Tees]],TeeMarkerTable,23,FALSE))</f>
        <v/>
      </c>
      <c r="DO9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9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9" s="225"/>
      <c r="DR9" s="226"/>
      <c r="DS9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9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9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9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9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9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9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9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9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9" s="161" t="str">
        <f>IF(MergeNamesTable[[#This Row],[Player 5 Tees]]="","",VLOOKUP(MergeNamesTable[[#This Row],[Player 5 Tees]],TeeMarkerTable,23,FALSE))</f>
        <v/>
      </c>
      <c r="EC9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9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9" s="230"/>
      <c r="EF9" s="73"/>
      <c r="EG9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9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9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9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9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9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9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9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9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9" s="107"/>
      <c r="EQ9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9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9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9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9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9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9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9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9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9" s="77"/>
      <c r="FA9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9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9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9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9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9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9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9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9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9" s="110"/>
      <c r="FK9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9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9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9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9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9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9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9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9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9" s="77"/>
      <c r="FU9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9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9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9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9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9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9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9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9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9" s="107"/>
      <c r="GE9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9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9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9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9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9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9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9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9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9" s="77"/>
      <c r="GO9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9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9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9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9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9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9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9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9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9" s="79"/>
      <c r="GY9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9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9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9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9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9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9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9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9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9" s="78"/>
      <c r="HI9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9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9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9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9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9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9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9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9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9" s="78"/>
      <c r="HS9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9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9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9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9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9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9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9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9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9" s="78"/>
    </row>
    <row r="10" spans="1:236" ht="21" customHeight="1">
      <c r="A10" s="365">
        <v>9</v>
      </c>
      <c r="B10" s="362" t="str">
        <f>MergeNamesTable[[#This Row],[Team Name Concat]]</f>
        <v/>
      </c>
      <c r="C10" s="59" t="str">
        <f>UPPER(MergeNamesTable[[#This Row],[Team Name]])</f>
        <v/>
      </c>
      <c r="D10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0" s="60" t="str">
        <f>UPPER(MergeNamesTable[[#This Row],[Team Name Concat]])</f>
        <v/>
      </c>
      <c r="F10" s="61">
        <f>MergeNamesTable[[#This Row],[Player 1 Handicap]]+MergeNamesTable[[#This Row],[Player 2 Handicap]]+MergeNamesTable[[#This Row],[Player 3 Handicap]]+MergeNamesTable[[#This Row],[Player 4 Handicap]]</f>
        <v>0</v>
      </c>
      <c r="G10" s="62">
        <f>IF(ISERROR(MergeNamesTable[[#This Row],[Handicap Team Total]]/4),0,ROUND(MergeNamesTable[[#This Row],[Handicap Team Total]]/4,0))</f>
        <v>0</v>
      </c>
      <c r="H10" s="62">
        <f>ROUND(((MergeNamesTable[[#This Row],[Player 1 Handicap]]+MergeNamesTable[[#This Row],[Player 2 Handicap]])*0.25)*0.335,0)</f>
        <v>0</v>
      </c>
      <c r="I10" s="62">
        <f>ROUND(((MergeNamesTable[[#This Row],[Player 1 Handicap]]+MergeNamesTable[[#This Row],[Player 2 Handicap]])*0.5)*0.335,0)</f>
        <v>0</v>
      </c>
      <c r="J10" s="63"/>
      <c r="K10" s="64" t="str">
        <f>IF(OR(MergeNamesTable[[#This Row],[Team Name]]&lt;&gt;"",MergeNamesTable[[#This Row],[Player 1 First Last]]&lt;&gt;""),'Defaults and Lookup Lists'!$B$2,"")</f>
        <v/>
      </c>
      <c r="L10" s="201"/>
      <c r="M10" s="65" t="str">
        <f>IF(OR(MergeNamesTable[[#This Row],[Team Name]]&lt;&gt;"",MergeNamesTable[[#This Row],[Player 1 First Last]]&lt;&gt;""),TEXT('Defaults and Lookup Lists'!$B$7,"ddd, mmm d, yyyy"),"")</f>
        <v/>
      </c>
      <c r="N10" s="311" t="str">
        <f>IF(OR(MergeNamesTable[[#This Row],[Team Name]]&lt;&gt;"",MergeNamesTable[[#This Row],[Player 1 First Last]]&lt;&gt;""),IF('Defaults and Lookup Lists'!$D$3="","",'Defaults and Lookup Lists'!$D$3),"")</f>
        <v/>
      </c>
      <c r="O10" s="247" t="str">
        <f>IF(OR(MergeNamesTable[[#This Row],[Team Name]]&lt;&gt;"",MergeNamesTable[[#This Row],[Player 1 First Last]]&lt;&gt;""),IF('Defaults and Lookup Lists'!$D$4="","",'Defaults and Lookup Lists'!$D$4),"")</f>
        <v/>
      </c>
      <c r="P10" s="247" t="str">
        <f>IF(OR(MergeNamesTable[[#This Row],[Team Name]]&lt;&gt;"",MergeNamesTable[[#This Row],[Player 1 First Last]]&lt;&gt;""),IF('Defaults and Lookup Lists'!$D$2="Shotgun","A",""),"")</f>
        <v/>
      </c>
      <c r="Q10" s="220" t="str">
        <f>IF(OR(MergeNamesTable[[#This Row],[Team Name]]&lt;&gt;"",MergeNamesTable[[#This Row],[Player 1 First Last]]&lt;&gt;""),IF('Defaults and Lookup Lists'!$B$6="","",'Defaults and Lookup Lists'!$B$6),"")</f>
        <v/>
      </c>
      <c r="R10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0" s="312" t="str">
        <f>IF(MergeNamesTable[[#This Row],[Entry Fee Team]]="","",MergeNamesTable[[#This Row],[Entry Fee Team]]-MergeNamesTable[[#This Row],[Entry Fee Paid]])</f>
        <v/>
      </c>
      <c r="T10" s="201"/>
      <c r="U10" s="201"/>
      <c r="V10" s="201"/>
      <c r="W10" s="201" t="str">
        <f>IF(OR(MergeNamesTable[[#This Row],[Team Name]]&lt;&gt;"",MergeNamesTable[[#This Row],[Player 1 First Last]]&lt;&gt;""),'Defaults and Lookup Lists'!$B$3,"")</f>
        <v/>
      </c>
      <c r="X10" s="67" t="str">
        <f>IF(MergeNamesTable[[#This Row],[Tee Markers]]="","",VLOOKUP(MergeNamesTable[[#This Row],[Tee Markers]],TeeMarkerTable,23,FALSE))</f>
        <v/>
      </c>
      <c r="Y10" s="59" t="str">
        <f>UPPER(MergeNamesTable[[#This Row],[Tournament]])</f>
        <v/>
      </c>
      <c r="Z10" s="6" t="str">
        <f>UPPER(MergeNamesTable[[#This Row],[Flight]])</f>
        <v/>
      </c>
      <c r="AA10" s="6" t="str">
        <f>UPPER(MergeNamesTable[[#This Row],[Tee Markers]])</f>
        <v/>
      </c>
      <c r="AB10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0" s="68" t="str">
        <f>IF(MergeNamesTable[[#This Row],[Start Time Day 2]]="","",TEXT(MergeNamesTable[[#This Row],[Start Time Day 2]],"HH:MM AM/PM"))</f>
        <v/>
      </c>
      <c r="AD10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0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0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0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0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0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0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0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0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0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0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0" s="72" t="str">
        <f>TEXT(MergeNamesTable[[#This Row],[Player 1 Handicap]],"##;+##;")</f>
        <v/>
      </c>
      <c r="AP10" s="7" t="str">
        <f>TEXT(MergeNamesTable[[#This Row],[Player 2 Handicap]],"##;+##;")</f>
        <v/>
      </c>
      <c r="AQ10" s="7" t="str">
        <f>TEXT(MergeNamesTable[[#This Row],[Player 3 Handicap]],"##;+##;")</f>
        <v/>
      </c>
      <c r="AR10" s="67" t="str">
        <f>TEXT(MergeNamesTable[[#This Row],[Player 4 Handicap]],"##;+##;")</f>
        <v/>
      </c>
      <c r="AS10" s="131" t="str">
        <f>TEXT(MergeNamesTable[[#This Row],[Player 5 Handicap]],"##;+##;")</f>
        <v/>
      </c>
      <c r="AT10" s="59" t="str">
        <f>UPPER(MergeNamesTable[[#This Row],[Player 1 First Last]])</f>
        <v/>
      </c>
      <c r="AU10" s="6" t="str">
        <f>UPPER(MergeNamesTable[[#This Row],[Player 2 First Last]])</f>
        <v/>
      </c>
      <c r="AV10" s="6" t="str">
        <f>UPPER(MergeNamesTable[[#This Row],[Player 3 First Last]])</f>
        <v/>
      </c>
      <c r="AW10" s="6" t="str">
        <f>UPPER(MergeNamesTable[[#This Row],[Player 4 First Last]])</f>
        <v/>
      </c>
      <c r="AX10" s="344" t="str">
        <f>UPPER(MergeNamesTable[[#This Row],[Player 5 First Last]])</f>
        <v/>
      </c>
      <c r="AY10" s="59" t="str">
        <f>UPPER(MergeNamesTable[[#This Row],[Player 1 First]])</f>
        <v/>
      </c>
      <c r="AZ10" s="6" t="str">
        <f>UPPER(MergeNamesTable[[#This Row],[Player 2 First]])</f>
        <v/>
      </c>
      <c r="BA10" s="6" t="str">
        <f>UPPER(MergeNamesTable[[#This Row],[Player 3 First]])</f>
        <v/>
      </c>
      <c r="BB10" s="6" t="str">
        <f>UPPER(MergeNamesTable[[#This Row],[Player 4 First]])</f>
        <v/>
      </c>
      <c r="BC10" s="344" t="str">
        <f>UPPER(MergeNamesTable[[#This Row],[Player 5 First]])</f>
        <v/>
      </c>
      <c r="BD10" s="59" t="str">
        <f>UPPER(MergeNamesTable[[#This Row],[Player 1 Last]])</f>
        <v/>
      </c>
      <c r="BE10" s="6" t="str">
        <f>UPPER(MergeNamesTable[[#This Row],[Player 2 Last]])</f>
        <v/>
      </c>
      <c r="BF10" s="6" t="str">
        <f>UPPER(MergeNamesTable[[#This Row],[Player 3 Last]])</f>
        <v/>
      </c>
      <c r="BG10" s="6" t="str">
        <f>UPPER(MergeNamesTable[[#This Row],[Player 4 Last]])</f>
        <v/>
      </c>
      <c r="BH10" s="344" t="str">
        <f>UPPER(MergeNamesTable[[#This Row],[Player 5 Last]])</f>
        <v/>
      </c>
      <c r="BI10" s="59" t="str">
        <f>UPPER(MergeNamesTable[[#This Row],[Player 1 Club]])</f>
        <v/>
      </c>
      <c r="BJ10" s="6" t="str">
        <f>UPPER(MergeNamesTable[[#This Row],[Player 2 Club]])</f>
        <v/>
      </c>
      <c r="BK10" s="6" t="str">
        <f>UPPER(MergeNamesTable[[#This Row],[Player 3 Club]])</f>
        <v/>
      </c>
      <c r="BL10" s="6" t="str">
        <f>UPPER(MergeNamesTable[[#This Row],[Player 4 Club]])</f>
        <v/>
      </c>
      <c r="BM10" s="344" t="str">
        <f>UPPER(MergeNamesTable[[#This Row],[Player 5 Club]])</f>
        <v/>
      </c>
      <c r="BN10" s="212"/>
      <c r="BO10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0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0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0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0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0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0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0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0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0" s="70" t="str">
        <f>IF(MergeNamesTable[[#This Row],[Player 1 Tees]]="","",VLOOKUP(MergeNamesTable[[#This Row],[Player 1 Tees]],TeeMarkerTable,23,FALSE))</f>
        <v/>
      </c>
      <c r="BY10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0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0" s="218"/>
      <c r="CB10" s="219"/>
      <c r="CC10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0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0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0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0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0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0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0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0" s="214" t="str">
        <f>IF(MergeNamesTable[[#This Row],[Player 2 Male]]="Female",'Defaults and Lookup Lists'!$B$4,IF(MergeNamesTable[[#This Row],[Tee Markers]]="","",MergeNamesTable[[#This Row],[Tee Markers]]))</f>
        <v/>
      </c>
      <c r="CL10" s="7" t="str">
        <f>IF(MergeNamesTable[[#This Row],[Player 2 Tees]]="","",VLOOKUP(MergeNamesTable[[#This Row],[Player 2 Tees]],TeeMarkerTable,23,FALSE))</f>
        <v/>
      </c>
      <c r="CM10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0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0" s="218"/>
      <c r="CP10" s="219"/>
      <c r="CQ10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0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0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0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0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0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0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0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0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0" s="7" t="str">
        <f>IF(MergeNamesTable[[#This Row],[Player 3 Tees]]="","",VLOOKUP(MergeNamesTable[[#This Row],[Player 3 Tees]],TeeMarkerTable,23,FALSE))</f>
        <v/>
      </c>
      <c r="DA10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0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0" s="218"/>
      <c r="DD10" s="212"/>
      <c r="DE10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0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0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0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0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0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0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0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0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0" s="7" t="str">
        <f>IF(MergeNamesTable[[#This Row],[Player 4 Tees]]="","",VLOOKUP(MergeNamesTable[[#This Row],[Player 4 Tees]],TeeMarkerTable,23,FALSE))</f>
        <v/>
      </c>
      <c r="DO10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0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0" s="225"/>
      <c r="DR10" s="226"/>
      <c r="DS10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0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0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0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0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0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0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0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0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0" s="161" t="str">
        <f>IF(MergeNamesTable[[#This Row],[Player 5 Tees]]="","",VLOOKUP(MergeNamesTable[[#This Row],[Player 5 Tees]],TeeMarkerTable,23,FALSE))</f>
        <v/>
      </c>
      <c r="EC10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0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0" s="230"/>
      <c r="EF10" s="73"/>
      <c r="EG10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0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0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0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0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0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0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0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0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0" s="107"/>
      <c r="EQ10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0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0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0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0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0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0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0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0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0" s="77"/>
      <c r="FA10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0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0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0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0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0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0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0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0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0" s="110"/>
      <c r="FK10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0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0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0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0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0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0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0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0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0" s="77"/>
      <c r="FU10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0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0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0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0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0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0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0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0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0" s="107"/>
      <c r="GE10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0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0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0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0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0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0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0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0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0" s="77"/>
      <c r="GO10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0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0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0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0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0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0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0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0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0" s="79"/>
      <c r="GY10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0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0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0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0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0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0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0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0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0" s="78"/>
      <c r="HI10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0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0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0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0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0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0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0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0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0" s="78"/>
      <c r="HS10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0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0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0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0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0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0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0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0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0" s="78"/>
    </row>
    <row r="11" spans="1:236" ht="21" customHeight="1">
      <c r="A11" s="365">
        <v>10</v>
      </c>
      <c r="B11" s="362" t="str">
        <f>MergeNamesTable[[#This Row],[Team Name Concat]]</f>
        <v/>
      </c>
      <c r="C11" s="59" t="str">
        <f>UPPER(MergeNamesTable[[#This Row],[Team Name]])</f>
        <v/>
      </c>
      <c r="D11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1" s="60" t="str">
        <f>UPPER(MergeNamesTable[[#This Row],[Team Name Concat]])</f>
        <v/>
      </c>
      <c r="F11" s="61">
        <f>MergeNamesTable[[#This Row],[Player 1 Handicap]]+MergeNamesTable[[#This Row],[Player 2 Handicap]]+MergeNamesTable[[#This Row],[Player 3 Handicap]]+MergeNamesTable[[#This Row],[Player 4 Handicap]]</f>
        <v>0</v>
      </c>
      <c r="G11" s="62">
        <f>IF(ISERROR(MergeNamesTable[[#This Row],[Handicap Team Total]]/4),0,ROUND(MergeNamesTable[[#This Row],[Handicap Team Total]]/4,0))</f>
        <v>0</v>
      </c>
      <c r="H11" s="62">
        <f>ROUND(((MergeNamesTable[[#This Row],[Player 1 Handicap]]+MergeNamesTable[[#This Row],[Player 2 Handicap]])*0.25)*0.335,0)</f>
        <v>0</v>
      </c>
      <c r="I11" s="62">
        <f>ROUND(((MergeNamesTable[[#This Row],[Player 1 Handicap]]+MergeNamesTable[[#This Row],[Player 2 Handicap]])*0.5)*0.335,0)</f>
        <v>0</v>
      </c>
      <c r="J11" s="63"/>
      <c r="K11" s="64" t="str">
        <f>IF(OR(MergeNamesTable[[#This Row],[Team Name]]&lt;&gt;"",MergeNamesTable[[#This Row],[Player 1 First Last]]&lt;&gt;""),'Defaults and Lookup Lists'!$B$2,"")</f>
        <v/>
      </c>
      <c r="L11" s="201"/>
      <c r="M11" s="65" t="str">
        <f>IF(OR(MergeNamesTable[[#This Row],[Team Name]]&lt;&gt;"",MergeNamesTable[[#This Row],[Player 1 First Last]]&lt;&gt;""),TEXT('Defaults and Lookup Lists'!$B$7,"ddd, mmm d, yyyy"),"")</f>
        <v/>
      </c>
      <c r="N11" s="311" t="str">
        <f>IF(OR(MergeNamesTable[[#This Row],[Team Name]]&lt;&gt;"",MergeNamesTable[[#This Row],[Player 1 First Last]]&lt;&gt;""),IF('Defaults and Lookup Lists'!$D$3="","",'Defaults and Lookup Lists'!$D$3),"")</f>
        <v/>
      </c>
      <c r="O11" s="247" t="str">
        <f>IF(OR(MergeNamesTable[[#This Row],[Team Name]]&lt;&gt;"",MergeNamesTable[[#This Row],[Player 1 First Last]]&lt;&gt;""),IF('Defaults and Lookup Lists'!$D$4="","",'Defaults and Lookup Lists'!$D$4),"")</f>
        <v/>
      </c>
      <c r="P11" s="247" t="str">
        <f>IF(OR(MergeNamesTable[[#This Row],[Team Name]]&lt;&gt;"",MergeNamesTable[[#This Row],[Player 1 First Last]]&lt;&gt;""),IF('Defaults and Lookup Lists'!$D$2="Shotgun","A",""),"")</f>
        <v/>
      </c>
      <c r="Q11" s="220" t="str">
        <f>IF(OR(MergeNamesTable[[#This Row],[Team Name]]&lt;&gt;"",MergeNamesTable[[#This Row],[Player 1 First Last]]&lt;&gt;""),IF('Defaults and Lookup Lists'!$B$6="","",'Defaults and Lookup Lists'!$B$6),"")</f>
        <v/>
      </c>
      <c r="R11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1" s="312" t="str">
        <f>IF(MergeNamesTable[[#This Row],[Entry Fee Team]]="","",MergeNamesTable[[#This Row],[Entry Fee Team]]-MergeNamesTable[[#This Row],[Entry Fee Paid]])</f>
        <v/>
      </c>
      <c r="T11" s="201"/>
      <c r="U11" s="201"/>
      <c r="V11" s="201"/>
      <c r="W11" s="201" t="str">
        <f>IF(OR(MergeNamesTable[[#This Row],[Team Name]]&lt;&gt;"",MergeNamesTable[[#This Row],[Player 1 First Last]]&lt;&gt;""),'Defaults and Lookup Lists'!$B$3,"")</f>
        <v/>
      </c>
      <c r="X11" s="67" t="str">
        <f>IF(MergeNamesTable[[#This Row],[Tee Markers]]="","",VLOOKUP(MergeNamesTable[[#This Row],[Tee Markers]],TeeMarkerTable,23,FALSE))</f>
        <v/>
      </c>
      <c r="Y11" s="59" t="str">
        <f>UPPER(MergeNamesTable[[#This Row],[Tournament]])</f>
        <v/>
      </c>
      <c r="Z11" s="6" t="str">
        <f>UPPER(MergeNamesTable[[#This Row],[Flight]])</f>
        <v/>
      </c>
      <c r="AA11" s="6" t="str">
        <f>UPPER(MergeNamesTable[[#This Row],[Tee Markers]])</f>
        <v/>
      </c>
      <c r="AB11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1" s="68" t="str">
        <f>IF(MergeNamesTable[[#This Row],[Start Time Day 2]]="","",TEXT(MergeNamesTable[[#This Row],[Start Time Day 2]],"HH:MM AM/PM"))</f>
        <v/>
      </c>
      <c r="AD11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1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1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1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1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1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1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1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1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1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1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1" s="72" t="str">
        <f>TEXT(MergeNamesTable[[#This Row],[Player 1 Handicap]],"##;+##;")</f>
        <v/>
      </c>
      <c r="AP11" s="7" t="str">
        <f>TEXT(MergeNamesTable[[#This Row],[Player 2 Handicap]],"##;+##;")</f>
        <v/>
      </c>
      <c r="AQ11" s="7" t="str">
        <f>TEXT(MergeNamesTable[[#This Row],[Player 3 Handicap]],"##;+##;")</f>
        <v/>
      </c>
      <c r="AR11" s="67" t="str">
        <f>TEXT(MergeNamesTable[[#This Row],[Player 4 Handicap]],"##;+##;")</f>
        <v/>
      </c>
      <c r="AS11" s="131" t="str">
        <f>TEXT(MergeNamesTable[[#This Row],[Player 5 Handicap]],"##;+##;")</f>
        <v/>
      </c>
      <c r="AT11" s="59" t="str">
        <f>UPPER(MergeNamesTable[[#This Row],[Player 1 First Last]])</f>
        <v/>
      </c>
      <c r="AU11" s="6" t="str">
        <f>UPPER(MergeNamesTable[[#This Row],[Player 2 First Last]])</f>
        <v/>
      </c>
      <c r="AV11" s="6" t="str">
        <f>UPPER(MergeNamesTable[[#This Row],[Player 3 First Last]])</f>
        <v/>
      </c>
      <c r="AW11" s="6" t="str">
        <f>UPPER(MergeNamesTable[[#This Row],[Player 4 First Last]])</f>
        <v/>
      </c>
      <c r="AX11" s="344" t="str">
        <f>UPPER(MergeNamesTable[[#This Row],[Player 5 First Last]])</f>
        <v/>
      </c>
      <c r="AY11" s="59" t="str">
        <f>UPPER(MergeNamesTable[[#This Row],[Player 1 First]])</f>
        <v/>
      </c>
      <c r="AZ11" s="6" t="str">
        <f>UPPER(MergeNamesTable[[#This Row],[Player 2 First]])</f>
        <v/>
      </c>
      <c r="BA11" s="6" t="str">
        <f>UPPER(MergeNamesTable[[#This Row],[Player 3 First]])</f>
        <v/>
      </c>
      <c r="BB11" s="6" t="str">
        <f>UPPER(MergeNamesTable[[#This Row],[Player 4 First]])</f>
        <v/>
      </c>
      <c r="BC11" s="344" t="str">
        <f>UPPER(MergeNamesTable[[#This Row],[Player 5 First]])</f>
        <v/>
      </c>
      <c r="BD11" s="59" t="str">
        <f>UPPER(MergeNamesTable[[#This Row],[Player 1 Last]])</f>
        <v/>
      </c>
      <c r="BE11" s="6" t="str">
        <f>UPPER(MergeNamesTable[[#This Row],[Player 2 Last]])</f>
        <v/>
      </c>
      <c r="BF11" s="6" t="str">
        <f>UPPER(MergeNamesTable[[#This Row],[Player 3 Last]])</f>
        <v/>
      </c>
      <c r="BG11" s="6" t="str">
        <f>UPPER(MergeNamesTable[[#This Row],[Player 4 Last]])</f>
        <v/>
      </c>
      <c r="BH11" s="344" t="str">
        <f>UPPER(MergeNamesTable[[#This Row],[Player 5 Last]])</f>
        <v/>
      </c>
      <c r="BI11" s="59" t="str">
        <f>UPPER(MergeNamesTable[[#This Row],[Player 1 Club]])</f>
        <v/>
      </c>
      <c r="BJ11" s="6" t="str">
        <f>UPPER(MergeNamesTable[[#This Row],[Player 2 Club]])</f>
        <v/>
      </c>
      <c r="BK11" s="6" t="str">
        <f>UPPER(MergeNamesTable[[#This Row],[Player 3 Club]])</f>
        <v/>
      </c>
      <c r="BL11" s="6" t="str">
        <f>UPPER(MergeNamesTable[[#This Row],[Player 4 Club]])</f>
        <v/>
      </c>
      <c r="BM11" s="344" t="str">
        <f>UPPER(MergeNamesTable[[#This Row],[Player 5 Club]])</f>
        <v/>
      </c>
      <c r="BN11" s="212"/>
      <c r="BO11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1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1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1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1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1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1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1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1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1" s="70" t="str">
        <f>IF(MergeNamesTable[[#This Row],[Player 1 Tees]]="","",VLOOKUP(MergeNamesTable[[#This Row],[Player 1 Tees]],TeeMarkerTable,23,FALSE))</f>
        <v/>
      </c>
      <c r="BY11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1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1" s="218"/>
      <c r="CB11" s="219"/>
      <c r="CC11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1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1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1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1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1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1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1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1" s="214" t="str">
        <f>IF(MergeNamesTable[[#This Row],[Player 2 Male]]="Female",'Defaults and Lookup Lists'!$B$4,IF(MergeNamesTable[[#This Row],[Tee Markers]]="","",MergeNamesTable[[#This Row],[Tee Markers]]))</f>
        <v/>
      </c>
      <c r="CL11" s="7" t="str">
        <f>IF(MergeNamesTable[[#This Row],[Player 2 Tees]]="","",VLOOKUP(MergeNamesTable[[#This Row],[Player 2 Tees]],TeeMarkerTable,23,FALSE))</f>
        <v/>
      </c>
      <c r="CM11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1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1" s="218"/>
      <c r="CP11" s="219"/>
      <c r="CQ11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1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1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1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1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1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1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1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1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1" s="7" t="str">
        <f>IF(MergeNamesTable[[#This Row],[Player 3 Tees]]="","",VLOOKUP(MergeNamesTable[[#This Row],[Player 3 Tees]],TeeMarkerTable,23,FALSE))</f>
        <v/>
      </c>
      <c r="DA11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1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1" s="218"/>
      <c r="DD11" s="212"/>
      <c r="DE11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1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1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1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1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1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1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1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1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1" s="7" t="str">
        <f>IF(MergeNamesTable[[#This Row],[Player 4 Tees]]="","",VLOOKUP(MergeNamesTable[[#This Row],[Player 4 Tees]],TeeMarkerTable,23,FALSE))</f>
        <v/>
      </c>
      <c r="DO11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1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1" s="225"/>
      <c r="DR11" s="226"/>
      <c r="DS11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1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1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1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1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1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1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1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1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1" s="161" t="str">
        <f>IF(MergeNamesTable[[#This Row],[Player 5 Tees]]="","",VLOOKUP(MergeNamesTable[[#This Row],[Player 5 Tees]],TeeMarkerTable,23,FALSE))</f>
        <v/>
      </c>
      <c r="EC11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1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1" s="230"/>
      <c r="EF11" s="73"/>
      <c r="EG11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1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1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1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1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1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1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1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1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1" s="107"/>
      <c r="EQ11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1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1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1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1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1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1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1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1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1" s="77"/>
      <c r="FA11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1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1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1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1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1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1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1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1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1" s="110"/>
      <c r="FK11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1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1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1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1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1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1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1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1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1" s="77"/>
      <c r="FU11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1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1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1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1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1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1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1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1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1" s="107"/>
      <c r="GE11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1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1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1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1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1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1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1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1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1" s="77"/>
      <c r="GO11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1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1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1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1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1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1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1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1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1" s="79"/>
      <c r="GY11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1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1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1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1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1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1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1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1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1" s="78"/>
      <c r="HI11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1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1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1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1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1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1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1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1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1" s="78"/>
      <c r="HS11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1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1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1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1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1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1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1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1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1" s="78"/>
    </row>
    <row r="12" spans="1:236" ht="21" customHeight="1">
      <c r="A12" s="365">
        <v>11</v>
      </c>
      <c r="B12" s="362" t="str">
        <f>MergeNamesTable[[#This Row],[Team Name Concat]]</f>
        <v/>
      </c>
      <c r="C12" s="59" t="str">
        <f>UPPER(MergeNamesTable[[#This Row],[Team Name]])</f>
        <v/>
      </c>
      <c r="D12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2" s="60" t="str">
        <f>UPPER(MergeNamesTable[[#This Row],[Team Name Concat]])</f>
        <v/>
      </c>
      <c r="F12" s="61">
        <f>MergeNamesTable[[#This Row],[Player 1 Handicap]]+MergeNamesTable[[#This Row],[Player 2 Handicap]]+MergeNamesTable[[#This Row],[Player 3 Handicap]]+MergeNamesTable[[#This Row],[Player 4 Handicap]]</f>
        <v>0</v>
      </c>
      <c r="G12" s="62">
        <f>IF(ISERROR(MergeNamesTable[[#This Row],[Handicap Team Total]]/4),0,ROUND(MergeNamesTable[[#This Row],[Handicap Team Total]]/4,0))</f>
        <v>0</v>
      </c>
      <c r="H12" s="62">
        <f>ROUND(((MergeNamesTable[[#This Row],[Player 1 Handicap]]+MergeNamesTable[[#This Row],[Player 2 Handicap]])*0.25)*0.335,0)</f>
        <v>0</v>
      </c>
      <c r="I12" s="62">
        <f>ROUND(((MergeNamesTable[[#This Row],[Player 1 Handicap]]+MergeNamesTable[[#This Row],[Player 2 Handicap]])*0.5)*0.335,0)</f>
        <v>0</v>
      </c>
      <c r="J12" s="63"/>
      <c r="K12" s="64" t="str">
        <f>IF(OR(MergeNamesTable[[#This Row],[Team Name]]&lt;&gt;"",MergeNamesTable[[#This Row],[Player 1 First Last]]&lt;&gt;""),'Defaults and Lookup Lists'!$B$2,"")</f>
        <v/>
      </c>
      <c r="L12" s="201"/>
      <c r="M12" s="65" t="str">
        <f>IF(OR(MergeNamesTable[[#This Row],[Team Name]]&lt;&gt;"",MergeNamesTable[[#This Row],[Player 1 First Last]]&lt;&gt;""),TEXT('Defaults and Lookup Lists'!$B$7,"ddd, mmm d, yyyy"),"")</f>
        <v/>
      </c>
      <c r="N12" s="311" t="str">
        <f>IF(OR(MergeNamesTable[[#This Row],[Team Name]]&lt;&gt;"",MergeNamesTable[[#This Row],[Player 1 First Last]]&lt;&gt;""),IF('Defaults and Lookup Lists'!$D$3="","",'Defaults and Lookup Lists'!$D$3),"")</f>
        <v/>
      </c>
      <c r="O12" s="247" t="str">
        <f>IF(OR(MergeNamesTable[[#This Row],[Team Name]]&lt;&gt;"",MergeNamesTable[[#This Row],[Player 1 First Last]]&lt;&gt;""),IF('Defaults and Lookup Lists'!$D$4="","",'Defaults and Lookup Lists'!$D$4),"")</f>
        <v/>
      </c>
      <c r="P12" s="247" t="str">
        <f>IF(OR(MergeNamesTable[[#This Row],[Team Name]]&lt;&gt;"",MergeNamesTable[[#This Row],[Player 1 First Last]]&lt;&gt;""),IF('Defaults and Lookup Lists'!$D$2="Shotgun","A",""),"")</f>
        <v/>
      </c>
      <c r="Q12" s="220" t="str">
        <f>IF(OR(MergeNamesTable[[#This Row],[Team Name]]&lt;&gt;"",MergeNamesTable[[#This Row],[Player 1 First Last]]&lt;&gt;""),IF('Defaults and Lookup Lists'!$B$6="","",'Defaults and Lookup Lists'!$B$6),"")</f>
        <v/>
      </c>
      <c r="R12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2" s="312" t="str">
        <f>IF(MergeNamesTable[[#This Row],[Entry Fee Team]]="","",MergeNamesTable[[#This Row],[Entry Fee Team]]-MergeNamesTable[[#This Row],[Entry Fee Paid]])</f>
        <v/>
      </c>
      <c r="T12" s="201"/>
      <c r="U12" s="201"/>
      <c r="V12" s="201"/>
      <c r="W12" s="201" t="str">
        <f>IF(OR(MergeNamesTable[[#This Row],[Team Name]]&lt;&gt;"",MergeNamesTable[[#This Row],[Player 1 First Last]]&lt;&gt;""),'Defaults and Lookup Lists'!$B$3,"")</f>
        <v/>
      </c>
      <c r="X12" s="67" t="str">
        <f>IF(MergeNamesTable[[#This Row],[Tee Markers]]="","",VLOOKUP(MergeNamesTable[[#This Row],[Tee Markers]],TeeMarkerTable,23,FALSE))</f>
        <v/>
      </c>
      <c r="Y12" s="59" t="str">
        <f>UPPER(MergeNamesTable[[#This Row],[Tournament]])</f>
        <v/>
      </c>
      <c r="Z12" s="6" t="str">
        <f>UPPER(MergeNamesTable[[#This Row],[Flight]])</f>
        <v/>
      </c>
      <c r="AA12" s="6" t="str">
        <f>UPPER(MergeNamesTable[[#This Row],[Tee Markers]])</f>
        <v/>
      </c>
      <c r="AB12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2" s="68" t="str">
        <f>IF(MergeNamesTable[[#This Row],[Start Time Day 2]]="","",TEXT(MergeNamesTable[[#This Row],[Start Time Day 2]],"HH:MM AM/PM"))</f>
        <v/>
      </c>
      <c r="AD12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2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2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2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2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2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2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2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2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2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2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2" s="72" t="str">
        <f>TEXT(MergeNamesTable[[#This Row],[Player 1 Handicap]],"##;+##;")</f>
        <v/>
      </c>
      <c r="AP12" s="7" t="str">
        <f>TEXT(MergeNamesTable[[#This Row],[Player 2 Handicap]],"##;+##;")</f>
        <v/>
      </c>
      <c r="AQ12" s="7" t="str">
        <f>TEXT(MergeNamesTable[[#This Row],[Player 3 Handicap]],"##;+##;")</f>
        <v/>
      </c>
      <c r="AR12" s="67" t="str">
        <f>TEXT(MergeNamesTable[[#This Row],[Player 4 Handicap]],"##;+##;")</f>
        <v/>
      </c>
      <c r="AS12" s="131" t="str">
        <f>TEXT(MergeNamesTable[[#This Row],[Player 5 Handicap]],"##;+##;")</f>
        <v/>
      </c>
      <c r="AT12" s="59" t="str">
        <f>UPPER(MergeNamesTable[[#This Row],[Player 1 First Last]])</f>
        <v/>
      </c>
      <c r="AU12" s="6" t="str">
        <f>UPPER(MergeNamesTable[[#This Row],[Player 2 First Last]])</f>
        <v/>
      </c>
      <c r="AV12" s="6" t="str">
        <f>UPPER(MergeNamesTable[[#This Row],[Player 3 First Last]])</f>
        <v/>
      </c>
      <c r="AW12" s="6" t="str">
        <f>UPPER(MergeNamesTable[[#This Row],[Player 4 First Last]])</f>
        <v/>
      </c>
      <c r="AX12" s="344" t="str">
        <f>UPPER(MergeNamesTable[[#This Row],[Player 5 First Last]])</f>
        <v/>
      </c>
      <c r="AY12" s="59" t="str">
        <f>UPPER(MergeNamesTable[[#This Row],[Player 1 First]])</f>
        <v/>
      </c>
      <c r="AZ12" s="6" t="str">
        <f>UPPER(MergeNamesTable[[#This Row],[Player 2 First]])</f>
        <v/>
      </c>
      <c r="BA12" s="6" t="str">
        <f>UPPER(MergeNamesTable[[#This Row],[Player 3 First]])</f>
        <v/>
      </c>
      <c r="BB12" s="6" t="str">
        <f>UPPER(MergeNamesTable[[#This Row],[Player 4 First]])</f>
        <v/>
      </c>
      <c r="BC12" s="344" t="str">
        <f>UPPER(MergeNamesTable[[#This Row],[Player 5 First]])</f>
        <v/>
      </c>
      <c r="BD12" s="59" t="str">
        <f>UPPER(MergeNamesTable[[#This Row],[Player 1 Last]])</f>
        <v/>
      </c>
      <c r="BE12" s="6" t="str">
        <f>UPPER(MergeNamesTable[[#This Row],[Player 2 Last]])</f>
        <v/>
      </c>
      <c r="BF12" s="6" t="str">
        <f>UPPER(MergeNamesTable[[#This Row],[Player 3 Last]])</f>
        <v/>
      </c>
      <c r="BG12" s="6" t="str">
        <f>UPPER(MergeNamesTable[[#This Row],[Player 4 Last]])</f>
        <v/>
      </c>
      <c r="BH12" s="344" t="str">
        <f>UPPER(MergeNamesTable[[#This Row],[Player 5 Last]])</f>
        <v/>
      </c>
      <c r="BI12" s="59" t="str">
        <f>UPPER(MergeNamesTable[[#This Row],[Player 1 Club]])</f>
        <v/>
      </c>
      <c r="BJ12" s="6" t="str">
        <f>UPPER(MergeNamesTable[[#This Row],[Player 2 Club]])</f>
        <v/>
      </c>
      <c r="BK12" s="6" t="str">
        <f>UPPER(MergeNamesTable[[#This Row],[Player 3 Club]])</f>
        <v/>
      </c>
      <c r="BL12" s="6" t="str">
        <f>UPPER(MergeNamesTable[[#This Row],[Player 4 Club]])</f>
        <v/>
      </c>
      <c r="BM12" s="344" t="str">
        <f>UPPER(MergeNamesTable[[#This Row],[Player 5 Club]])</f>
        <v/>
      </c>
      <c r="BN12" s="212"/>
      <c r="BO12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2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2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2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2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2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2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2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2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2" s="70" t="str">
        <f>IF(MergeNamesTable[[#This Row],[Player 1 Tees]]="","",VLOOKUP(MergeNamesTable[[#This Row],[Player 1 Tees]],TeeMarkerTable,23,FALSE))</f>
        <v/>
      </c>
      <c r="BY12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2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2" s="218"/>
      <c r="CB12" s="219"/>
      <c r="CC12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2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2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2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2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2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2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2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2" s="214" t="str">
        <f>IF(MergeNamesTable[[#This Row],[Player 2 Male]]="Female",'Defaults and Lookup Lists'!$B$4,IF(MergeNamesTable[[#This Row],[Tee Markers]]="","",MergeNamesTable[[#This Row],[Tee Markers]]))</f>
        <v/>
      </c>
      <c r="CL12" s="7" t="str">
        <f>IF(MergeNamesTable[[#This Row],[Player 2 Tees]]="","",VLOOKUP(MergeNamesTable[[#This Row],[Player 2 Tees]],TeeMarkerTable,23,FALSE))</f>
        <v/>
      </c>
      <c r="CM12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2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2" s="218"/>
      <c r="CP12" s="219"/>
      <c r="CQ12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2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2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2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2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2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2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2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2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2" s="7" t="str">
        <f>IF(MergeNamesTable[[#This Row],[Player 3 Tees]]="","",VLOOKUP(MergeNamesTable[[#This Row],[Player 3 Tees]],TeeMarkerTable,23,FALSE))</f>
        <v/>
      </c>
      <c r="DA12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2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2" s="218"/>
      <c r="DD12" s="212"/>
      <c r="DE12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2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2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2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2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2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2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2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2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2" s="7" t="str">
        <f>IF(MergeNamesTable[[#This Row],[Player 4 Tees]]="","",VLOOKUP(MergeNamesTable[[#This Row],[Player 4 Tees]],TeeMarkerTable,23,FALSE))</f>
        <v/>
      </c>
      <c r="DO12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2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2" s="225"/>
      <c r="DR12" s="226"/>
      <c r="DS12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2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2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2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2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2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2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2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2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2" s="161" t="str">
        <f>IF(MergeNamesTable[[#This Row],[Player 5 Tees]]="","",VLOOKUP(MergeNamesTable[[#This Row],[Player 5 Tees]],TeeMarkerTable,23,FALSE))</f>
        <v/>
      </c>
      <c r="EC12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2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2" s="230"/>
      <c r="EF12" s="73"/>
      <c r="EG12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2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2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2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2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2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2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2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2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2" s="107"/>
      <c r="EQ12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2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2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2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2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2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2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2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2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2" s="77"/>
      <c r="FA12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2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2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2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2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2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2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2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2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2" s="110"/>
      <c r="FK12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2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2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2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2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2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2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2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2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2" s="77"/>
      <c r="FU12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2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2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2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2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2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2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2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2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2" s="107"/>
      <c r="GE12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2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2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2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2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2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2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2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2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2" s="77"/>
      <c r="GO12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2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2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2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2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2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2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2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2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2" s="79"/>
      <c r="GY12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2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2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2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2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2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2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2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2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2" s="78"/>
      <c r="HI12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2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2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2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2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2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2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2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2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2" s="78"/>
      <c r="HS12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2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2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2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2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2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2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2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2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2" s="78"/>
    </row>
    <row r="13" spans="1:236" ht="21" customHeight="1">
      <c r="A13" s="365">
        <v>12</v>
      </c>
      <c r="B13" s="362" t="str">
        <f>MergeNamesTable[[#This Row],[Team Name Concat]]</f>
        <v/>
      </c>
      <c r="C13" s="59" t="str">
        <f>UPPER(MergeNamesTable[[#This Row],[Team Name]])</f>
        <v/>
      </c>
      <c r="D13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3" s="60" t="str">
        <f>UPPER(MergeNamesTable[[#This Row],[Team Name Concat]])</f>
        <v/>
      </c>
      <c r="F13" s="61">
        <f>MergeNamesTable[[#This Row],[Player 1 Handicap]]+MergeNamesTable[[#This Row],[Player 2 Handicap]]+MergeNamesTable[[#This Row],[Player 3 Handicap]]+MergeNamesTable[[#This Row],[Player 4 Handicap]]</f>
        <v>0</v>
      </c>
      <c r="G13" s="62">
        <f>IF(ISERROR(MergeNamesTable[[#This Row],[Handicap Team Total]]/4),0,ROUND(MergeNamesTable[[#This Row],[Handicap Team Total]]/4,0))</f>
        <v>0</v>
      </c>
      <c r="H13" s="62">
        <f>ROUND(((MergeNamesTable[[#This Row],[Player 1 Handicap]]+MergeNamesTable[[#This Row],[Player 2 Handicap]])*0.25)*0.335,0)</f>
        <v>0</v>
      </c>
      <c r="I13" s="62">
        <f>ROUND(((MergeNamesTable[[#This Row],[Player 1 Handicap]]+MergeNamesTable[[#This Row],[Player 2 Handicap]])*0.5)*0.335,0)</f>
        <v>0</v>
      </c>
      <c r="J13" s="63"/>
      <c r="K13" s="64" t="str">
        <f>IF(OR(MergeNamesTable[[#This Row],[Team Name]]&lt;&gt;"",MergeNamesTable[[#This Row],[Player 1 First Last]]&lt;&gt;""),'Defaults and Lookup Lists'!$B$2,"")</f>
        <v/>
      </c>
      <c r="L13" s="201"/>
      <c r="M13" s="65" t="str">
        <f>IF(OR(MergeNamesTable[[#This Row],[Team Name]]&lt;&gt;"",MergeNamesTable[[#This Row],[Player 1 First Last]]&lt;&gt;""),TEXT('Defaults and Lookup Lists'!$B$7,"ddd, mmm d, yyyy"),"")</f>
        <v/>
      </c>
      <c r="N13" s="311" t="str">
        <f>IF(OR(MergeNamesTable[[#This Row],[Team Name]]&lt;&gt;"",MergeNamesTable[[#This Row],[Player 1 First Last]]&lt;&gt;""),IF('Defaults and Lookup Lists'!$D$3="","",'Defaults and Lookup Lists'!$D$3),"")</f>
        <v/>
      </c>
      <c r="O13" s="247" t="str">
        <f>IF(OR(MergeNamesTable[[#This Row],[Team Name]]&lt;&gt;"",MergeNamesTable[[#This Row],[Player 1 First Last]]&lt;&gt;""),IF('Defaults and Lookup Lists'!$D$4="","",'Defaults and Lookup Lists'!$D$4),"")</f>
        <v/>
      </c>
      <c r="P13" s="247" t="str">
        <f>IF(OR(MergeNamesTable[[#This Row],[Team Name]]&lt;&gt;"",MergeNamesTable[[#This Row],[Player 1 First Last]]&lt;&gt;""),IF('Defaults and Lookup Lists'!$D$2="Shotgun","A",""),"")</f>
        <v/>
      </c>
      <c r="Q13" s="220" t="str">
        <f>IF(OR(MergeNamesTable[[#This Row],[Team Name]]&lt;&gt;"",MergeNamesTable[[#This Row],[Player 1 First Last]]&lt;&gt;""),IF('Defaults and Lookup Lists'!$B$6="","",'Defaults and Lookup Lists'!$B$6),"")</f>
        <v/>
      </c>
      <c r="R13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3" s="312" t="str">
        <f>IF(MergeNamesTable[[#This Row],[Entry Fee Team]]="","",MergeNamesTable[[#This Row],[Entry Fee Team]]-MergeNamesTable[[#This Row],[Entry Fee Paid]])</f>
        <v/>
      </c>
      <c r="T13" s="201"/>
      <c r="U13" s="201"/>
      <c r="V13" s="201"/>
      <c r="W13" s="201" t="str">
        <f>IF(OR(MergeNamesTable[[#This Row],[Team Name]]&lt;&gt;"",MergeNamesTable[[#This Row],[Player 1 First Last]]&lt;&gt;""),'Defaults and Lookup Lists'!$B$3,"")</f>
        <v/>
      </c>
      <c r="X13" s="67" t="str">
        <f>IF(MergeNamesTable[[#This Row],[Tee Markers]]="","",VLOOKUP(MergeNamesTable[[#This Row],[Tee Markers]],TeeMarkerTable,23,FALSE))</f>
        <v/>
      </c>
      <c r="Y13" s="59" t="str">
        <f>UPPER(MergeNamesTable[[#This Row],[Tournament]])</f>
        <v/>
      </c>
      <c r="Z13" s="6" t="str">
        <f>UPPER(MergeNamesTable[[#This Row],[Flight]])</f>
        <v/>
      </c>
      <c r="AA13" s="6" t="str">
        <f>UPPER(MergeNamesTable[[#This Row],[Tee Markers]])</f>
        <v/>
      </c>
      <c r="AB13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3" s="68" t="str">
        <f>IF(MergeNamesTable[[#This Row],[Start Time Day 2]]="","",TEXT(MergeNamesTable[[#This Row],[Start Time Day 2]],"HH:MM AM/PM"))</f>
        <v/>
      </c>
      <c r="AD13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3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3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3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3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3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3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3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3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3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3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3" s="72" t="str">
        <f>TEXT(MergeNamesTable[[#This Row],[Player 1 Handicap]],"##;+##;")</f>
        <v/>
      </c>
      <c r="AP13" s="7" t="str">
        <f>TEXT(MergeNamesTable[[#This Row],[Player 2 Handicap]],"##;+##;")</f>
        <v/>
      </c>
      <c r="AQ13" s="7" t="str">
        <f>TEXT(MergeNamesTable[[#This Row],[Player 3 Handicap]],"##;+##;")</f>
        <v/>
      </c>
      <c r="AR13" s="67" t="str">
        <f>TEXT(MergeNamesTable[[#This Row],[Player 4 Handicap]],"##;+##;")</f>
        <v/>
      </c>
      <c r="AS13" s="131" t="str">
        <f>TEXT(MergeNamesTable[[#This Row],[Player 5 Handicap]],"##;+##;")</f>
        <v/>
      </c>
      <c r="AT13" s="59" t="str">
        <f>UPPER(MergeNamesTable[[#This Row],[Player 1 First Last]])</f>
        <v/>
      </c>
      <c r="AU13" s="6" t="str">
        <f>UPPER(MergeNamesTable[[#This Row],[Player 2 First Last]])</f>
        <v/>
      </c>
      <c r="AV13" s="6" t="str">
        <f>UPPER(MergeNamesTable[[#This Row],[Player 3 First Last]])</f>
        <v/>
      </c>
      <c r="AW13" s="6" t="str">
        <f>UPPER(MergeNamesTable[[#This Row],[Player 4 First Last]])</f>
        <v/>
      </c>
      <c r="AX13" s="344" t="str">
        <f>UPPER(MergeNamesTable[[#This Row],[Player 5 First Last]])</f>
        <v/>
      </c>
      <c r="AY13" s="59" t="str">
        <f>UPPER(MergeNamesTable[[#This Row],[Player 1 First]])</f>
        <v/>
      </c>
      <c r="AZ13" s="6" t="str">
        <f>UPPER(MergeNamesTable[[#This Row],[Player 2 First]])</f>
        <v/>
      </c>
      <c r="BA13" s="6" t="str">
        <f>UPPER(MergeNamesTable[[#This Row],[Player 3 First]])</f>
        <v/>
      </c>
      <c r="BB13" s="6" t="str">
        <f>UPPER(MergeNamesTable[[#This Row],[Player 4 First]])</f>
        <v/>
      </c>
      <c r="BC13" s="344" t="str">
        <f>UPPER(MergeNamesTable[[#This Row],[Player 5 First]])</f>
        <v/>
      </c>
      <c r="BD13" s="59" t="str">
        <f>UPPER(MergeNamesTable[[#This Row],[Player 1 Last]])</f>
        <v/>
      </c>
      <c r="BE13" s="6" t="str">
        <f>UPPER(MergeNamesTable[[#This Row],[Player 2 Last]])</f>
        <v/>
      </c>
      <c r="BF13" s="6" t="str">
        <f>UPPER(MergeNamesTable[[#This Row],[Player 3 Last]])</f>
        <v/>
      </c>
      <c r="BG13" s="6" t="str">
        <f>UPPER(MergeNamesTable[[#This Row],[Player 4 Last]])</f>
        <v/>
      </c>
      <c r="BH13" s="344" t="str">
        <f>UPPER(MergeNamesTable[[#This Row],[Player 5 Last]])</f>
        <v/>
      </c>
      <c r="BI13" s="59" t="str">
        <f>UPPER(MergeNamesTable[[#This Row],[Player 1 Club]])</f>
        <v/>
      </c>
      <c r="BJ13" s="6" t="str">
        <f>UPPER(MergeNamesTable[[#This Row],[Player 2 Club]])</f>
        <v/>
      </c>
      <c r="BK13" s="6" t="str">
        <f>UPPER(MergeNamesTable[[#This Row],[Player 3 Club]])</f>
        <v/>
      </c>
      <c r="BL13" s="6" t="str">
        <f>UPPER(MergeNamesTable[[#This Row],[Player 4 Club]])</f>
        <v/>
      </c>
      <c r="BM13" s="344" t="str">
        <f>UPPER(MergeNamesTable[[#This Row],[Player 5 Club]])</f>
        <v/>
      </c>
      <c r="BN13" s="212"/>
      <c r="BO13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3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3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3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3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3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3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3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3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3" s="70" t="str">
        <f>IF(MergeNamesTable[[#This Row],[Player 1 Tees]]="","",VLOOKUP(MergeNamesTable[[#This Row],[Player 1 Tees]],TeeMarkerTable,23,FALSE))</f>
        <v/>
      </c>
      <c r="BY13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3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3" s="218"/>
      <c r="CB13" s="219"/>
      <c r="CC13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3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3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3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3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3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3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3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3" s="214" t="str">
        <f>IF(MergeNamesTable[[#This Row],[Player 2 Male]]="Female",'Defaults and Lookup Lists'!$B$4,IF(MergeNamesTable[[#This Row],[Tee Markers]]="","",MergeNamesTable[[#This Row],[Tee Markers]]))</f>
        <v/>
      </c>
      <c r="CL13" s="7" t="str">
        <f>IF(MergeNamesTable[[#This Row],[Player 2 Tees]]="","",VLOOKUP(MergeNamesTable[[#This Row],[Player 2 Tees]],TeeMarkerTable,23,FALSE))</f>
        <v/>
      </c>
      <c r="CM13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3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3" s="218"/>
      <c r="CP13" s="219"/>
      <c r="CQ13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3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3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3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3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3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3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3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3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3" s="7" t="str">
        <f>IF(MergeNamesTable[[#This Row],[Player 3 Tees]]="","",VLOOKUP(MergeNamesTable[[#This Row],[Player 3 Tees]],TeeMarkerTable,23,FALSE))</f>
        <v/>
      </c>
      <c r="DA13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3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3" s="218"/>
      <c r="DD13" s="212"/>
      <c r="DE13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3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3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3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3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3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3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3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3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3" s="7" t="str">
        <f>IF(MergeNamesTable[[#This Row],[Player 4 Tees]]="","",VLOOKUP(MergeNamesTable[[#This Row],[Player 4 Tees]],TeeMarkerTable,23,FALSE))</f>
        <v/>
      </c>
      <c r="DO13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3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3" s="225"/>
      <c r="DR13" s="226"/>
      <c r="DS13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3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3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3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3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3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3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3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3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3" s="161" t="str">
        <f>IF(MergeNamesTable[[#This Row],[Player 5 Tees]]="","",VLOOKUP(MergeNamesTable[[#This Row],[Player 5 Tees]],TeeMarkerTable,23,FALSE))</f>
        <v/>
      </c>
      <c r="EC13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3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3" s="230"/>
      <c r="EF13" s="73"/>
      <c r="EG13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3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3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3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3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3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3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3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3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3" s="107"/>
      <c r="EQ13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3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3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3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3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3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3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3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3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3" s="77"/>
      <c r="FA13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3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3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3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3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3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3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3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3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3" s="110"/>
      <c r="FK13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3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3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3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3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3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3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3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3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3" s="77"/>
      <c r="FU13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3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3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3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3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3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3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3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3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3" s="107"/>
      <c r="GE13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3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3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3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3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3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3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3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3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3" s="77"/>
      <c r="GO13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3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3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3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3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3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3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3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3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3" s="79"/>
      <c r="GY13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3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3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3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3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3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3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3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3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3" s="78"/>
      <c r="HI13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3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3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3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3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3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3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3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3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3" s="78"/>
      <c r="HS13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3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3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3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3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3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3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3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3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3" s="78"/>
    </row>
    <row r="14" spans="1:236" ht="21" customHeight="1">
      <c r="A14" s="365">
        <v>13</v>
      </c>
      <c r="B14" s="362" t="str">
        <f>MergeNamesTable[[#This Row],[Team Name Concat]]</f>
        <v/>
      </c>
      <c r="C14" s="59" t="str">
        <f>UPPER(MergeNamesTable[[#This Row],[Team Name]])</f>
        <v/>
      </c>
      <c r="D14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4" s="60" t="str">
        <f>UPPER(MergeNamesTable[[#This Row],[Team Name Concat]])</f>
        <v/>
      </c>
      <c r="F14" s="61">
        <f>MergeNamesTable[[#This Row],[Player 1 Handicap]]+MergeNamesTable[[#This Row],[Player 2 Handicap]]+MergeNamesTable[[#This Row],[Player 3 Handicap]]+MergeNamesTable[[#This Row],[Player 4 Handicap]]</f>
        <v>0</v>
      </c>
      <c r="G14" s="62">
        <f>IF(ISERROR(MergeNamesTable[[#This Row],[Handicap Team Total]]/4),0,ROUND(MergeNamesTable[[#This Row],[Handicap Team Total]]/4,0))</f>
        <v>0</v>
      </c>
      <c r="H14" s="62">
        <f>ROUND(((MergeNamesTable[[#This Row],[Player 1 Handicap]]+MergeNamesTable[[#This Row],[Player 2 Handicap]])*0.25)*0.335,0)</f>
        <v>0</v>
      </c>
      <c r="I14" s="62">
        <f>ROUND(((MergeNamesTable[[#This Row],[Player 1 Handicap]]+MergeNamesTable[[#This Row],[Player 2 Handicap]])*0.5)*0.335,0)</f>
        <v>0</v>
      </c>
      <c r="J14" s="63"/>
      <c r="K14" s="64" t="str">
        <f>IF(OR(MergeNamesTable[[#This Row],[Team Name]]&lt;&gt;"",MergeNamesTable[[#This Row],[Player 1 First Last]]&lt;&gt;""),'Defaults and Lookup Lists'!$B$2,"")</f>
        <v/>
      </c>
      <c r="L14" s="201"/>
      <c r="M14" s="65" t="str">
        <f>IF(OR(MergeNamesTable[[#This Row],[Team Name]]&lt;&gt;"",MergeNamesTable[[#This Row],[Player 1 First Last]]&lt;&gt;""),TEXT('Defaults and Lookup Lists'!$B$7,"ddd, mmm d, yyyy"),"")</f>
        <v/>
      </c>
      <c r="N14" s="311" t="str">
        <f>IF(OR(MergeNamesTable[[#This Row],[Team Name]]&lt;&gt;"",MergeNamesTable[[#This Row],[Player 1 First Last]]&lt;&gt;""),IF('Defaults and Lookup Lists'!$D$3="","",'Defaults and Lookup Lists'!$D$3),"")</f>
        <v/>
      </c>
      <c r="O14" s="247" t="str">
        <f>IF(OR(MergeNamesTable[[#This Row],[Team Name]]&lt;&gt;"",MergeNamesTable[[#This Row],[Player 1 First Last]]&lt;&gt;""),IF('Defaults and Lookup Lists'!$D$4="","",'Defaults and Lookup Lists'!$D$4),"")</f>
        <v/>
      </c>
      <c r="P14" s="247" t="str">
        <f>IF(OR(MergeNamesTable[[#This Row],[Team Name]]&lt;&gt;"",MergeNamesTable[[#This Row],[Player 1 First Last]]&lt;&gt;""),IF('Defaults and Lookup Lists'!$D$2="Shotgun","A",""),"")</f>
        <v/>
      </c>
      <c r="Q14" s="220" t="str">
        <f>IF(OR(MergeNamesTable[[#This Row],[Team Name]]&lt;&gt;"",MergeNamesTable[[#This Row],[Player 1 First Last]]&lt;&gt;""),IF('Defaults and Lookup Lists'!$B$6="","",'Defaults and Lookup Lists'!$B$6),"")</f>
        <v/>
      </c>
      <c r="R14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4" s="312" t="str">
        <f>IF(MergeNamesTable[[#This Row],[Entry Fee Team]]="","",MergeNamesTable[[#This Row],[Entry Fee Team]]-MergeNamesTable[[#This Row],[Entry Fee Paid]])</f>
        <v/>
      </c>
      <c r="T14" s="201"/>
      <c r="U14" s="201"/>
      <c r="V14" s="201"/>
      <c r="W14" s="201" t="str">
        <f>IF(OR(MergeNamesTable[[#This Row],[Team Name]]&lt;&gt;"",MergeNamesTable[[#This Row],[Player 1 First Last]]&lt;&gt;""),'Defaults and Lookup Lists'!$B$3,"")</f>
        <v/>
      </c>
      <c r="X14" s="67" t="str">
        <f>IF(MergeNamesTable[[#This Row],[Tee Markers]]="","",VLOOKUP(MergeNamesTable[[#This Row],[Tee Markers]],TeeMarkerTable,23,FALSE))</f>
        <v/>
      </c>
      <c r="Y14" s="59" t="str">
        <f>UPPER(MergeNamesTable[[#This Row],[Tournament]])</f>
        <v/>
      </c>
      <c r="Z14" s="6" t="str">
        <f>UPPER(MergeNamesTable[[#This Row],[Flight]])</f>
        <v/>
      </c>
      <c r="AA14" s="6" t="str">
        <f>UPPER(MergeNamesTable[[#This Row],[Tee Markers]])</f>
        <v/>
      </c>
      <c r="AB14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4" s="68" t="str">
        <f>IF(MergeNamesTable[[#This Row],[Start Time Day 2]]="","",TEXT(MergeNamesTable[[#This Row],[Start Time Day 2]],"HH:MM AM/PM"))</f>
        <v/>
      </c>
      <c r="AD14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4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4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4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4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4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4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4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4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4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4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4" s="72" t="str">
        <f>TEXT(MergeNamesTable[[#This Row],[Player 1 Handicap]],"##;+##;")</f>
        <v/>
      </c>
      <c r="AP14" s="7" t="str">
        <f>TEXT(MergeNamesTable[[#This Row],[Player 2 Handicap]],"##;+##;")</f>
        <v/>
      </c>
      <c r="AQ14" s="7" t="str">
        <f>TEXT(MergeNamesTable[[#This Row],[Player 3 Handicap]],"##;+##;")</f>
        <v/>
      </c>
      <c r="AR14" s="67" t="str">
        <f>TEXT(MergeNamesTable[[#This Row],[Player 4 Handicap]],"##;+##;")</f>
        <v/>
      </c>
      <c r="AS14" s="131" t="str">
        <f>TEXT(MergeNamesTable[[#This Row],[Player 5 Handicap]],"##;+##;")</f>
        <v/>
      </c>
      <c r="AT14" s="59" t="str">
        <f>UPPER(MergeNamesTable[[#This Row],[Player 1 First Last]])</f>
        <v/>
      </c>
      <c r="AU14" s="6" t="str">
        <f>UPPER(MergeNamesTable[[#This Row],[Player 2 First Last]])</f>
        <v/>
      </c>
      <c r="AV14" s="6" t="str">
        <f>UPPER(MergeNamesTable[[#This Row],[Player 3 First Last]])</f>
        <v/>
      </c>
      <c r="AW14" s="6" t="str">
        <f>UPPER(MergeNamesTable[[#This Row],[Player 4 First Last]])</f>
        <v/>
      </c>
      <c r="AX14" s="344" t="str">
        <f>UPPER(MergeNamesTable[[#This Row],[Player 5 First Last]])</f>
        <v/>
      </c>
      <c r="AY14" s="59" t="str">
        <f>UPPER(MergeNamesTable[[#This Row],[Player 1 First]])</f>
        <v/>
      </c>
      <c r="AZ14" s="6" t="str">
        <f>UPPER(MergeNamesTable[[#This Row],[Player 2 First]])</f>
        <v/>
      </c>
      <c r="BA14" s="6" t="str">
        <f>UPPER(MergeNamesTable[[#This Row],[Player 3 First]])</f>
        <v/>
      </c>
      <c r="BB14" s="6" t="str">
        <f>UPPER(MergeNamesTable[[#This Row],[Player 4 First]])</f>
        <v/>
      </c>
      <c r="BC14" s="344" t="str">
        <f>UPPER(MergeNamesTable[[#This Row],[Player 5 First]])</f>
        <v/>
      </c>
      <c r="BD14" s="59" t="str">
        <f>UPPER(MergeNamesTable[[#This Row],[Player 1 Last]])</f>
        <v/>
      </c>
      <c r="BE14" s="6" t="str">
        <f>UPPER(MergeNamesTable[[#This Row],[Player 2 Last]])</f>
        <v/>
      </c>
      <c r="BF14" s="6" t="str">
        <f>UPPER(MergeNamesTable[[#This Row],[Player 3 Last]])</f>
        <v/>
      </c>
      <c r="BG14" s="6" t="str">
        <f>UPPER(MergeNamesTable[[#This Row],[Player 4 Last]])</f>
        <v/>
      </c>
      <c r="BH14" s="344" t="str">
        <f>UPPER(MergeNamesTable[[#This Row],[Player 5 Last]])</f>
        <v/>
      </c>
      <c r="BI14" s="59" t="str">
        <f>UPPER(MergeNamesTable[[#This Row],[Player 1 Club]])</f>
        <v/>
      </c>
      <c r="BJ14" s="6" t="str">
        <f>UPPER(MergeNamesTable[[#This Row],[Player 2 Club]])</f>
        <v/>
      </c>
      <c r="BK14" s="6" t="str">
        <f>UPPER(MergeNamesTable[[#This Row],[Player 3 Club]])</f>
        <v/>
      </c>
      <c r="BL14" s="6" t="str">
        <f>UPPER(MergeNamesTable[[#This Row],[Player 4 Club]])</f>
        <v/>
      </c>
      <c r="BM14" s="344" t="str">
        <f>UPPER(MergeNamesTable[[#This Row],[Player 5 Club]])</f>
        <v/>
      </c>
      <c r="BN14" s="212"/>
      <c r="BO14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4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4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4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4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4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4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4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4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4" s="70" t="str">
        <f>IF(MergeNamesTable[[#This Row],[Player 1 Tees]]="","",VLOOKUP(MergeNamesTable[[#This Row],[Player 1 Tees]],TeeMarkerTable,23,FALSE))</f>
        <v/>
      </c>
      <c r="BY14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4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4" s="218"/>
      <c r="CB14" s="219"/>
      <c r="CC14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4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4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4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4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4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4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4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4" s="214" t="str">
        <f>IF(MergeNamesTable[[#This Row],[Player 2 Male]]="Female",'Defaults and Lookup Lists'!$B$4,IF(MergeNamesTable[[#This Row],[Tee Markers]]="","",MergeNamesTable[[#This Row],[Tee Markers]]))</f>
        <v/>
      </c>
      <c r="CL14" s="7" t="str">
        <f>IF(MergeNamesTable[[#This Row],[Player 2 Tees]]="","",VLOOKUP(MergeNamesTable[[#This Row],[Player 2 Tees]],TeeMarkerTable,23,FALSE))</f>
        <v/>
      </c>
      <c r="CM14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4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4" s="218"/>
      <c r="CP14" s="219"/>
      <c r="CQ14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4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4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4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4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4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4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4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4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4" s="7" t="str">
        <f>IF(MergeNamesTable[[#This Row],[Player 3 Tees]]="","",VLOOKUP(MergeNamesTable[[#This Row],[Player 3 Tees]],TeeMarkerTable,23,FALSE))</f>
        <v/>
      </c>
      <c r="DA14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4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4" s="218"/>
      <c r="DD14" s="212"/>
      <c r="DE14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4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4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4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4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4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4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4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4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4" s="7" t="str">
        <f>IF(MergeNamesTable[[#This Row],[Player 4 Tees]]="","",VLOOKUP(MergeNamesTable[[#This Row],[Player 4 Tees]],TeeMarkerTable,23,FALSE))</f>
        <v/>
      </c>
      <c r="DO14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4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4" s="225"/>
      <c r="DR14" s="226"/>
      <c r="DS14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4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4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4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4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4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4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4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4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4" s="161" t="str">
        <f>IF(MergeNamesTable[[#This Row],[Player 5 Tees]]="","",VLOOKUP(MergeNamesTable[[#This Row],[Player 5 Tees]],TeeMarkerTable,23,FALSE))</f>
        <v/>
      </c>
      <c r="EC14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4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4" s="230"/>
      <c r="EF14" s="73"/>
      <c r="EG14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4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4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4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4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4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4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4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4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4" s="107"/>
      <c r="EQ14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4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4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4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4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4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4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4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4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4" s="77"/>
      <c r="FA14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4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4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4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4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4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4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4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4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4" s="110"/>
      <c r="FK14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4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4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4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4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4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4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4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4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4" s="77"/>
      <c r="FU14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4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4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4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4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4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4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4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4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4" s="107"/>
      <c r="GE14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4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4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4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4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4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4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4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4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4" s="77"/>
      <c r="GO14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4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4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4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4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4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4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4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4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4" s="79"/>
      <c r="GY14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4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4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4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4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4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4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4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4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4" s="78"/>
      <c r="HI14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4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4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4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4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4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4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4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4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4" s="78"/>
      <c r="HS14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4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4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4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4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4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4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4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4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4" s="78"/>
    </row>
    <row r="15" spans="1:236" ht="21" customHeight="1">
      <c r="A15" s="365">
        <v>14</v>
      </c>
      <c r="B15" s="362" t="str">
        <f>MergeNamesTable[[#This Row],[Team Name Concat]]</f>
        <v/>
      </c>
      <c r="C15" s="59" t="str">
        <f>UPPER(MergeNamesTable[[#This Row],[Team Name]])</f>
        <v/>
      </c>
      <c r="D15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5" s="60" t="str">
        <f>UPPER(MergeNamesTable[[#This Row],[Team Name Concat]])</f>
        <v/>
      </c>
      <c r="F15" s="61">
        <f>MergeNamesTable[[#This Row],[Player 1 Handicap]]+MergeNamesTable[[#This Row],[Player 2 Handicap]]+MergeNamesTable[[#This Row],[Player 3 Handicap]]+MergeNamesTable[[#This Row],[Player 4 Handicap]]</f>
        <v>0</v>
      </c>
      <c r="G15" s="62">
        <f>IF(ISERROR(MergeNamesTable[[#This Row],[Handicap Team Total]]/4),0,ROUND(MergeNamesTable[[#This Row],[Handicap Team Total]]/4,0))</f>
        <v>0</v>
      </c>
      <c r="H15" s="62">
        <f>ROUND(((MergeNamesTable[[#This Row],[Player 1 Handicap]]+MergeNamesTable[[#This Row],[Player 2 Handicap]])*0.25)*0.335,0)</f>
        <v>0</v>
      </c>
      <c r="I15" s="62">
        <f>ROUND(((MergeNamesTable[[#This Row],[Player 1 Handicap]]+MergeNamesTable[[#This Row],[Player 2 Handicap]])*0.5)*0.335,0)</f>
        <v>0</v>
      </c>
      <c r="J15" s="63"/>
      <c r="K15" s="64" t="str">
        <f>IF(OR(MergeNamesTable[[#This Row],[Team Name]]&lt;&gt;"",MergeNamesTable[[#This Row],[Player 1 First Last]]&lt;&gt;""),'Defaults and Lookup Lists'!$B$2,"")</f>
        <v/>
      </c>
      <c r="L15" s="201"/>
      <c r="M15" s="65" t="str">
        <f>IF(OR(MergeNamesTable[[#This Row],[Team Name]]&lt;&gt;"",MergeNamesTable[[#This Row],[Player 1 First Last]]&lt;&gt;""),TEXT('Defaults and Lookup Lists'!$B$7,"ddd, mmm d, yyyy"),"")</f>
        <v/>
      </c>
      <c r="N15" s="311" t="str">
        <f>IF(OR(MergeNamesTable[[#This Row],[Team Name]]&lt;&gt;"",MergeNamesTable[[#This Row],[Player 1 First Last]]&lt;&gt;""),IF('Defaults and Lookup Lists'!$D$3="","",'Defaults and Lookup Lists'!$D$3),"")</f>
        <v/>
      </c>
      <c r="O15" s="247" t="str">
        <f>IF(OR(MergeNamesTable[[#This Row],[Team Name]]&lt;&gt;"",MergeNamesTable[[#This Row],[Player 1 First Last]]&lt;&gt;""),IF('Defaults and Lookup Lists'!$D$4="","",'Defaults and Lookup Lists'!$D$4),"")</f>
        <v/>
      </c>
      <c r="P15" s="247" t="str">
        <f>IF(OR(MergeNamesTable[[#This Row],[Team Name]]&lt;&gt;"",MergeNamesTable[[#This Row],[Player 1 First Last]]&lt;&gt;""),IF('Defaults and Lookup Lists'!$D$2="Shotgun","A",""),"")</f>
        <v/>
      </c>
      <c r="Q15" s="220" t="str">
        <f>IF(OR(MergeNamesTable[[#This Row],[Team Name]]&lt;&gt;"",MergeNamesTable[[#This Row],[Player 1 First Last]]&lt;&gt;""),IF('Defaults and Lookup Lists'!$B$6="","",'Defaults and Lookup Lists'!$B$6),"")</f>
        <v/>
      </c>
      <c r="R15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5" s="312" t="str">
        <f>IF(MergeNamesTable[[#This Row],[Entry Fee Team]]="","",MergeNamesTable[[#This Row],[Entry Fee Team]]-MergeNamesTable[[#This Row],[Entry Fee Paid]])</f>
        <v/>
      </c>
      <c r="T15" s="201"/>
      <c r="U15" s="201"/>
      <c r="V15" s="201"/>
      <c r="W15" s="201" t="str">
        <f>IF(OR(MergeNamesTable[[#This Row],[Team Name]]&lt;&gt;"",MergeNamesTable[[#This Row],[Player 1 First Last]]&lt;&gt;""),'Defaults and Lookup Lists'!$B$3,"")</f>
        <v/>
      </c>
      <c r="X15" s="67" t="str">
        <f>IF(MergeNamesTable[[#This Row],[Tee Markers]]="","",VLOOKUP(MergeNamesTable[[#This Row],[Tee Markers]],TeeMarkerTable,23,FALSE))</f>
        <v/>
      </c>
      <c r="Y15" s="59" t="str">
        <f>UPPER(MergeNamesTable[[#This Row],[Tournament]])</f>
        <v/>
      </c>
      <c r="Z15" s="6" t="str">
        <f>UPPER(MergeNamesTable[[#This Row],[Flight]])</f>
        <v/>
      </c>
      <c r="AA15" s="6" t="str">
        <f>UPPER(MergeNamesTable[[#This Row],[Tee Markers]])</f>
        <v/>
      </c>
      <c r="AB15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5" s="68" t="str">
        <f>IF(MergeNamesTable[[#This Row],[Start Time Day 2]]="","",TEXT(MergeNamesTable[[#This Row],[Start Time Day 2]],"HH:MM AM/PM"))</f>
        <v/>
      </c>
      <c r="AD15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5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5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5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5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5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5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5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5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5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5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5" s="72" t="str">
        <f>TEXT(MergeNamesTable[[#This Row],[Player 1 Handicap]],"##;+##;")</f>
        <v/>
      </c>
      <c r="AP15" s="7" t="str">
        <f>TEXT(MergeNamesTable[[#This Row],[Player 2 Handicap]],"##;+##;")</f>
        <v/>
      </c>
      <c r="AQ15" s="7" t="str">
        <f>TEXT(MergeNamesTable[[#This Row],[Player 3 Handicap]],"##;+##;")</f>
        <v/>
      </c>
      <c r="AR15" s="67" t="str">
        <f>TEXT(MergeNamesTable[[#This Row],[Player 4 Handicap]],"##;+##;")</f>
        <v/>
      </c>
      <c r="AS15" s="131" t="str">
        <f>TEXT(MergeNamesTable[[#This Row],[Player 5 Handicap]],"##;+##;")</f>
        <v/>
      </c>
      <c r="AT15" s="59" t="str">
        <f>UPPER(MergeNamesTable[[#This Row],[Player 1 First Last]])</f>
        <v/>
      </c>
      <c r="AU15" s="6" t="str">
        <f>UPPER(MergeNamesTable[[#This Row],[Player 2 First Last]])</f>
        <v/>
      </c>
      <c r="AV15" s="6" t="str">
        <f>UPPER(MergeNamesTable[[#This Row],[Player 3 First Last]])</f>
        <v/>
      </c>
      <c r="AW15" s="6" t="str">
        <f>UPPER(MergeNamesTable[[#This Row],[Player 4 First Last]])</f>
        <v/>
      </c>
      <c r="AX15" s="344" t="str">
        <f>UPPER(MergeNamesTable[[#This Row],[Player 5 First Last]])</f>
        <v/>
      </c>
      <c r="AY15" s="59" t="str">
        <f>UPPER(MergeNamesTable[[#This Row],[Player 1 First]])</f>
        <v/>
      </c>
      <c r="AZ15" s="6" t="str">
        <f>UPPER(MergeNamesTable[[#This Row],[Player 2 First]])</f>
        <v/>
      </c>
      <c r="BA15" s="6" t="str">
        <f>UPPER(MergeNamesTable[[#This Row],[Player 3 First]])</f>
        <v/>
      </c>
      <c r="BB15" s="6" t="str">
        <f>UPPER(MergeNamesTable[[#This Row],[Player 4 First]])</f>
        <v/>
      </c>
      <c r="BC15" s="344" t="str">
        <f>UPPER(MergeNamesTable[[#This Row],[Player 5 First]])</f>
        <v/>
      </c>
      <c r="BD15" s="59" t="str">
        <f>UPPER(MergeNamesTable[[#This Row],[Player 1 Last]])</f>
        <v/>
      </c>
      <c r="BE15" s="6" t="str">
        <f>UPPER(MergeNamesTable[[#This Row],[Player 2 Last]])</f>
        <v/>
      </c>
      <c r="BF15" s="6" t="str">
        <f>UPPER(MergeNamesTable[[#This Row],[Player 3 Last]])</f>
        <v/>
      </c>
      <c r="BG15" s="6" t="str">
        <f>UPPER(MergeNamesTable[[#This Row],[Player 4 Last]])</f>
        <v/>
      </c>
      <c r="BH15" s="344" t="str">
        <f>UPPER(MergeNamesTable[[#This Row],[Player 5 Last]])</f>
        <v/>
      </c>
      <c r="BI15" s="59" t="str">
        <f>UPPER(MergeNamesTable[[#This Row],[Player 1 Club]])</f>
        <v/>
      </c>
      <c r="BJ15" s="6" t="str">
        <f>UPPER(MergeNamesTable[[#This Row],[Player 2 Club]])</f>
        <v/>
      </c>
      <c r="BK15" s="6" t="str">
        <f>UPPER(MergeNamesTable[[#This Row],[Player 3 Club]])</f>
        <v/>
      </c>
      <c r="BL15" s="6" t="str">
        <f>UPPER(MergeNamesTable[[#This Row],[Player 4 Club]])</f>
        <v/>
      </c>
      <c r="BM15" s="344" t="str">
        <f>UPPER(MergeNamesTable[[#This Row],[Player 5 Club]])</f>
        <v/>
      </c>
      <c r="BN15" s="212"/>
      <c r="BO15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5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5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5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5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5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5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5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5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5" s="70" t="str">
        <f>IF(MergeNamesTable[[#This Row],[Player 1 Tees]]="","",VLOOKUP(MergeNamesTable[[#This Row],[Player 1 Tees]],TeeMarkerTable,23,FALSE))</f>
        <v/>
      </c>
      <c r="BY15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5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5" s="218"/>
      <c r="CB15" s="219"/>
      <c r="CC15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5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5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5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5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5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5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5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5" s="214" t="str">
        <f>IF(MergeNamesTable[[#This Row],[Player 2 Male]]="Female",'Defaults and Lookup Lists'!$B$4,IF(MergeNamesTable[[#This Row],[Tee Markers]]="","",MergeNamesTable[[#This Row],[Tee Markers]]))</f>
        <v/>
      </c>
      <c r="CL15" s="7" t="str">
        <f>IF(MergeNamesTable[[#This Row],[Player 2 Tees]]="","",VLOOKUP(MergeNamesTable[[#This Row],[Player 2 Tees]],TeeMarkerTable,23,FALSE))</f>
        <v/>
      </c>
      <c r="CM15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5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5" s="218"/>
      <c r="CP15" s="219"/>
      <c r="CQ15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5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5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5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5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5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5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5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5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5" s="7" t="str">
        <f>IF(MergeNamesTable[[#This Row],[Player 3 Tees]]="","",VLOOKUP(MergeNamesTable[[#This Row],[Player 3 Tees]],TeeMarkerTable,23,FALSE))</f>
        <v/>
      </c>
      <c r="DA15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5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5" s="218"/>
      <c r="DD15" s="212"/>
      <c r="DE15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5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5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5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5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5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5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5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5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5" s="7" t="str">
        <f>IF(MergeNamesTable[[#This Row],[Player 4 Tees]]="","",VLOOKUP(MergeNamesTable[[#This Row],[Player 4 Tees]],TeeMarkerTable,23,FALSE))</f>
        <v/>
      </c>
      <c r="DO15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5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5" s="225"/>
      <c r="DR15" s="226"/>
      <c r="DS15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5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5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5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5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5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5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5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5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5" s="161" t="str">
        <f>IF(MergeNamesTable[[#This Row],[Player 5 Tees]]="","",VLOOKUP(MergeNamesTable[[#This Row],[Player 5 Tees]],TeeMarkerTable,23,FALSE))</f>
        <v/>
      </c>
      <c r="EC15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5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5" s="230"/>
      <c r="EF15" s="73"/>
      <c r="EG15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5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5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5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5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5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5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5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5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5" s="107"/>
      <c r="EQ15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5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5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5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5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5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5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5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5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5" s="77"/>
      <c r="FA15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5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5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5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5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5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5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5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5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5" s="110"/>
      <c r="FK15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5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5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5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5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5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5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5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5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5" s="77"/>
      <c r="FU15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5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5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5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5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5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5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5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5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5" s="107"/>
      <c r="GE15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5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5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5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5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5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5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5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5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5" s="77"/>
      <c r="GO15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5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5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5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5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5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5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5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5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5" s="79"/>
      <c r="GY15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5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5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5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5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5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5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5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5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5" s="78"/>
      <c r="HI15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5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5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5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5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5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5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5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5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5" s="78"/>
      <c r="HS15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5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5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5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5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5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5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5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5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5" s="78"/>
    </row>
    <row r="16" spans="1:236" ht="21" customHeight="1">
      <c r="A16" s="365">
        <v>15</v>
      </c>
      <c r="B16" s="362" t="str">
        <f>MergeNamesTable[[#This Row],[Team Name Concat]]</f>
        <v/>
      </c>
      <c r="C16" s="59" t="str">
        <f>UPPER(MergeNamesTable[[#This Row],[Team Name]])</f>
        <v/>
      </c>
      <c r="D16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6" s="60" t="str">
        <f>UPPER(MergeNamesTable[[#This Row],[Team Name Concat]])</f>
        <v/>
      </c>
      <c r="F16" s="61">
        <f>MergeNamesTable[[#This Row],[Player 1 Handicap]]+MergeNamesTable[[#This Row],[Player 2 Handicap]]+MergeNamesTable[[#This Row],[Player 3 Handicap]]+MergeNamesTable[[#This Row],[Player 4 Handicap]]</f>
        <v>0</v>
      </c>
      <c r="G16" s="62">
        <f>IF(ISERROR(MergeNamesTable[[#This Row],[Handicap Team Total]]/4),0,ROUND(MergeNamesTable[[#This Row],[Handicap Team Total]]/4,0))</f>
        <v>0</v>
      </c>
      <c r="H16" s="62">
        <f>ROUND(((MergeNamesTable[[#This Row],[Player 1 Handicap]]+MergeNamesTable[[#This Row],[Player 2 Handicap]])*0.25)*0.335,0)</f>
        <v>0</v>
      </c>
      <c r="I16" s="62">
        <f>ROUND(((MergeNamesTable[[#This Row],[Player 1 Handicap]]+MergeNamesTable[[#This Row],[Player 2 Handicap]])*0.5)*0.335,0)</f>
        <v>0</v>
      </c>
      <c r="J16" s="63"/>
      <c r="K16" s="64" t="str">
        <f>IF(OR(MergeNamesTable[[#This Row],[Team Name]]&lt;&gt;"",MergeNamesTable[[#This Row],[Player 1 First Last]]&lt;&gt;""),'Defaults and Lookup Lists'!$B$2,"")</f>
        <v/>
      </c>
      <c r="L16" s="201"/>
      <c r="M16" s="65" t="str">
        <f>IF(OR(MergeNamesTable[[#This Row],[Team Name]]&lt;&gt;"",MergeNamesTable[[#This Row],[Player 1 First Last]]&lt;&gt;""),TEXT('Defaults and Lookup Lists'!$B$7,"ddd, mmm d, yyyy"),"")</f>
        <v/>
      </c>
      <c r="N16" s="311" t="str">
        <f>IF(OR(MergeNamesTable[[#This Row],[Team Name]]&lt;&gt;"",MergeNamesTable[[#This Row],[Player 1 First Last]]&lt;&gt;""),IF('Defaults and Lookup Lists'!$D$3="","",'Defaults and Lookup Lists'!$D$3),"")</f>
        <v/>
      </c>
      <c r="O16" s="247" t="str">
        <f>IF(OR(MergeNamesTable[[#This Row],[Team Name]]&lt;&gt;"",MergeNamesTable[[#This Row],[Player 1 First Last]]&lt;&gt;""),IF('Defaults and Lookup Lists'!$D$4="","",'Defaults and Lookup Lists'!$D$4),"")</f>
        <v/>
      </c>
      <c r="P16" s="247" t="str">
        <f>IF(OR(MergeNamesTable[[#This Row],[Team Name]]&lt;&gt;"",MergeNamesTable[[#This Row],[Player 1 First Last]]&lt;&gt;""),IF('Defaults and Lookup Lists'!$D$2="Shotgun","A",""),"")</f>
        <v/>
      </c>
      <c r="Q16" s="220" t="str">
        <f>IF(OR(MergeNamesTable[[#This Row],[Team Name]]&lt;&gt;"",MergeNamesTable[[#This Row],[Player 1 First Last]]&lt;&gt;""),IF('Defaults and Lookup Lists'!$B$6="","",'Defaults and Lookup Lists'!$B$6),"")</f>
        <v/>
      </c>
      <c r="R16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6" s="312" t="str">
        <f>IF(MergeNamesTable[[#This Row],[Entry Fee Team]]="","",MergeNamesTable[[#This Row],[Entry Fee Team]]-MergeNamesTable[[#This Row],[Entry Fee Paid]])</f>
        <v/>
      </c>
      <c r="T16" s="201"/>
      <c r="U16" s="201"/>
      <c r="V16" s="201"/>
      <c r="W16" s="201" t="str">
        <f>IF(OR(MergeNamesTable[[#This Row],[Team Name]]&lt;&gt;"",MergeNamesTable[[#This Row],[Player 1 First Last]]&lt;&gt;""),'Defaults and Lookup Lists'!$B$3,"")</f>
        <v/>
      </c>
      <c r="X16" s="67" t="str">
        <f>IF(MergeNamesTable[[#This Row],[Tee Markers]]="","",VLOOKUP(MergeNamesTable[[#This Row],[Tee Markers]],TeeMarkerTable,23,FALSE))</f>
        <v/>
      </c>
      <c r="Y16" s="59" t="str">
        <f>UPPER(MergeNamesTable[[#This Row],[Tournament]])</f>
        <v/>
      </c>
      <c r="Z16" s="6" t="str">
        <f>UPPER(MergeNamesTable[[#This Row],[Flight]])</f>
        <v/>
      </c>
      <c r="AA16" s="6" t="str">
        <f>UPPER(MergeNamesTable[[#This Row],[Tee Markers]])</f>
        <v/>
      </c>
      <c r="AB16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6" s="68" t="str">
        <f>IF(MergeNamesTable[[#This Row],[Start Time Day 2]]="","",TEXT(MergeNamesTable[[#This Row],[Start Time Day 2]],"HH:MM AM/PM"))</f>
        <v/>
      </c>
      <c r="AD16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6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6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6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6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6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6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6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6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6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6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6" s="72" t="str">
        <f>TEXT(MergeNamesTable[[#This Row],[Player 1 Handicap]],"##;+##;")</f>
        <v/>
      </c>
      <c r="AP16" s="7" t="str">
        <f>TEXT(MergeNamesTable[[#This Row],[Player 2 Handicap]],"##;+##;")</f>
        <v/>
      </c>
      <c r="AQ16" s="7" t="str">
        <f>TEXT(MergeNamesTable[[#This Row],[Player 3 Handicap]],"##;+##;")</f>
        <v/>
      </c>
      <c r="AR16" s="67" t="str">
        <f>TEXT(MergeNamesTable[[#This Row],[Player 4 Handicap]],"##;+##;")</f>
        <v/>
      </c>
      <c r="AS16" s="131" t="str">
        <f>TEXT(MergeNamesTable[[#This Row],[Player 5 Handicap]],"##;+##;")</f>
        <v/>
      </c>
      <c r="AT16" s="59" t="str">
        <f>UPPER(MergeNamesTable[[#This Row],[Player 1 First Last]])</f>
        <v/>
      </c>
      <c r="AU16" s="6" t="str">
        <f>UPPER(MergeNamesTable[[#This Row],[Player 2 First Last]])</f>
        <v/>
      </c>
      <c r="AV16" s="6" t="str">
        <f>UPPER(MergeNamesTable[[#This Row],[Player 3 First Last]])</f>
        <v/>
      </c>
      <c r="AW16" s="6" t="str">
        <f>UPPER(MergeNamesTable[[#This Row],[Player 4 First Last]])</f>
        <v/>
      </c>
      <c r="AX16" s="344" t="str">
        <f>UPPER(MergeNamesTable[[#This Row],[Player 5 First Last]])</f>
        <v/>
      </c>
      <c r="AY16" s="59" t="str">
        <f>UPPER(MergeNamesTable[[#This Row],[Player 1 First]])</f>
        <v/>
      </c>
      <c r="AZ16" s="6" t="str">
        <f>UPPER(MergeNamesTable[[#This Row],[Player 2 First]])</f>
        <v/>
      </c>
      <c r="BA16" s="6" t="str">
        <f>UPPER(MergeNamesTable[[#This Row],[Player 3 First]])</f>
        <v/>
      </c>
      <c r="BB16" s="6" t="str">
        <f>UPPER(MergeNamesTable[[#This Row],[Player 4 First]])</f>
        <v/>
      </c>
      <c r="BC16" s="344" t="str">
        <f>UPPER(MergeNamesTable[[#This Row],[Player 5 First]])</f>
        <v/>
      </c>
      <c r="BD16" s="59" t="str">
        <f>UPPER(MergeNamesTable[[#This Row],[Player 1 Last]])</f>
        <v/>
      </c>
      <c r="BE16" s="6" t="str">
        <f>UPPER(MergeNamesTable[[#This Row],[Player 2 Last]])</f>
        <v/>
      </c>
      <c r="BF16" s="6" t="str">
        <f>UPPER(MergeNamesTable[[#This Row],[Player 3 Last]])</f>
        <v/>
      </c>
      <c r="BG16" s="6" t="str">
        <f>UPPER(MergeNamesTable[[#This Row],[Player 4 Last]])</f>
        <v/>
      </c>
      <c r="BH16" s="344" t="str">
        <f>UPPER(MergeNamesTable[[#This Row],[Player 5 Last]])</f>
        <v/>
      </c>
      <c r="BI16" s="59" t="str">
        <f>UPPER(MergeNamesTable[[#This Row],[Player 1 Club]])</f>
        <v/>
      </c>
      <c r="BJ16" s="6" t="str">
        <f>UPPER(MergeNamesTable[[#This Row],[Player 2 Club]])</f>
        <v/>
      </c>
      <c r="BK16" s="6" t="str">
        <f>UPPER(MergeNamesTable[[#This Row],[Player 3 Club]])</f>
        <v/>
      </c>
      <c r="BL16" s="6" t="str">
        <f>UPPER(MergeNamesTable[[#This Row],[Player 4 Club]])</f>
        <v/>
      </c>
      <c r="BM16" s="344" t="str">
        <f>UPPER(MergeNamesTable[[#This Row],[Player 5 Club]])</f>
        <v/>
      </c>
      <c r="BN16" s="212"/>
      <c r="BO16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6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6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6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6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6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6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6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6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6" s="70" t="str">
        <f>IF(MergeNamesTable[[#This Row],[Player 1 Tees]]="","",VLOOKUP(MergeNamesTable[[#This Row],[Player 1 Tees]],TeeMarkerTable,23,FALSE))</f>
        <v/>
      </c>
      <c r="BY16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6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6" s="218"/>
      <c r="CB16" s="219"/>
      <c r="CC16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6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6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6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6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6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6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6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6" s="214" t="str">
        <f>IF(MergeNamesTable[[#This Row],[Player 2 Male]]="Female",'Defaults and Lookup Lists'!$B$4,IF(MergeNamesTable[[#This Row],[Tee Markers]]="","",MergeNamesTable[[#This Row],[Tee Markers]]))</f>
        <v/>
      </c>
      <c r="CL16" s="7" t="str">
        <f>IF(MergeNamesTable[[#This Row],[Player 2 Tees]]="","",VLOOKUP(MergeNamesTable[[#This Row],[Player 2 Tees]],TeeMarkerTable,23,FALSE))</f>
        <v/>
      </c>
      <c r="CM16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6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6" s="218"/>
      <c r="CP16" s="219"/>
      <c r="CQ16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6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6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6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6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6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6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6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6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6" s="7" t="str">
        <f>IF(MergeNamesTable[[#This Row],[Player 3 Tees]]="","",VLOOKUP(MergeNamesTable[[#This Row],[Player 3 Tees]],TeeMarkerTable,23,FALSE))</f>
        <v/>
      </c>
      <c r="DA16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6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6" s="218"/>
      <c r="DD16" s="212"/>
      <c r="DE16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6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6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6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6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6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6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6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6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6" s="7" t="str">
        <f>IF(MergeNamesTable[[#This Row],[Player 4 Tees]]="","",VLOOKUP(MergeNamesTable[[#This Row],[Player 4 Tees]],TeeMarkerTable,23,FALSE))</f>
        <v/>
      </c>
      <c r="DO16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6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6" s="225"/>
      <c r="DR16" s="226"/>
      <c r="DS16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6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6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6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6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6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6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6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6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6" s="161" t="str">
        <f>IF(MergeNamesTable[[#This Row],[Player 5 Tees]]="","",VLOOKUP(MergeNamesTable[[#This Row],[Player 5 Tees]],TeeMarkerTable,23,FALSE))</f>
        <v/>
      </c>
      <c r="EC16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6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6" s="230"/>
      <c r="EF16" s="73"/>
      <c r="EG16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6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6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6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6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6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6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6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6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6" s="107"/>
      <c r="EQ16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6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6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6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6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6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6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6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6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6" s="77"/>
      <c r="FA16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6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6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6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6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6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6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6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6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6" s="110"/>
      <c r="FK16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6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6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6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6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6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6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6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6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6" s="77"/>
      <c r="FU16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6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6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6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6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6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6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6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6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6" s="107"/>
      <c r="GE16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6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6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6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6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6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6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6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6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6" s="77"/>
      <c r="GO16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6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6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6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6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6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6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6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6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6" s="79"/>
      <c r="GY16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6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6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6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6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6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6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6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6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6" s="78"/>
      <c r="HI16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6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6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6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6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6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6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6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6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6" s="78"/>
      <c r="HS16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6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6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6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6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6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6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6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6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6" s="78"/>
    </row>
    <row r="17" spans="1:236" ht="21" customHeight="1">
      <c r="A17" s="365">
        <v>16</v>
      </c>
      <c r="B17" s="362" t="str">
        <f>MergeNamesTable[[#This Row],[Team Name Concat]]</f>
        <v/>
      </c>
      <c r="C17" s="59" t="str">
        <f>UPPER(MergeNamesTable[[#This Row],[Team Name]])</f>
        <v/>
      </c>
      <c r="D17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7" s="60" t="str">
        <f>UPPER(MergeNamesTable[[#This Row],[Team Name Concat]])</f>
        <v/>
      </c>
      <c r="F17" s="61">
        <f>MergeNamesTable[[#This Row],[Player 1 Handicap]]+MergeNamesTable[[#This Row],[Player 2 Handicap]]+MergeNamesTable[[#This Row],[Player 3 Handicap]]+MergeNamesTable[[#This Row],[Player 4 Handicap]]</f>
        <v>0</v>
      </c>
      <c r="G17" s="62">
        <f>IF(ISERROR(MergeNamesTable[[#This Row],[Handicap Team Total]]/4),0,ROUND(MergeNamesTable[[#This Row],[Handicap Team Total]]/4,0))</f>
        <v>0</v>
      </c>
      <c r="H17" s="62">
        <f>ROUND(((MergeNamesTable[[#This Row],[Player 1 Handicap]]+MergeNamesTable[[#This Row],[Player 2 Handicap]])*0.25)*0.335,0)</f>
        <v>0</v>
      </c>
      <c r="I17" s="62">
        <f>ROUND(((MergeNamesTable[[#This Row],[Player 1 Handicap]]+MergeNamesTable[[#This Row],[Player 2 Handicap]])*0.5)*0.335,0)</f>
        <v>0</v>
      </c>
      <c r="J17" s="63"/>
      <c r="K17" s="64" t="str">
        <f>IF(OR(MergeNamesTable[[#This Row],[Team Name]]&lt;&gt;"",MergeNamesTable[[#This Row],[Player 1 First Last]]&lt;&gt;""),'Defaults and Lookup Lists'!$B$2,"")</f>
        <v/>
      </c>
      <c r="L17" s="201"/>
      <c r="M17" s="65" t="str">
        <f>IF(OR(MergeNamesTable[[#This Row],[Team Name]]&lt;&gt;"",MergeNamesTable[[#This Row],[Player 1 First Last]]&lt;&gt;""),TEXT('Defaults and Lookup Lists'!$B$7,"ddd, mmm d, yyyy"),"")</f>
        <v/>
      </c>
      <c r="N17" s="311" t="str">
        <f>IF(OR(MergeNamesTable[[#This Row],[Team Name]]&lt;&gt;"",MergeNamesTable[[#This Row],[Player 1 First Last]]&lt;&gt;""),IF('Defaults and Lookup Lists'!$D$3="","",'Defaults and Lookup Lists'!$D$3),"")</f>
        <v/>
      </c>
      <c r="O17" s="247" t="str">
        <f>IF(OR(MergeNamesTable[[#This Row],[Team Name]]&lt;&gt;"",MergeNamesTable[[#This Row],[Player 1 First Last]]&lt;&gt;""),IF('Defaults and Lookup Lists'!$D$4="","",'Defaults and Lookup Lists'!$D$4),"")</f>
        <v/>
      </c>
      <c r="P17" s="247" t="str">
        <f>IF(OR(MergeNamesTable[[#This Row],[Team Name]]&lt;&gt;"",MergeNamesTable[[#This Row],[Player 1 First Last]]&lt;&gt;""),IF('Defaults and Lookup Lists'!$D$2="Shotgun","A",""),"")</f>
        <v/>
      </c>
      <c r="Q17" s="220" t="str">
        <f>IF(OR(MergeNamesTable[[#This Row],[Team Name]]&lt;&gt;"",MergeNamesTable[[#This Row],[Player 1 First Last]]&lt;&gt;""),IF('Defaults and Lookup Lists'!$B$6="","",'Defaults and Lookup Lists'!$B$6),"")</f>
        <v/>
      </c>
      <c r="R17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7" s="312" t="str">
        <f>IF(MergeNamesTable[[#This Row],[Entry Fee Team]]="","",MergeNamesTable[[#This Row],[Entry Fee Team]]-MergeNamesTable[[#This Row],[Entry Fee Paid]])</f>
        <v/>
      </c>
      <c r="T17" s="201"/>
      <c r="U17" s="201"/>
      <c r="V17" s="201"/>
      <c r="W17" s="201" t="str">
        <f>IF(OR(MergeNamesTable[[#This Row],[Team Name]]&lt;&gt;"",MergeNamesTable[[#This Row],[Player 1 First Last]]&lt;&gt;""),'Defaults and Lookup Lists'!$B$3,"")</f>
        <v/>
      </c>
      <c r="X17" s="67" t="str">
        <f>IF(MergeNamesTable[[#This Row],[Tee Markers]]="","",VLOOKUP(MergeNamesTable[[#This Row],[Tee Markers]],TeeMarkerTable,23,FALSE))</f>
        <v/>
      </c>
      <c r="Y17" s="59" t="str">
        <f>UPPER(MergeNamesTable[[#This Row],[Tournament]])</f>
        <v/>
      </c>
      <c r="Z17" s="6" t="str">
        <f>UPPER(MergeNamesTable[[#This Row],[Flight]])</f>
        <v/>
      </c>
      <c r="AA17" s="6" t="str">
        <f>UPPER(MergeNamesTable[[#This Row],[Tee Markers]])</f>
        <v/>
      </c>
      <c r="AB17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7" s="68" t="str">
        <f>IF(MergeNamesTable[[#This Row],[Start Time Day 2]]="","",TEXT(MergeNamesTable[[#This Row],[Start Time Day 2]],"HH:MM AM/PM"))</f>
        <v/>
      </c>
      <c r="AD17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7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7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7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7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7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7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7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7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7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7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7" s="72" t="str">
        <f>TEXT(MergeNamesTable[[#This Row],[Player 1 Handicap]],"##;+##;")</f>
        <v/>
      </c>
      <c r="AP17" s="7" t="str">
        <f>TEXT(MergeNamesTable[[#This Row],[Player 2 Handicap]],"##;+##;")</f>
        <v/>
      </c>
      <c r="AQ17" s="7" t="str">
        <f>TEXT(MergeNamesTable[[#This Row],[Player 3 Handicap]],"##;+##;")</f>
        <v/>
      </c>
      <c r="AR17" s="67" t="str">
        <f>TEXT(MergeNamesTable[[#This Row],[Player 4 Handicap]],"##;+##;")</f>
        <v/>
      </c>
      <c r="AS17" s="131" t="str">
        <f>TEXT(MergeNamesTable[[#This Row],[Player 5 Handicap]],"##;+##;")</f>
        <v/>
      </c>
      <c r="AT17" s="59" t="str">
        <f>UPPER(MergeNamesTable[[#This Row],[Player 1 First Last]])</f>
        <v/>
      </c>
      <c r="AU17" s="6" t="str">
        <f>UPPER(MergeNamesTable[[#This Row],[Player 2 First Last]])</f>
        <v/>
      </c>
      <c r="AV17" s="6" t="str">
        <f>UPPER(MergeNamesTable[[#This Row],[Player 3 First Last]])</f>
        <v/>
      </c>
      <c r="AW17" s="6" t="str">
        <f>UPPER(MergeNamesTable[[#This Row],[Player 4 First Last]])</f>
        <v/>
      </c>
      <c r="AX17" s="344" t="str">
        <f>UPPER(MergeNamesTable[[#This Row],[Player 5 First Last]])</f>
        <v/>
      </c>
      <c r="AY17" s="59" t="str">
        <f>UPPER(MergeNamesTable[[#This Row],[Player 1 First]])</f>
        <v/>
      </c>
      <c r="AZ17" s="6" t="str">
        <f>UPPER(MergeNamesTable[[#This Row],[Player 2 First]])</f>
        <v/>
      </c>
      <c r="BA17" s="6" t="str">
        <f>UPPER(MergeNamesTable[[#This Row],[Player 3 First]])</f>
        <v/>
      </c>
      <c r="BB17" s="6" t="str">
        <f>UPPER(MergeNamesTable[[#This Row],[Player 4 First]])</f>
        <v/>
      </c>
      <c r="BC17" s="344" t="str">
        <f>UPPER(MergeNamesTable[[#This Row],[Player 5 First]])</f>
        <v/>
      </c>
      <c r="BD17" s="59" t="str">
        <f>UPPER(MergeNamesTable[[#This Row],[Player 1 Last]])</f>
        <v/>
      </c>
      <c r="BE17" s="6" t="str">
        <f>UPPER(MergeNamesTable[[#This Row],[Player 2 Last]])</f>
        <v/>
      </c>
      <c r="BF17" s="6" t="str">
        <f>UPPER(MergeNamesTable[[#This Row],[Player 3 Last]])</f>
        <v/>
      </c>
      <c r="BG17" s="6" t="str">
        <f>UPPER(MergeNamesTable[[#This Row],[Player 4 Last]])</f>
        <v/>
      </c>
      <c r="BH17" s="344" t="str">
        <f>UPPER(MergeNamesTable[[#This Row],[Player 5 Last]])</f>
        <v/>
      </c>
      <c r="BI17" s="59" t="str">
        <f>UPPER(MergeNamesTable[[#This Row],[Player 1 Club]])</f>
        <v/>
      </c>
      <c r="BJ17" s="6" t="str">
        <f>UPPER(MergeNamesTable[[#This Row],[Player 2 Club]])</f>
        <v/>
      </c>
      <c r="BK17" s="6" t="str">
        <f>UPPER(MergeNamesTable[[#This Row],[Player 3 Club]])</f>
        <v/>
      </c>
      <c r="BL17" s="6" t="str">
        <f>UPPER(MergeNamesTable[[#This Row],[Player 4 Club]])</f>
        <v/>
      </c>
      <c r="BM17" s="344" t="str">
        <f>UPPER(MergeNamesTable[[#This Row],[Player 5 Club]])</f>
        <v/>
      </c>
      <c r="BN17" s="212"/>
      <c r="BO17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7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7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7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7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7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7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7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7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7" s="70" t="str">
        <f>IF(MergeNamesTable[[#This Row],[Player 1 Tees]]="","",VLOOKUP(MergeNamesTable[[#This Row],[Player 1 Tees]],TeeMarkerTable,23,FALSE))</f>
        <v/>
      </c>
      <c r="BY17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7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7" s="218"/>
      <c r="CB17" s="219"/>
      <c r="CC17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7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7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7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7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7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7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7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7" s="214" t="str">
        <f>IF(MergeNamesTable[[#This Row],[Player 2 Male]]="Female",'Defaults and Lookup Lists'!$B$4,IF(MergeNamesTable[[#This Row],[Tee Markers]]="","",MergeNamesTable[[#This Row],[Tee Markers]]))</f>
        <v/>
      </c>
      <c r="CL17" s="7" t="str">
        <f>IF(MergeNamesTable[[#This Row],[Player 2 Tees]]="","",VLOOKUP(MergeNamesTable[[#This Row],[Player 2 Tees]],TeeMarkerTable,23,FALSE))</f>
        <v/>
      </c>
      <c r="CM17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7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7" s="218"/>
      <c r="CP17" s="219"/>
      <c r="CQ17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7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7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7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7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7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7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7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7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7" s="7" t="str">
        <f>IF(MergeNamesTable[[#This Row],[Player 3 Tees]]="","",VLOOKUP(MergeNamesTable[[#This Row],[Player 3 Tees]],TeeMarkerTable,23,FALSE))</f>
        <v/>
      </c>
      <c r="DA17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7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7" s="218"/>
      <c r="DD17" s="212"/>
      <c r="DE17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7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7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7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7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7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7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7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7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7" s="7" t="str">
        <f>IF(MergeNamesTable[[#This Row],[Player 4 Tees]]="","",VLOOKUP(MergeNamesTable[[#This Row],[Player 4 Tees]],TeeMarkerTable,23,FALSE))</f>
        <v/>
      </c>
      <c r="DO17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7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7" s="225"/>
      <c r="DR17" s="226"/>
      <c r="DS17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7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7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7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7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7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7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7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7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7" s="161" t="str">
        <f>IF(MergeNamesTable[[#This Row],[Player 5 Tees]]="","",VLOOKUP(MergeNamesTable[[#This Row],[Player 5 Tees]],TeeMarkerTable,23,FALSE))</f>
        <v/>
      </c>
      <c r="EC17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7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7" s="230"/>
      <c r="EF17" s="73"/>
      <c r="EG17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7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7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7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7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7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7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7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7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7" s="107"/>
      <c r="EQ17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7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7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7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7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7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7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7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7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7" s="77"/>
      <c r="FA17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7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7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7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7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7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7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7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7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7" s="110"/>
      <c r="FK17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7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7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7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7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7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7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7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7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7" s="77"/>
      <c r="FU17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7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7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7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7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7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7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7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7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7" s="107"/>
      <c r="GE17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7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7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7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7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7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7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7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7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7" s="77"/>
      <c r="GO17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7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7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7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7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7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7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7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7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7" s="79"/>
      <c r="GY17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7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7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7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7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7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7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7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7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7" s="78"/>
      <c r="HI17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7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7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7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7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7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7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7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7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7" s="78"/>
      <c r="HS17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7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7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7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7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7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7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7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7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7" s="78"/>
    </row>
    <row r="18" spans="1:236" ht="21" customHeight="1">
      <c r="A18" s="365">
        <v>17</v>
      </c>
      <c r="B18" s="362" t="str">
        <f>MergeNamesTable[[#This Row],[Team Name Concat]]</f>
        <v/>
      </c>
      <c r="C18" s="59" t="str">
        <f>UPPER(MergeNamesTable[[#This Row],[Team Name]])</f>
        <v/>
      </c>
      <c r="D18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8" s="60" t="str">
        <f>UPPER(MergeNamesTable[[#This Row],[Team Name Concat]])</f>
        <v/>
      </c>
      <c r="F18" s="61">
        <f>MergeNamesTable[[#This Row],[Player 1 Handicap]]+MergeNamesTable[[#This Row],[Player 2 Handicap]]+MergeNamesTable[[#This Row],[Player 3 Handicap]]+MergeNamesTable[[#This Row],[Player 4 Handicap]]</f>
        <v>0</v>
      </c>
      <c r="G18" s="62">
        <f>IF(ISERROR(MergeNamesTable[[#This Row],[Handicap Team Total]]/4),0,ROUND(MergeNamesTable[[#This Row],[Handicap Team Total]]/4,0))</f>
        <v>0</v>
      </c>
      <c r="H18" s="62">
        <f>ROUND(((MergeNamesTable[[#This Row],[Player 1 Handicap]]+MergeNamesTable[[#This Row],[Player 2 Handicap]])*0.25)*0.335,0)</f>
        <v>0</v>
      </c>
      <c r="I18" s="62">
        <f>ROUND(((MergeNamesTable[[#This Row],[Player 1 Handicap]]+MergeNamesTable[[#This Row],[Player 2 Handicap]])*0.5)*0.335,0)</f>
        <v>0</v>
      </c>
      <c r="J18" s="63"/>
      <c r="K18" s="64" t="str">
        <f>IF(OR(MergeNamesTable[[#This Row],[Team Name]]&lt;&gt;"",MergeNamesTable[[#This Row],[Player 1 First Last]]&lt;&gt;""),'Defaults and Lookup Lists'!$B$2,"")</f>
        <v/>
      </c>
      <c r="L18" s="201"/>
      <c r="M18" s="65" t="str">
        <f>IF(OR(MergeNamesTable[[#This Row],[Team Name]]&lt;&gt;"",MergeNamesTable[[#This Row],[Player 1 First Last]]&lt;&gt;""),TEXT('Defaults and Lookup Lists'!$B$7,"ddd, mmm d, yyyy"),"")</f>
        <v/>
      </c>
      <c r="N18" s="311" t="str">
        <f>IF(OR(MergeNamesTable[[#This Row],[Team Name]]&lt;&gt;"",MergeNamesTable[[#This Row],[Player 1 First Last]]&lt;&gt;""),IF('Defaults and Lookup Lists'!$D$3="","",'Defaults and Lookup Lists'!$D$3),"")</f>
        <v/>
      </c>
      <c r="O18" s="247" t="str">
        <f>IF(OR(MergeNamesTable[[#This Row],[Team Name]]&lt;&gt;"",MergeNamesTable[[#This Row],[Player 1 First Last]]&lt;&gt;""),IF('Defaults and Lookup Lists'!$D$4="","",'Defaults and Lookup Lists'!$D$4),"")</f>
        <v/>
      </c>
      <c r="P18" s="247" t="str">
        <f>IF(OR(MergeNamesTable[[#This Row],[Team Name]]&lt;&gt;"",MergeNamesTable[[#This Row],[Player 1 First Last]]&lt;&gt;""),IF('Defaults and Lookup Lists'!$D$2="Shotgun","A",""),"")</f>
        <v/>
      </c>
      <c r="Q18" s="220" t="str">
        <f>IF(OR(MergeNamesTable[[#This Row],[Team Name]]&lt;&gt;"",MergeNamesTable[[#This Row],[Player 1 First Last]]&lt;&gt;""),IF('Defaults and Lookup Lists'!$B$6="","",'Defaults and Lookup Lists'!$B$6),"")</f>
        <v/>
      </c>
      <c r="R18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8" s="312" t="str">
        <f>IF(MergeNamesTable[[#This Row],[Entry Fee Team]]="","",MergeNamesTable[[#This Row],[Entry Fee Team]]-MergeNamesTable[[#This Row],[Entry Fee Paid]])</f>
        <v/>
      </c>
      <c r="T18" s="201"/>
      <c r="U18" s="201"/>
      <c r="V18" s="201"/>
      <c r="W18" s="201" t="str">
        <f>IF(OR(MergeNamesTable[[#This Row],[Team Name]]&lt;&gt;"",MergeNamesTable[[#This Row],[Player 1 First Last]]&lt;&gt;""),'Defaults and Lookup Lists'!$B$3,"")</f>
        <v/>
      </c>
      <c r="X18" s="67" t="str">
        <f>IF(MergeNamesTable[[#This Row],[Tee Markers]]="","",VLOOKUP(MergeNamesTable[[#This Row],[Tee Markers]],TeeMarkerTable,23,FALSE))</f>
        <v/>
      </c>
      <c r="Y18" s="59" t="str">
        <f>UPPER(MergeNamesTable[[#This Row],[Tournament]])</f>
        <v/>
      </c>
      <c r="Z18" s="6" t="str">
        <f>UPPER(MergeNamesTable[[#This Row],[Flight]])</f>
        <v/>
      </c>
      <c r="AA18" s="6" t="str">
        <f>UPPER(MergeNamesTable[[#This Row],[Tee Markers]])</f>
        <v/>
      </c>
      <c r="AB18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8" s="68" t="str">
        <f>IF(MergeNamesTable[[#This Row],[Start Time Day 2]]="","",TEXT(MergeNamesTable[[#This Row],[Start Time Day 2]],"HH:MM AM/PM"))</f>
        <v/>
      </c>
      <c r="AD18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8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8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8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8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8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8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8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8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8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8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8" s="72" t="str">
        <f>TEXT(MergeNamesTable[[#This Row],[Player 1 Handicap]],"##;+##;")</f>
        <v/>
      </c>
      <c r="AP18" s="7" t="str">
        <f>TEXT(MergeNamesTable[[#This Row],[Player 2 Handicap]],"##;+##;")</f>
        <v/>
      </c>
      <c r="AQ18" s="7" t="str">
        <f>TEXT(MergeNamesTable[[#This Row],[Player 3 Handicap]],"##;+##;")</f>
        <v/>
      </c>
      <c r="AR18" s="67" t="str">
        <f>TEXT(MergeNamesTable[[#This Row],[Player 4 Handicap]],"##;+##;")</f>
        <v/>
      </c>
      <c r="AS18" s="131" t="str">
        <f>TEXT(MergeNamesTable[[#This Row],[Player 5 Handicap]],"##;+##;")</f>
        <v/>
      </c>
      <c r="AT18" s="59" t="str">
        <f>UPPER(MergeNamesTable[[#This Row],[Player 1 First Last]])</f>
        <v/>
      </c>
      <c r="AU18" s="6" t="str">
        <f>UPPER(MergeNamesTable[[#This Row],[Player 2 First Last]])</f>
        <v/>
      </c>
      <c r="AV18" s="6" t="str">
        <f>UPPER(MergeNamesTable[[#This Row],[Player 3 First Last]])</f>
        <v/>
      </c>
      <c r="AW18" s="6" t="str">
        <f>UPPER(MergeNamesTable[[#This Row],[Player 4 First Last]])</f>
        <v/>
      </c>
      <c r="AX18" s="344" t="str">
        <f>UPPER(MergeNamesTable[[#This Row],[Player 5 First Last]])</f>
        <v/>
      </c>
      <c r="AY18" s="59" t="str">
        <f>UPPER(MergeNamesTable[[#This Row],[Player 1 First]])</f>
        <v/>
      </c>
      <c r="AZ18" s="6" t="str">
        <f>UPPER(MergeNamesTable[[#This Row],[Player 2 First]])</f>
        <v/>
      </c>
      <c r="BA18" s="6" t="str">
        <f>UPPER(MergeNamesTable[[#This Row],[Player 3 First]])</f>
        <v/>
      </c>
      <c r="BB18" s="6" t="str">
        <f>UPPER(MergeNamesTable[[#This Row],[Player 4 First]])</f>
        <v/>
      </c>
      <c r="BC18" s="344" t="str">
        <f>UPPER(MergeNamesTable[[#This Row],[Player 5 First]])</f>
        <v/>
      </c>
      <c r="BD18" s="59" t="str">
        <f>UPPER(MergeNamesTable[[#This Row],[Player 1 Last]])</f>
        <v/>
      </c>
      <c r="BE18" s="6" t="str">
        <f>UPPER(MergeNamesTable[[#This Row],[Player 2 Last]])</f>
        <v/>
      </c>
      <c r="BF18" s="6" t="str">
        <f>UPPER(MergeNamesTable[[#This Row],[Player 3 Last]])</f>
        <v/>
      </c>
      <c r="BG18" s="6" t="str">
        <f>UPPER(MergeNamesTable[[#This Row],[Player 4 Last]])</f>
        <v/>
      </c>
      <c r="BH18" s="344" t="str">
        <f>UPPER(MergeNamesTable[[#This Row],[Player 5 Last]])</f>
        <v/>
      </c>
      <c r="BI18" s="59" t="str">
        <f>UPPER(MergeNamesTable[[#This Row],[Player 1 Club]])</f>
        <v/>
      </c>
      <c r="BJ18" s="6" t="str">
        <f>UPPER(MergeNamesTable[[#This Row],[Player 2 Club]])</f>
        <v/>
      </c>
      <c r="BK18" s="6" t="str">
        <f>UPPER(MergeNamesTable[[#This Row],[Player 3 Club]])</f>
        <v/>
      </c>
      <c r="BL18" s="6" t="str">
        <f>UPPER(MergeNamesTable[[#This Row],[Player 4 Club]])</f>
        <v/>
      </c>
      <c r="BM18" s="344" t="str">
        <f>UPPER(MergeNamesTable[[#This Row],[Player 5 Club]])</f>
        <v/>
      </c>
      <c r="BN18" s="212"/>
      <c r="BO18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8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8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8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8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8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8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8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8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8" s="70" t="str">
        <f>IF(MergeNamesTable[[#This Row],[Player 1 Tees]]="","",VLOOKUP(MergeNamesTable[[#This Row],[Player 1 Tees]],TeeMarkerTable,23,FALSE))</f>
        <v/>
      </c>
      <c r="BY18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8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8" s="218"/>
      <c r="CB18" s="219"/>
      <c r="CC18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8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8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8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8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8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8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8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8" s="214" t="str">
        <f>IF(MergeNamesTable[[#This Row],[Player 2 Male]]="Female",'Defaults and Lookup Lists'!$B$4,IF(MergeNamesTable[[#This Row],[Tee Markers]]="","",MergeNamesTable[[#This Row],[Tee Markers]]))</f>
        <v/>
      </c>
      <c r="CL18" s="7" t="str">
        <f>IF(MergeNamesTable[[#This Row],[Player 2 Tees]]="","",VLOOKUP(MergeNamesTable[[#This Row],[Player 2 Tees]],TeeMarkerTable,23,FALSE))</f>
        <v/>
      </c>
      <c r="CM18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8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8" s="218"/>
      <c r="CP18" s="219"/>
      <c r="CQ18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8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8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8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8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8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8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8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8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8" s="7" t="str">
        <f>IF(MergeNamesTable[[#This Row],[Player 3 Tees]]="","",VLOOKUP(MergeNamesTable[[#This Row],[Player 3 Tees]],TeeMarkerTable,23,FALSE))</f>
        <v/>
      </c>
      <c r="DA18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8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8" s="218"/>
      <c r="DD18" s="212"/>
      <c r="DE18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8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8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8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8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8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8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8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8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8" s="7" t="str">
        <f>IF(MergeNamesTable[[#This Row],[Player 4 Tees]]="","",VLOOKUP(MergeNamesTable[[#This Row],[Player 4 Tees]],TeeMarkerTable,23,FALSE))</f>
        <v/>
      </c>
      <c r="DO18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8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8" s="225"/>
      <c r="DR18" s="226"/>
      <c r="DS18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8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8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8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8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8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8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8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8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8" s="161" t="str">
        <f>IF(MergeNamesTable[[#This Row],[Player 5 Tees]]="","",VLOOKUP(MergeNamesTable[[#This Row],[Player 5 Tees]],TeeMarkerTable,23,FALSE))</f>
        <v/>
      </c>
      <c r="EC18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8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8" s="230"/>
      <c r="EF18" s="73"/>
      <c r="EG18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8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8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8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8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8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8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8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8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8" s="107"/>
      <c r="EQ18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8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8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8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8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8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8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8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8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8" s="77"/>
      <c r="FA18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8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8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8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8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8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8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8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8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8" s="110"/>
      <c r="FK18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8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8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8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8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8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8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8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8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8" s="77"/>
      <c r="FU18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8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8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8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8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8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8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8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8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8" s="107"/>
      <c r="GE18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8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8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8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8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8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8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8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8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8" s="77"/>
      <c r="GO18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8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8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8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8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8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8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8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8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8" s="79"/>
      <c r="GY18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8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8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8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8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8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8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8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8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8" s="78"/>
      <c r="HI18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8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8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8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8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8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8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8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8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8" s="78"/>
      <c r="HS18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8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8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8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8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8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8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8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8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8" s="78"/>
    </row>
    <row r="19" spans="1:236" ht="21" customHeight="1">
      <c r="A19" s="365">
        <v>18</v>
      </c>
      <c r="B19" s="362" t="str">
        <f>MergeNamesTable[[#This Row],[Team Name Concat]]</f>
        <v/>
      </c>
      <c r="C19" s="59" t="str">
        <f>UPPER(MergeNamesTable[[#This Row],[Team Name]])</f>
        <v/>
      </c>
      <c r="D19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19" s="60" t="str">
        <f>UPPER(MergeNamesTable[[#This Row],[Team Name Concat]])</f>
        <v/>
      </c>
      <c r="F19" s="61">
        <f>MergeNamesTable[[#This Row],[Player 1 Handicap]]+MergeNamesTable[[#This Row],[Player 2 Handicap]]+MergeNamesTable[[#This Row],[Player 3 Handicap]]+MergeNamesTable[[#This Row],[Player 4 Handicap]]</f>
        <v>0</v>
      </c>
      <c r="G19" s="62">
        <f>IF(ISERROR(MergeNamesTable[[#This Row],[Handicap Team Total]]/4),0,ROUND(MergeNamesTable[[#This Row],[Handicap Team Total]]/4,0))</f>
        <v>0</v>
      </c>
      <c r="H19" s="62">
        <f>ROUND(((MergeNamesTable[[#This Row],[Player 1 Handicap]]+MergeNamesTable[[#This Row],[Player 2 Handicap]])*0.25)*0.335,0)</f>
        <v>0</v>
      </c>
      <c r="I19" s="62">
        <f>ROUND(((MergeNamesTable[[#This Row],[Player 1 Handicap]]+MergeNamesTable[[#This Row],[Player 2 Handicap]])*0.5)*0.335,0)</f>
        <v>0</v>
      </c>
      <c r="J19" s="63"/>
      <c r="K19" s="64" t="str">
        <f>IF(OR(MergeNamesTable[[#This Row],[Team Name]]&lt;&gt;"",MergeNamesTable[[#This Row],[Player 1 First Last]]&lt;&gt;""),'Defaults and Lookup Lists'!$B$2,"")</f>
        <v/>
      </c>
      <c r="L19" s="201"/>
      <c r="M19" s="65" t="str">
        <f>IF(OR(MergeNamesTable[[#This Row],[Team Name]]&lt;&gt;"",MergeNamesTable[[#This Row],[Player 1 First Last]]&lt;&gt;""),TEXT('Defaults and Lookup Lists'!$B$7,"ddd, mmm d, yyyy"),"")</f>
        <v/>
      </c>
      <c r="N19" s="311" t="str">
        <f>IF(OR(MergeNamesTable[[#This Row],[Team Name]]&lt;&gt;"",MergeNamesTable[[#This Row],[Player 1 First Last]]&lt;&gt;""),IF('Defaults and Lookup Lists'!$D$3="","",'Defaults and Lookup Lists'!$D$3),"")</f>
        <v/>
      </c>
      <c r="O19" s="247" t="str">
        <f>IF(OR(MergeNamesTable[[#This Row],[Team Name]]&lt;&gt;"",MergeNamesTable[[#This Row],[Player 1 First Last]]&lt;&gt;""),IF('Defaults and Lookup Lists'!$D$4="","",'Defaults and Lookup Lists'!$D$4),"")</f>
        <v/>
      </c>
      <c r="P19" s="247" t="str">
        <f>IF(OR(MergeNamesTable[[#This Row],[Team Name]]&lt;&gt;"",MergeNamesTable[[#This Row],[Player 1 First Last]]&lt;&gt;""),IF('Defaults and Lookup Lists'!$D$2="Shotgun","A",""),"")</f>
        <v/>
      </c>
      <c r="Q19" s="220" t="str">
        <f>IF(OR(MergeNamesTable[[#This Row],[Team Name]]&lt;&gt;"",MergeNamesTable[[#This Row],[Player 1 First Last]]&lt;&gt;""),IF('Defaults and Lookup Lists'!$B$6="","",'Defaults and Lookup Lists'!$B$6),"")</f>
        <v/>
      </c>
      <c r="R19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19" s="312" t="str">
        <f>IF(MergeNamesTable[[#This Row],[Entry Fee Team]]="","",MergeNamesTable[[#This Row],[Entry Fee Team]]-MergeNamesTable[[#This Row],[Entry Fee Paid]])</f>
        <v/>
      </c>
      <c r="T19" s="201"/>
      <c r="U19" s="201"/>
      <c r="V19" s="201"/>
      <c r="W19" s="201" t="str">
        <f>IF(OR(MergeNamesTable[[#This Row],[Team Name]]&lt;&gt;"",MergeNamesTable[[#This Row],[Player 1 First Last]]&lt;&gt;""),'Defaults and Lookup Lists'!$B$3,"")</f>
        <v/>
      </c>
      <c r="X19" s="67" t="str">
        <f>IF(MergeNamesTable[[#This Row],[Tee Markers]]="","",VLOOKUP(MergeNamesTable[[#This Row],[Tee Markers]],TeeMarkerTable,23,FALSE))</f>
        <v/>
      </c>
      <c r="Y19" s="59" t="str">
        <f>UPPER(MergeNamesTable[[#This Row],[Tournament]])</f>
        <v/>
      </c>
      <c r="Z19" s="6" t="str">
        <f>UPPER(MergeNamesTable[[#This Row],[Flight]])</f>
        <v/>
      </c>
      <c r="AA19" s="6" t="str">
        <f>UPPER(MergeNamesTable[[#This Row],[Tee Markers]])</f>
        <v/>
      </c>
      <c r="AB19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19" s="68" t="str">
        <f>IF(MergeNamesTable[[#This Row],[Start Time Day 2]]="","",TEXT(MergeNamesTable[[#This Row],[Start Time Day 2]],"HH:MM AM/PM"))</f>
        <v/>
      </c>
      <c r="AD19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19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19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19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19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19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19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19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19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19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19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19" s="72" t="str">
        <f>TEXT(MergeNamesTable[[#This Row],[Player 1 Handicap]],"##;+##;")</f>
        <v/>
      </c>
      <c r="AP19" s="7" t="str">
        <f>TEXT(MergeNamesTable[[#This Row],[Player 2 Handicap]],"##;+##;")</f>
        <v/>
      </c>
      <c r="AQ19" s="7" t="str">
        <f>TEXT(MergeNamesTable[[#This Row],[Player 3 Handicap]],"##;+##;")</f>
        <v/>
      </c>
      <c r="AR19" s="67" t="str">
        <f>TEXT(MergeNamesTable[[#This Row],[Player 4 Handicap]],"##;+##;")</f>
        <v/>
      </c>
      <c r="AS19" s="131" t="str">
        <f>TEXT(MergeNamesTable[[#This Row],[Player 5 Handicap]],"##;+##;")</f>
        <v/>
      </c>
      <c r="AT19" s="59" t="str">
        <f>UPPER(MergeNamesTable[[#This Row],[Player 1 First Last]])</f>
        <v/>
      </c>
      <c r="AU19" s="6" t="str">
        <f>UPPER(MergeNamesTable[[#This Row],[Player 2 First Last]])</f>
        <v/>
      </c>
      <c r="AV19" s="6" t="str">
        <f>UPPER(MergeNamesTable[[#This Row],[Player 3 First Last]])</f>
        <v/>
      </c>
      <c r="AW19" s="6" t="str">
        <f>UPPER(MergeNamesTable[[#This Row],[Player 4 First Last]])</f>
        <v/>
      </c>
      <c r="AX19" s="344" t="str">
        <f>UPPER(MergeNamesTable[[#This Row],[Player 5 First Last]])</f>
        <v/>
      </c>
      <c r="AY19" s="59" t="str">
        <f>UPPER(MergeNamesTable[[#This Row],[Player 1 First]])</f>
        <v/>
      </c>
      <c r="AZ19" s="6" t="str">
        <f>UPPER(MergeNamesTable[[#This Row],[Player 2 First]])</f>
        <v/>
      </c>
      <c r="BA19" s="6" t="str">
        <f>UPPER(MergeNamesTable[[#This Row],[Player 3 First]])</f>
        <v/>
      </c>
      <c r="BB19" s="6" t="str">
        <f>UPPER(MergeNamesTable[[#This Row],[Player 4 First]])</f>
        <v/>
      </c>
      <c r="BC19" s="344" t="str">
        <f>UPPER(MergeNamesTable[[#This Row],[Player 5 First]])</f>
        <v/>
      </c>
      <c r="BD19" s="59" t="str">
        <f>UPPER(MergeNamesTable[[#This Row],[Player 1 Last]])</f>
        <v/>
      </c>
      <c r="BE19" s="6" t="str">
        <f>UPPER(MergeNamesTable[[#This Row],[Player 2 Last]])</f>
        <v/>
      </c>
      <c r="BF19" s="6" t="str">
        <f>UPPER(MergeNamesTable[[#This Row],[Player 3 Last]])</f>
        <v/>
      </c>
      <c r="BG19" s="6" t="str">
        <f>UPPER(MergeNamesTable[[#This Row],[Player 4 Last]])</f>
        <v/>
      </c>
      <c r="BH19" s="344" t="str">
        <f>UPPER(MergeNamesTable[[#This Row],[Player 5 Last]])</f>
        <v/>
      </c>
      <c r="BI19" s="59" t="str">
        <f>UPPER(MergeNamesTable[[#This Row],[Player 1 Club]])</f>
        <v/>
      </c>
      <c r="BJ19" s="6" t="str">
        <f>UPPER(MergeNamesTable[[#This Row],[Player 2 Club]])</f>
        <v/>
      </c>
      <c r="BK19" s="6" t="str">
        <f>UPPER(MergeNamesTable[[#This Row],[Player 3 Club]])</f>
        <v/>
      </c>
      <c r="BL19" s="6" t="str">
        <f>UPPER(MergeNamesTable[[#This Row],[Player 4 Club]])</f>
        <v/>
      </c>
      <c r="BM19" s="344" t="str">
        <f>UPPER(MergeNamesTable[[#This Row],[Player 5 Club]])</f>
        <v/>
      </c>
      <c r="BN19" s="212"/>
      <c r="BO19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19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19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19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19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19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19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19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19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19" s="70" t="str">
        <f>IF(MergeNamesTable[[#This Row],[Player 1 Tees]]="","",VLOOKUP(MergeNamesTable[[#This Row],[Player 1 Tees]],TeeMarkerTable,23,FALSE))</f>
        <v/>
      </c>
      <c r="BY19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19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19" s="218"/>
      <c r="CB19" s="219"/>
      <c r="CC19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19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19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19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19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19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19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19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19" s="214" t="str">
        <f>IF(MergeNamesTable[[#This Row],[Player 2 Male]]="Female",'Defaults and Lookup Lists'!$B$4,IF(MergeNamesTable[[#This Row],[Tee Markers]]="","",MergeNamesTable[[#This Row],[Tee Markers]]))</f>
        <v/>
      </c>
      <c r="CL19" s="7" t="str">
        <f>IF(MergeNamesTable[[#This Row],[Player 2 Tees]]="","",VLOOKUP(MergeNamesTable[[#This Row],[Player 2 Tees]],TeeMarkerTable,23,FALSE))</f>
        <v/>
      </c>
      <c r="CM19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19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19" s="218"/>
      <c r="CP19" s="219"/>
      <c r="CQ19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19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19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19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19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19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19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19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19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19" s="7" t="str">
        <f>IF(MergeNamesTable[[#This Row],[Player 3 Tees]]="","",VLOOKUP(MergeNamesTable[[#This Row],[Player 3 Tees]],TeeMarkerTable,23,FALSE))</f>
        <v/>
      </c>
      <c r="DA19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19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19" s="218"/>
      <c r="DD19" s="212"/>
      <c r="DE19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19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19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19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19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19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19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19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19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19" s="7" t="str">
        <f>IF(MergeNamesTable[[#This Row],[Player 4 Tees]]="","",VLOOKUP(MergeNamesTable[[#This Row],[Player 4 Tees]],TeeMarkerTable,23,FALSE))</f>
        <v/>
      </c>
      <c r="DO19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19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19" s="225"/>
      <c r="DR19" s="226"/>
      <c r="DS19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19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19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19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19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19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19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19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19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19" s="161" t="str">
        <f>IF(MergeNamesTable[[#This Row],[Player 5 Tees]]="","",VLOOKUP(MergeNamesTable[[#This Row],[Player 5 Tees]],TeeMarkerTable,23,FALSE))</f>
        <v/>
      </c>
      <c r="EC19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19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19" s="230"/>
      <c r="EF19" s="73"/>
      <c r="EG19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19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19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19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19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19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19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19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19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19" s="107"/>
      <c r="EQ19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19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19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19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19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19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19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19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19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19" s="77"/>
      <c r="FA19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19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19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19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19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19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19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19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19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19" s="110"/>
      <c r="FK19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19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19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19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19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19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19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19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19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19" s="77"/>
      <c r="FU19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19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19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19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19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19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19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19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19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19" s="107"/>
      <c r="GE19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19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19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19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19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19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19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19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19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19" s="77"/>
      <c r="GO19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19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19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19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19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19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19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19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19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19" s="79"/>
      <c r="GY19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19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19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19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19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19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19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19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19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19" s="78"/>
      <c r="HI19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19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19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19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19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19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19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19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19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19" s="78"/>
      <c r="HS19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19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19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19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19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19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19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19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19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19" s="78"/>
    </row>
    <row r="20" spans="1:236" ht="21" customHeight="1">
      <c r="A20" s="365">
        <v>19</v>
      </c>
      <c r="B20" s="362" t="str">
        <f>MergeNamesTable[[#This Row],[Team Name Concat]]</f>
        <v/>
      </c>
      <c r="C20" s="59" t="str">
        <f>UPPER(MergeNamesTable[[#This Row],[Team Name]])</f>
        <v/>
      </c>
      <c r="D20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0" s="60" t="str">
        <f>UPPER(MergeNamesTable[[#This Row],[Team Name Concat]])</f>
        <v/>
      </c>
      <c r="F20" s="61">
        <f>MergeNamesTable[[#This Row],[Player 1 Handicap]]+MergeNamesTable[[#This Row],[Player 2 Handicap]]+MergeNamesTable[[#This Row],[Player 3 Handicap]]+MergeNamesTable[[#This Row],[Player 4 Handicap]]</f>
        <v>0</v>
      </c>
      <c r="G20" s="62">
        <f>IF(ISERROR(MergeNamesTable[[#This Row],[Handicap Team Total]]/4),0,ROUND(MergeNamesTable[[#This Row],[Handicap Team Total]]/4,0))</f>
        <v>0</v>
      </c>
      <c r="H20" s="62">
        <f>ROUND(((MergeNamesTable[[#This Row],[Player 1 Handicap]]+MergeNamesTable[[#This Row],[Player 2 Handicap]])*0.25)*0.335,0)</f>
        <v>0</v>
      </c>
      <c r="I20" s="62">
        <f>ROUND(((MergeNamesTable[[#This Row],[Player 1 Handicap]]+MergeNamesTable[[#This Row],[Player 2 Handicap]])*0.5)*0.335,0)</f>
        <v>0</v>
      </c>
      <c r="J20" s="63"/>
      <c r="K20" s="64" t="str">
        <f>IF(OR(MergeNamesTable[[#This Row],[Team Name]]&lt;&gt;"",MergeNamesTable[[#This Row],[Player 1 First Last]]&lt;&gt;""),'Defaults and Lookup Lists'!$B$2,"")</f>
        <v/>
      </c>
      <c r="L20" s="201"/>
      <c r="M20" s="65" t="str">
        <f>IF(OR(MergeNamesTable[[#This Row],[Team Name]]&lt;&gt;"",MergeNamesTable[[#This Row],[Player 1 First Last]]&lt;&gt;""),TEXT('Defaults and Lookup Lists'!$B$7,"ddd, mmm d, yyyy"),"")</f>
        <v/>
      </c>
      <c r="N20" s="311" t="str">
        <f>IF(OR(MergeNamesTable[[#This Row],[Team Name]]&lt;&gt;"",MergeNamesTable[[#This Row],[Player 1 First Last]]&lt;&gt;""),IF('Defaults and Lookup Lists'!$D$3="","",'Defaults and Lookup Lists'!$D$3),"")</f>
        <v/>
      </c>
      <c r="O20" s="247" t="str">
        <f>IF(OR(MergeNamesTable[[#This Row],[Team Name]]&lt;&gt;"",MergeNamesTable[[#This Row],[Player 1 First Last]]&lt;&gt;""),IF('Defaults and Lookup Lists'!$D$4="","",'Defaults and Lookup Lists'!$D$4),"")</f>
        <v/>
      </c>
      <c r="P20" s="247" t="str">
        <f>IF(OR(MergeNamesTable[[#This Row],[Team Name]]&lt;&gt;"",MergeNamesTable[[#This Row],[Player 1 First Last]]&lt;&gt;""),IF('Defaults and Lookup Lists'!$D$2="Shotgun","A",""),"")</f>
        <v/>
      </c>
      <c r="Q20" s="220" t="str">
        <f>IF(OR(MergeNamesTable[[#This Row],[Team Name]]&lt;&gt;"",MergeNamesTable[[#This Row],[Player 1 First Last]]&lt;&gt;""),IF('Defaults and Lookup Lists'!$B$6="","",'Defaults and Lookup Lists'!$B$6),"")</f>
        <v/>
      </c>
      <c r="R20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0" s="312" t="str">
        <f>IF(MergeNamesTable[[#This Row],[Entry Fee Team]]="","",MergeNamesTable[[#This Row],[Entry Fee Team]]-MergeNamesTable[[#This Row],[Entry Fee Paid]])</f>
        <v/>
      </c>
      <c r="T20" s="201"/>
      <c r="U20" s="201"/>
      <c r="V20" s="201"/>
      <c r="W20" s="201" t="str">
        <f>IF(OR(MergeNamesTable[[#This Row],[Team Name]]&lt;&gt;"",MergeNamesTable[[#This Row],[Player 1 First Last]]&lt;&gt;""),'Defaults and Lookup Lists'!$B$3,"")</f>
        <v/>
      </c>
      <c r="X20" s="67" t="str">
        <f>IF(MergeNamesTable[[#This Row],[Tee Markers]]="","",VLOOKUP(MergeNamesTable[[#This Row],[Tee Markers]],TeeMarkerTable,23,FALSE))</f>
        <v/>
      </c>
      <c r="Y20" s="59" t="str">
        <f>UPPER(MergeNamesTable[[#This Row],[Tournament]])</f>
        <v/>
      </c>
      <c r="Z20" s="6" t="str">
        <f>UPPER(MergeNamesTable[[#This Row],[Flight]])</f>
        <v/>
      </c>
      <c r="AA20" s="6" t="str">
        <f>UPPER(MergeNamesTable[[#This Row],[Tee Markers]])</f>
        <v/>
      </c>
      <c r="AB20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0" s="68" t="str">
        <f>IF(MergeNamesTable[[#This Row],[Start Time Day 2]]="","",TEXT(MergeNamesTable[[#This Row],[Start Time Day 2]],"HH:MM AM/PM"))</f>
        <v/>
      </c>
      <c r="AD20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0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0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0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0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0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0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0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0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0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0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0" s="72" t="str">
        <f>TEXT(MergeNamesTable[[#This Row],[Player 1 Handicap]],"##;+##;")</f>
        <v/>
      </c>
      <c r="AP20" s="7" t="str">
        <f>TEXT(MergeNamesTable[[#This Row],[Player 2 Handicap]],"##;+##;")</f>
        <v/>
      </c>
      <c r="AQ20" s="7" t="str">
        <f>TEXT(MergeNamesTable[[#This Row],[Player 3 Handicap]],"##;+##;")</f>
        <v/>
      </c>
      <c r="AR20" s="67" t="str">
        <f>TEXT(MergeNamesTable[[#This Row],[Player 4 Handicap]],"##;+##;")</f>
        <v/>
      </c>
      <c r="AS20" s="131" t="str">
        <f>TEXT(MergeNamesTable[[#This Row],[Player 5 Handicap]],"##;+##;")</f>
        <v/>
      </c>
      <c r="AT20" s="59" t="str">
        <f>UPPER(MergeNamesTable[[#This Row],[Player 1 First Last]])</f>
        <v/>
      </c>
      <c r="AU20" s="6" t="str">
        <f>UPPER(MergeNamesTable[[#This Row],[Player 2 First Last]])</f>
        <v/>
      </c>
      <c r="AV20" s="6" t="str">
        <f>UPPER(MergeNamesTable[[#This Row],[Player 3 First Last]])</f>
        <v/>
      </c>
      <c r="AW20" s="6" t="str">
        <f>UPPER(MergeNamesTable[[#This Row],[Player 4 First Last]])</f>
        <v/>
      </c>
      <c r="AX20" s="344" t="str">
        <f>UPPER(MergeNamesTable[[#This Row],[Player 5 First Last]])</f>
        <v/>
      </c>
      <c r="AY20" s="59" t="str">
        <f>UPPER(MergeNamesTable[[#This Row],[Player 1 First]])</f>
        <v/>
      </c>
      <c r="AZ20" s="6" t="str">
        <f>UPPER(MergeNamesTable[[#This Row],[Player 2 First]])</f>
        <v/>
      </c>
      <c r="BA20" s="6" t="str">
        <f>UPPER(MergeNamesTable[[#This Row],[Player 3 First]])</f>
        <v/>
      </c>
      <c r="BB20" s="6" t="str">
        <f>UPPER(MergeNamesTable[[#This Row],[Player 4 First]])</f>
        <v/>
      </c>
      <c r="BC20" s="344" t="str">
        <f>UPPER(MergeNamesTable[[#This Row],[Player 5 First]])</f>
        <v/>
      </c>
      <c r="BD20" s="59" t="str">
        <f>UPPER(MergeNamesTable[[#This Row],[Player 1 Last]])</f>
        <v/>
      </c>
      <c r="BE20" s="6" t="str">
        <f>UPPER(MergeNamesTable[[#This Row],[Player 2 Last]])</f>
        <v/>
      </c>
      <c r="BF20" s="6" t="str">
        <f>UPPER(MergeNamesTable[[#This Row],[Player 3 Last]])</f>
        <v/>
      </c>
      <c r="BG20" s="6" t="str">
        <f>UPPER(MergeNamesTable[[#This Row],[Player 4 Last]])</f>
        <v/>
      </c>
      <c r="BH20" s="344" t="str">
        <f>UPPER(MergeNamesTable[[#This Row],[Player 5 Last]])</f>
        <v/>
      </c>
      <c r="BI20" s="59" t="str">
        <f>UPPER(MergeNamesTable[[#This Row],[Player 1 Club]])</f>
        <v/>
      </c>
      <c r="BJ20" s="6" t="str">
        <f>UPPER(MergeNamesTable[[#This Row],[Player 2 Club]])</f>
        <v/>
      </c>
      <c r="BK20" s="6" t="str">
        <f>UPPER(MergeNamesTable[[#This Row],[Player 3 Club]])</f>
        <v/>
      </c>
      <c r="BL20" s="6" t="str">
        <f>UPPER(MergeNamesTable[[#This Row],[Player 4 Club]])</f>
        <v/>
      </c>
      <c r="BM20" s="344" t="str">
        <f>UPPER(MergeNamesTable[[#This Row],[Player 5 Club]])</f>
        <v/>
      </c>
      <c r="BN20" s="212"/>
      <c r="BO20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0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0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0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0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0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0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0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0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0" s="70" t="str">
        <f>IF(MergeNamesTable[[#This Row],[Player 1 Tees]]="","",VLOOKUP(MergeNamesTable[[#This Row],[Player 1 Tees]],TeeMarkerTable,23,FALSE))</f>
        <v/>
      </c>
      <c r="BY20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0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0" s="218"/>
      <c r="CB20" s="219"/>
      <c r="CC20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0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0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0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0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0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0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0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0" s="214" t="str">
        <f>IF(MergeNamesTable[[#This Row],[Player 2 Male]]="Female",'Defaults and Lookup Lists'!$B$4,IF(MergeNamesTable[[#This Row],[Tee Markers]]="","",MergeNamesTable[[#This Row],[Tee Markers]]))</f>
        <v/>
      </c>
      <c r="CL20" s="7" t="str">
        <f>IF(MergeNamesTable[[#This Row],[Player 2 Tees]]="","",VLOOKUP(MergeNamesTable[[#This Row],[Player 2 Tees]],TeeMarkerTable,23,FALSE))</f>
        <v/>
      </c>
      <c r="CM20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0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0" s="218"/>
      <c r="CP20" s="219"/>
      <c r="CQ20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0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0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0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0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0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0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0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0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0" s="7" t="str">
        <f>IF(MergeNamesTable[[#This Row],[Player 3 Tees]]="","",VLOOKUP(MergeNamesTable[[#This Row],[Player 3 Tees]],TeeMarkerTable,23,FALSE))</f>
        <v/>
      </c>
      <c r="DA20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0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0" s="218"/>
      <c r="DD20" s="212"/>
      <c r="DE20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0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0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0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0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0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0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0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0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0" s="7" t="str">
        <f>IF(MergeNamesTable[[#This Row],[Player 4 Tees]]="","",VLOOKUP(MergeNamesTable[[#This Row],[Player 4 Tees]],TeeMarkerTable,23,FALSE))</f>
        <v/>
      </c>
      <c r="DO20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0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0" s="225"/>
      <c r="DR20" s="226"/>
      <c r="DS20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0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0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0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0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0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0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0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0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0" s="161" t="str">
        <f>IF(MergeNamesTable[[#This Row],[Player 5 Tees]]="","",VLOOKUP(MergeNamesTable[[#This Row],[Player 5 Tees]],TeeMarkerTable,23,FALSE))</f>
        <v/>
      </c>
      <c r="EC20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0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0" s="230"/>
      <c r="EF20" s="73"/>
      <c r="EG20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0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0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0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0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0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0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0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0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0" s="107"/>
      <c r="EQ20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0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0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0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0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0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0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0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0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0" s="77"/>
      <c r="FA20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0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0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0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0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0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0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0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0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0" s="110"/>
      <c r="FK20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0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0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0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0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0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0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0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0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0" s="77"/>
      <c r="FU20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0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0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0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0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0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0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0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0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0" s="107"/>
      <c r="GE20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0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0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0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0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0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0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0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0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0" s="77"/>
      <c r="GO20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0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0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0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0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0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0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0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0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0" s="79"/>
      <c r="GY20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0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0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0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0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0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0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0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0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0" s="78"/>
      <c r="HI20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0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0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0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0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0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0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0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0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0" s="78"/>
      <c r="HS20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0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0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0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0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0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0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0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0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0" s="78"/>
    </row>
    <row r="21" spans="1:236" ht="21" customHeight="1">
      <c r="A21" s="365">
        <v>20</v>
      </c>
      <c r="B21" s="362" t="str">
        <f>MergeNamesTable[[#This Row],[Team Name Concat]]</f>
        <v/>
      </c>
      <c r="C21" s="59" t="str">
        <f>UPPER(MergeNamesTable[[#This Row],[Team Name]])</f>
        <v/>
      </c>
      <c r="D21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1" s="60" t="str">
        <f>UPPER(MergeNamesTable[[#This Row],[Team Name Concat]])</f>
        <v/>
      </c>
      <c r="F21" s="61">
        <f>MergeNamesTable[[#This Row],[Player 1 Handicap]]+MergeNamesTable[[#This Row],[Player 2 Handicap]]+MergeNamesTable[[#This Row],[Player 3 Handicap]]+MergeNamesTable[[#This Row],[Player 4 Handicap]]</f>
        <v>0</v>
      </c>
      <c r="G21" s="62">
        <f>IF(ISERROR(MergeNamesTable[[#This Row],[Handicap Team Total]]/4),0,ROUND(MergeNamesTable[[#This Row],[Handicap Team Total]]/4,0))</f>
        <v>0</v>
      </c>
      <c r="H21" s="62">
        <f>ROUND(((MergeNamesTable[[#This Row],[Player 1 Handicap]]+MergeNamesTable[[#This Row],[Player 2 Handicap]])*0.25)*0.335,0)</f>
        <v>0</v>
      </c>
      <c r="I21" s="62">
        <f>ROUND(((MergeNamesTable[[#This Row],[Player 1 Handicap]]+MergeNamesTable[[#This Row],[Player 2 Handicap]])*0.5)*0.335,0)</f>
        <v>0</v>
      </c>
      <c r="J21" s="63"/>
      <c r="K21" s="64" t="str">
        <f>IF(OR(MergeNamesTable[[#This Row],[Team Name]]&lt;&gt;"",MergeNamesTable[[#This Row],[Player 1 First Last]]&lt;&gt;""),'Defaults and Lookup Lists'!$B$2,"")</f>
        <v/>
      </c>
      <c r="L21" s="201"/>
      <c r="M21" s="65" t="str">
        <f>IF(OR(MergeNamesTable[[#This Row],[Team Name]]&lt;&gt;"",MergeNamesTable[[#This Row],[Player 1 First Last]]&lt;&gt;""),TEXT('Defaults and Lookup Lists'!$B$7,"ddd, mmm d, yyyy"),"")</f>
        <v/>
      </c>
      <c r="N21" s="311" t="str">
        <f>IF(OR(MergeNamesTable[[#This Row],[Team Name]]&lt;&gt;"",MergeNamesTable[[#This Row],[Player 1 First Last]]&lt;&gt;""),IF('Defaults and Lookup Lists'!$D$3="","",'Defaults and Lookup Lists'!$D$3),"")</f>
        <v/>
      </c>
      <c r="O21" s="247" t="str">
        <f>IF(OR(MergeNamesTable[[#This Row],[Team Name]]&lt;&gt;"",MergeNamesTable[[#This Row],[Player 1 First Last]]&lt;&gt;""),IF('Defaults and Lookup Lists'!$D$4="","",'Defaults and Lookup Lists'!$D$4),"")</f>
        <v/>
      </c>
      <c r="P21" s="247" t="str">
        <f>IF(OR(MergeNamesTable[[#This Row],[Team Name]]&lt;&gt;"",MergeNamesTable[[#This Row],[Player 1 First Last]]&lt;&gt;""),IF('Defaults and Lookup Lists'!$D$2="Shotgun","A",""),"")</f>
        <v/>
      </c>
      <c r="Q21" s="220" t="str">
        <f>IF(OR(MergeNamesTable[[#This Row],[Team Name]]&lt;&gt;"",MergeNamesTable[[#This Row],[Player 1 First Last]]&lt;&gt;""),IF('Defaults and Lookup Lists'!$B$6="","",'Defaults and Lookup Lists'!$B$6),"")</f>
        <v/>
      </c>
      <c r="R21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1" s="312" t="str">
        <f>IF(MergeNamesTable[[#This Row],[Entry Fee Team]]="","",MergeNamesTable[[#This Row],[Entry Fee Team]]-MergeNamesTable[[#This Row],[Entry Fee Paid]])</f>
        <v/>
      </c>
      <c r="T21" s="201"/>
      <c r="U21" s="201"/>
      <c r="V21" s="201"/>
      <c r="W21" s="201" t="str">
        <f>IF(OR(MergeNamesTable[[#This Row],[Team Name]]&lt;&gt;"",MergeNamesTable[[#This Row],[Player 1 First Last]]&lt;&gt;""),'Defaults and Lookup Lists'!$B$3,"")</f>
        <v/>
      </c>
      <c r="X21" s="67" t="str">
        <f>IF(MergeNamesTable[[#This Row],[Tee Markers]]="","",VLOOKUP(MergeNamesTable[[#This Row],[Tee Markers]],TeeMarkerTable,23,FALSE))</f>
        <v/>
      </c>
      <c r="Y21" s="59" t="str">
        <f>UPPER(MergeNamesTable[[#This Row],[Tournament]])</f>
        <v/>
      </c>
      <c r="Z21" s="6" t="str">
        <f>UPPER(MergeNamesTable[[#This Row],[Flight]])</f>
        <v/>
      </c>
      <c r="AA21" s="6" t="str">
        <f>UPPER(MergeNamesTable[[#This Row],[Tee Markers]])</f>
        <v/>
      </c>
      <c r="AB21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1" s="68" t="str">
        <f>IF(MergeNamesTable[[#This Row],[Start Time Day 2]]="","",TEXT(MergeNamesTable[[#This Row],[Start Time Day 2]],"HH:MM AM/PM"))</f>
        <v/>
      </c>
      <c r="AD21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1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1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1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1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1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1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1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1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1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1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1" s="72" t="str">
        <f>TEXT(MergeNamesTable[[#This Row],[Player 1 Handicap]],"##;+##;")</f>
        <v/>
      </c>
      <c r="AP21" s="7" t="str">
        <f>TEXT(MergeNamesTable[[#This Row],[Player 2 Handicap]],"##;+##;")</f>
        <v/>
      </c>
      <c r="AQ21" s="7" t="str">
        <f>TEXT(MergeNamesTable[[#This Row],[Player 3 Handicap]],"##;+##;")</f>
        <v/>
      </c>
      <c r="AR21" s="67" t="str">
        <f>TEXT(MergeNamesTable[[#This Row],[Player 4 Handicap]],"##;+##;")</f>
        <v/>
      </c>
      <c r="AS21" s="131" t="str">
        <f>TEXT(MergeNamesTable[[#This Row],[Player 5 Handicap]],"##;+##;")</f>
        <v/>
      </c>
      <c r="AT21" s="59" t="str">
        <f>UPPER(MergeNamesTable[[#This Row],[Player 1 First Last]])</f>
        <v/>
      </c>
      <c r="AU21" s="6" t="str">
        <f>UPPER(MergeNamesTable[[#This Row],[Player 2 First Last]])</f>
        <v/>
      </c>
      <c r="AV21" s="6" t="str">
        <f>UPPER(MergeNamesTable[[#This Row],[Player 3 First Last]])</f>
        <v/>
      </c>
      <c r="AW21" s="6" t="str">
        <f>UPPER(MergeNamesTable[[#This Row],[Player 4 First Last]])</f>
        <v/>
      </c>
      <c r="AX21" s="344" t="str">
        <f>UPPER(MergeNamesTable[[#This Row],[Player 5 First Last]])</f>
        <v/>
      </c>
      <c r="AY21" s="59" t="str">
        <f>UPPER(MergeNamesTable[[#This Row],[Player 1 First]])</f>
        <v/>
      </c>
      <c r="AZ21" s="6" t="str">
        <f>UPPER(MergeNamesTable[[#This Row],[Player 2 First]])</f>
        <v/>
      </c>
      <c r="BA21" s="6" t="str">
        <f>UPPER(MergeNamesTable[[#This Row],[Player 3 First]])</f>
        <v/>
      </c>
      <c r="BB21" s="6" t="str">
        <f>UPPER(MergeNamesTable[[#This Row],[Player 4 First]])</f>
        <v/>
      </c>
      <c r="BC21" s="344" t="str">
        <f>UPPER(MergeNamesTable[[#This Row],[Player 5 First]])</f>
        <v/>
      </c>
      <c r="BD21" s="59" t="str">
        <f>UPPER(MergeNamesTable[[#This Row],[Player 1 Last]])</f>
        <v/>
      </c>
      <c r="BE21" s="6" t="str">
        <f>UPPER(MergeNamesTable[[#This Row],[Player 2 Last]])</f>
        <v/>
      </c>
      <c r="BF21" s="6" t="str">
        <f>UPPER(MergeNamesTable[[#This Row],[Player 3 Last]])</f>
        <v/>
      </c>
      <c r="BG21" s="6" t="str">
        <f>UPPER(MergeNamesTable[[#This Row],[Player 4 Last]])</f>
        <v/>
      </c>
      <c r="BH21" s="344" t="str">
        <f>UPPER(MergeNamesTable[[#This Row],[Player 5 Last]])</f>
        <v/>
      </c>
      <c r="BI21" s="59" t="str">
        <f>UPPER(MergeNamesTable[[#This Row],[Player 1 Club]])</f>
        <v/>
      </c>
      <c r="BJ21" s="6" t="str">
        <f>UPPER(MergeNamesTable[[#This Row],[Player 2 Club]])</f>
        <v/>
      </c>
      <c r="BK21" s="6" t="str">
        <f>UPPER(MergeNamesTable[[#This Row],[Player 3 Club]])</f>
        <v/>
      </c>
      <c r="BL21" s="6" t="str">
        <f>UPPER(MergeNamesTable[[#This Row],[Player 4 Club]])</f>
        <v/>
      </c>
      <c r="BM21" s="344" t="str">
        <f>UPPER(MergeNamesTable[[#This Row],[Player 5 Club]])</f>
        <v/>
      </c>
      <c r="BN21" s="212"/>
      <c r="BO21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1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1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1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1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1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1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1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1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1" s="70" t="str">
        <f>IF(MergeNamesTable[[#This Row],[Player 1 Tees]]="","",VLOOKUP(MergeNamesTable[[#This Row],[Player 1 Tees]],TeeMarkerTable,23,FALSE))</f>
        <v/>
      </c>
      <c r="BY21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1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1" s="218"/>
      <c r="CB21" s="219"/>
      <c r="CC21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1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1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1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1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1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1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1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1" s="214" t="str">
        <f>IF(MergeNamesTable[[#This Row],[Player 2 Male]]="Female",'Defaults and Lookup Lists'!$B$4,IF(MergeNamesTable[[#This Row],[Tee Markers]]="","",MergeNamesTable[[#This Row],[Tee Markers]]))</f>
        <v/>
      </c>
      <c r="CL21" s="7" t="str">
        <f>IF(MergeNamesTable[[#This Row],[Player 2 Tees]]="","",VLOOKUP(MergeNamesTable[[#This Row],[Player 2 Tees]],TeeMarkerTable,23,FALSE))</f>
        <v/>
      </c>
      <c r="CM21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1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1" s="218"/>
      <c r="CP21" s="219"/>
      <c r="CQ21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1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1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1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1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1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1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1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1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1" s="7" t="str">
        <f>IF(MergeNamesTable[[#This Row],[Player 3 Tees]]="","",VLOOKUP(MergeNamesTable[[#This Row],[Player 3 Tees]],TeeMarkerTable,23,FALSE))</f>
        <v/>
      </c>
      <c r="DA21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1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1" s="218"/>
      <c r="DD21" s="212"/>
      <c r="DE21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1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1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1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1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1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1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1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1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1" s="7" t="str">
        <f>IF(MergeNamesTable[[#This Row],[Player 4 Tees]]="","",VLOOKUP(MergeNamesTable[[#This Row],[Player 4 Tees]],TeeMarkerTable,23,FALSE))</f>
        <v/>
      </c>
      <c r="DO21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1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1" s="225"/>
      <c r="DR21" s="226"/>
      <c r="DS21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1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1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1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1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1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1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1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1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1" s="161" t="str">
        <f>IF(MergeNamesTable[[#This Row],[Player 5 Tees]]="","",VLOOKUP(MergeNamesTable[[#This Row],[Player 5 Tees]],TeeMarkerTable,23,FALSE))</f>
        <v/>
      </c>
      <c r="EC21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1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1" s="230"/>
      <c r="EF21" s="73"/>
      <c r="EG21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1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1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1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1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1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1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1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1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1" s="107"/>
      <c r="EQ21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1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1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1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1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1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1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1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1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1" s="77"/>
      <c r="FA21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1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1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1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1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1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1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1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1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1" s="110"/>
      <c r="FK21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1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1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1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1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1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1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1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1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1" s="77"/>
      <c r="FU21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1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1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1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1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1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1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1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1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1" s="107"/>
      <c r="GE21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1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1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1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1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1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1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1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1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1" s="77"/>
      <c r="GO21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1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1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1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1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1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1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1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1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1" s="79"/>
      <c r="GY21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1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1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1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1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1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1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1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1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1" s="78"/>
      <c r="HI21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1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1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1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1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1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1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1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1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1" s="78"/>
      <c r="HS21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1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1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1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1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1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1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1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1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1" s="78"/>
    </row>
    <row r="22" spans="1:236" ht="21" customHeight="1">
      <c r="A22" s="365">
        <v>21</v>
      </c>
      <c r="B22" s="362" t="str">
        <f>MergeNamesTable[[#This Row],[Team Name Concat]]</f>
        <v/>
      </c>
      <c r="C22" s="59" t="str">
        <f>UPPER(MergeNamesTable[[#This Row],[Team Name]])</f>
        <v/>
      </c>
      <c r="D22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2" s="60" t="str">
        <f>UPPER(MergeNamesTable[[#This Row],[Team Name Concat]])</f>
        <v/>
      </c>
      <c r="F22" s="61">
        <f>MergeNamesTable[[#This Row],[Player 1 Handicap]]+MergeNamesTable[[#This Row],[Player 2 Handicap]]+MergeNamesTable[[#This Row],[Player 3 Handicap]]+MergeNamesTable[[#This Row],[Player 4 Handicap]]</f>
        <v>0</v>
      </c>
      <c r="G22" s="62">
        <f>IF(ISERROR(MergeNamesTable[[#This Row],[Handicap Team Total]]/4),0,ROUND(MergeNamesTable[[#This Row],[Handicap Team Total]]/4,0))</f>
        <v>0</v>
      </c>
      <c r="H22" s="62">
        <f>ROUND(((MergeNamesTable[[#This Row],[Player 1 Handicap]]+MergeNamesTable[[#This Row],[Player 2 Handicap]])*0.25)*0.335,0)</f>
        <v>0</v>
      </c>
      <c r="I22" s="62">
        <f>ROUND(((MergeNamesTable[[#This Row],[Player 1 Handicap]]+MergeNamesTable[[#This Row],[Player 2 Handicap]])*0.5)*0.335,0)</f>
        <v>0</v>
      </c>
      <c r="J22" s="63"/>
      <c r="K22" s="64" t="str">
        <f>IF(OR(MergeNamesTable[[#This Row],[Team Name]]&lt;&gt;"",MergeNamesTable[[#This Row],[Player 1 First Last]]&lt;&gt;""),'Defaults and Lookup Lists'!$B$2,"")</f>
        <v/>
      </c>
      <c r="L22" s="201"/>
      <c r="M22" s="65" t="str">
        <f>IF(OR(MergeNamesTable[[#This Row],[Team Name]]&lt;&gt;"",MergeNamesTable[[#This Row],[Player 1 First Last]]&lt;&gt;""),TEXT('Defaults and Lookup Lists'!$B$7,"ddd, mmm d, yyyy"),"")</f>
        <v/>
      </c>
      <c r="N22" s="311" t="str">
        <f>IF(OR(MergeNamesTable[[#This Row],[Team Name]]&lt;&gt;"",MergeNamesTable[[#This Row],[Player 1 First Last]]&lt;&gt;""),IF('Defaults and Lookup Lists'!$D$3="","",'Defaults and Lookup Lists'!$D$3),"")</f>
        <v/>
      </c>
      <c r="O22" s="247" t="str">
        <f>IF(OR(MergeNamesTable[[#This Row],[Team Name]]&lt;&gt;"",MergeNamesTable[[#This Row],[Player 1 First Last]]&lt;&gt;""),IF('Defaults and Lookup Lists'!$D$4="","",'Defaults and Lookup Lists'!$D$4),"")</f>
        <v/>
      </c>
      <c r="P22" s="247" t="str">
        <f>IF(OR(MergeNamesTable[[#This Row],[Team Name]]&lt;&gt;"",MergeNamesTable[[#This Row],[Player 1 First Last]]&lt;&gt;""),IF('Defaults and Lookup Lists'!$D$2="Shotgun","A",""),"")</f>
        <v/>
      </c>
      <c r="Q22" s="220" t="str">
        <f>IF(OR(MergeNamesTable[[#This Row],[Team Name]]&lt;&gt;"",MergeNamesTable[[#This Row],[Player 1 First Last]]&lt;&gt;""),IF('Defaults and Lookup Lists'!$B$6="","",'Defaults and Lookup Lists'!$B$6),"")</f>
        <v/>
      </c>
      <c r="R22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2" s="312" t="str">
        <f>IF(MergeNamesTable[[#This Row],[Entry Fee Team]]="","",MergeNamesTable[[#This Row],[Entry Fee Team]]-MergeNamesTable[[#This Row],[Entry Fee Paid]])</f>
        <v/>
      </c>
      <c r="T22" s="201"/>
      <c r="U22" s="201"/>
      <c r="V22" s="201"/>
      <c r="W22" s="201" t="str">
        <f>IF(OR(MergeNamesTable[[#This Row],[Team Name]]&lt;&gt;"",MergeNamesTable[[#This Row],[Player 1 First Last]]&lt;&gt;""),'Defaults and Lookup Lists'!$B$3,"")</f>
        <v/>
      </c>
      <c r="X22" s="67" t="str">
        <f>IF(MergeNamesTable[[#This Row],[Tee Markers]]="","",VLOOKUP(MergeNamesTable[[#This Row],[Tee Markers]],TeeMarkerTable,23,FALSE))</f>
        <v/>
      </c>
      <c r="Y22" s="59" t="str">
        <f>UPPER(MergeNamesTable[[#This Row],[Tournament]])</f>
        <v/>
      </c>
      <c r="Z22" s="6" t="str">
        <f>UPPER(MergeNamesTable[[#This Row],[Flight]])</f>
        <v/>
      </c>
      <c r="AA22" s="6" t="str">
        <f>UPPER(MergeNamesTable[[#This Row],[Tee Markers]])</f>
        <v/>
      </c>
      <c r="AB22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2" s="68" t="str">
        <f>IF(MergeNamesTable[[#This Row],[Start Time Day 2]]="","",TEXT(MergeNamesTable[[#This Row],[Start Time Day 2]],"HH:MM AM/PM"))</f>
        <v/>
      </c>
      <c r="AD22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2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2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2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2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2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2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2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2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2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2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2" s="72" t="str">
        <f>TEXT(MergeNamesTable[[#This Row],[Player 1 Handicap]],"##;+##;")</f>
        <v/>
      </c>
      <c r="AP22" s="7" t="str">
        <f>TEXT(MergeNamesTable[[#This Row],[Player 2 Handicap]],"##;+##;")</f>
        <v/>
      </c>
      <c r="AQ22" s="7" t="str">
        <f>TEXT(MergeNamesTable[[#This Row],[Player 3 Handicap]],"##;+##;")</f>
        <v/>
      </c>
      <c r="AR22" s="67" t="str">
        <f>TEXT(MergeNamesTable[[#This Row],[Player 4 Handicap]],"##;+##;")</f>
        <v/>
      </c>
      <c r="AS22" s="131" t="str">
        <f>TEXT(MergeNamesTable[[#This Row],[Player 5 Handicap]],"##;+##;")</f>
        <v/>
      </c>
      <c r="AT22" s="59" t="str">
        <f>UPPER(MergeNamesTable[[#This Row],[Player 1 First Last]])</f>
        <v/>
      </c>
      <c r="AU22" s="6" t="str">
        <f>UPPER(MergeNamesTable[[#This Row],[Player 2 First Last]])</f>
        <v/>
      </c>
      <c r="AV22" s="6" t="str">
        <f>UPPER(MergeNamesTable[[#This Row],[Player 3 First Last]])</f>
        <v/>
      </c>
      <c r="AW22" s="6" t="str">
        <f>UPPER(MergeNamesTable[[#This Row],[Player 4 First Last]])</f>
        <v/>
      </c>
      <c r="AX22" s="344" t="str">
        <f>UPPER(MergeNamesTable[[#This Row],[Player 5 First Last]])</f>
        <v/>
      </c>
      <c r="AY22" s="59" t="str">
        <f>UPPER(MergeNamesTable[[#This Row],[Player 1 First]])</f>
        <v/>
      </c>
      <c r="AZ22" s="6" t="str">
        <f>UPPER(MergeNamesTable[[#This Row],[Player 2 First]])</f>
        <v/>
      </c>
      <c r="BA22" s="6" t="str">
        <f>UPPER(MergeNamesTable[[#This Row],[Player 3 First]])</f>
        <v/>
      </c>
      <c r="BB22" s="6" t="str">
        <f>UPPER(MergeNamesTable[[#This Row],[Player 4 First]])</f>
        <v/>
      </c>
      <c r="BC22" s="344" t="str">
        <f>UPPER(MergeNamesTable[[#This Row],[Player 5 First]])</f>
        <v/>
      </c>
      <c r="BD22" s="59" t="str">
        <f>UPPER(MergeNamesTable[[#This Row],[Player 1 Last]])</f>
        <v/>
      </c>
      <c r="BE22" s="6" t="str">
        <f>UPPER(MergeNamesTable[[#This Row],[Player 2 Last]])</f>
        <v/>
      </c>
      <c r="BF22" s="6" t="str">
        <f>UPPER(MergeNamesTable[[#This Row],[Player 3 Last]])</f>
        <v/>
      </c>
      <c r="BG22" s="6" t="str">
        <f>UPPER(MergeNamesTable[[#This Row],[Player 4 Last]])</f>
        <v/>
      </c>
      <c r="BH22" s="344" t="str">
        <f>UPPER(MergeNamesTable[[#This Row],[Player 5 Last]])</f>
        <v/>
      </c>
      <c r="BI22" s="59" t="str">
        <f>UPPER(MergeNamesTable[[#This Row],[Player 1 Club]])</f>
        <v/>
      </c>
      <c r="BJ22" s="6" t="str">
        <f>UPPER(MergeNamesTable[[#This Row],[Player 2 Club]])</f>
        <v/>
      </c>
      <c r="BK22" s="6" t="str">
        <f>UPPER(MergeNamesTable[[#This Row],[Player 3 Club]])</f>
        <v/>
      </c>
      <c r="BL22" s="6" t="str">
        <f>UPPER(MergeNamesTable[[#This Row],[Player 4 Club]])</f>
        <v/>
      </c>
      <c r="BM22" s="344" t="str">
        <f>UPPER(MergeNamesTable[[#This Row],[Player 5 Club]])</f>
        <v/>
      </c>
      <c r="BN22" s="212"/>
      <c r="BO22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2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2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2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2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2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2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2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2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2" s="70" t="str">
        <f>IF(MergeNamesTable[[#This Row],[Player 1 Tees]]="","",VLOOKUP(MergeNamesTable[[#This Row],[Player 1 Tees]],TeeMarkerTable,23,FALSE))</f>
        <v/>
      </c>
      <c r="BY22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2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2" s="218"/>
      <c r="CB22" s="219"/>
      <c r="CC22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2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2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2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2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2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2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2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2" s="214" t="str">
        <f>IF(MergeNamesTable[[#This Row],[Player 2 Male]]="Female",'Defaults and Lookup Lists'!$B$4,IF(MergeNamesTable[[#This Row],[Tee Markers]]="","",MergeNamesTable[[#This Row],[Tee Markers]]))</f>
        <v/>
      </c>
      <c r="CL22" s="7" t="str">
        <f>IF(MergeNamesTable[[#This Row],[Player 2 Tees]]="","",VLOOKUP(MergeNamesTable[[#This Row],[Player 2 Tees]],TeeMarkerTable,23,FALSE))</f>
        <v/>
      </c>
      <c r="CM22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2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2" s="218"/>
      <c r="CP22" s="219"/>
      <c r="CQ22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2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2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2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2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2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2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2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2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2" s="7" t="str">
        <f>IF(MergeNamesTable[[#This Row],[Player 3 Tees]]="","",VLOOKUP(MergeNamesTable[[#This Row],[Player 3 Tees]],TeeMarkerTable,23,FALSE))</f>
        <v/>
      </c>
      <c r="DA22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2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2" s="218"/>
      <c r="DD22" s="212"/>
      <c r="DE22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2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2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2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2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2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2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2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2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2" s="7" t="str">
        <f>IF(MergeNamesTable[[#This Row],[Player 4 Tees]]="","",VLOOKUP(MergeNamesTable[[#This Row],[Player 4 Tees]],TeeMarkerTable,23,FALSE))</f>
        <v/>
      </c>
      <c r="DO22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2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2" s="225"/>
      <c r="DR22" s="226"/>
      <c r="DS22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2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2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2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2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2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2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2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2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2" s="161" t="str">
        <f>IF(MergeNamesTable[[#This Row],[Player 5 Tees]]="","",VLOOKUP(MergeNamesTable[[#This Row],[Player 5 Tees]],TeeMarkerTable,23,FALSE))</f>
        <v/>
      </c>
      <c r="EC22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2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2" s="230"/>
      <c r="EF22" s="73"/>
      <c r="EG22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2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2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2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2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2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2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2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2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2" s="107"/>
      <c r="EQ22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2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2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2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2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2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2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2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2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2" s="77"/>
      <c r="FA22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2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2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2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2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2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2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2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2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2" s="110"/>
      <c r="FK22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2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2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2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2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2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2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2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2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2" s="77"/>
      <c r="FU22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2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2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2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2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2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2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2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2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2" s="107"/>
      <c r="GE22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2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2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2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2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2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2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2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2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2" s="77"/>
      <c r="GO22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2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2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2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2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2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2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2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2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2" s="79"/>
      <c r="GY22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2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2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2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2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2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2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2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2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2" s="78"/>
      <c r="HI22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2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2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2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2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2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2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2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2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2" s="78"/>
      <c r="HS22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2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2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2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2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2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2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2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2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2" s="78"/>
    </row>
    <row r="23" spans="1:236" ht="21" customHeight="1">
      <c r="A23" s="365">
        <v>22</v>
      </c>
      <c r="B23" s="362" t="str">
        <f>MergeNamesTable[[#This Row],[Team Name Concat]]</f>
        <v/>
      </c>
      <c r="C23" s="59" t="str">
        <f>UPPER(MergeNamesTable[[#This Row],[Team Name]])</f>
        <v/>
      </c>
      <c r="D23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3" s="60" t="str">
        <f>UPPER(MergeNamesTable[[#This Row],[Team Name Concat]])</f>
        <v/>
      </c>
      <c r="F23" s="61">
        <f>MergeNamesTable[[#This Row],[Player 1 Handicap]]+MergeNamesTable[[#This Row],[Player 2 Handicap]]+MergeNamesTable[[#This Row],[Player 3 Handicap]]+MergeNamesTable[[#This Row],[Player 4 Handicap]]</f>
        <v>0</v>
      </c>
      <c r="G23" s="62">
        <f>IF(ISERROR(MergeNamesTable[[#This Row],[Handicap Team Total]]/4),0,ROUND(MergeNamesTable[[#This Row],[Handicap Team Total]]/4,0))</f>
        <v>0</v>
      </c>
      <c r="H23" s="62">
        <f>ROUND(((MergeNamesTable[[#This Row],[Player 1 Handicap]]+MergeNamesTable[[#This Row],[Player 2 Handicap]])*0.25)*0.335,0)</f>
        <v>0</v>
      </c>
      <c r="I23" s="62">
        <f>ROUND(((MergeNamesTable[[#This Row],[Player 1 Handicap]]+MergeNamesTable[[#This Row],[Player 2 Handicap]])*0.5)*0.335,0)</f>
        <v>0</v>
      </c>
      <c r="J23" s="63"/>
      <c r="K23" s="64" t="str">
        <f>IF(OR(MergeNamesTable[[#This Row],[Team Name]]&lt;&gt;"",MergeNamesTable[[#This Row],[Player 1 First Last]]&lt;&gt;""),'Defaults and Lookup Lists'!$B$2,"")</f>
        <v/>
      </c>
      <c r="L23" s="201"/>
      <c r="M23" s="65" t="str">
        <f>IF(OR(MergeNamesTable[[#This Row],[Team Name]]&lt;&gt;"",MergeNamesTable[[#This Row],[Player 1 First Last]]&lt;&gt;""),TEXT('Defaults and Lookup Lists'!$B$7,"ddd, mmm d, yyyy"),"")</f>
        <v/>
      </c>
      <c r="N23" s="311" t="str">
        <f>IF(OR(MergeNamesTable[[#This Row],[Team Name]]&lt;&gt;"",MergeNamesTable[[#This Row],[Player 1 First Last]]&lt;&gt;""),IF('Defaults and Lookup Lists'!$D$3="","",'Defaults and Lookup Lists'!$D$3),"")</f>
        <v/>
      </c>
      <c r="O23" s="247" t="str">
        <f>IF(OR(MergeNamesTable[[#This Row],[Team Name]]&lt;&gt;"",MergeNamesTable[[#This Row],[Player 1 First Last]]&lt;&gt;""),IF('Defaults and Lookup Lists'!$D$4="","",'Defaults and Lookup Lists'!$D$4),"")</f>
        <v/>
      </c>
      <c r="P23" s="247" t="str">
        <f>IF(OR(MergeNamesTable[[#This Row],[Team Name]]&lt;&gt;"",MergeNamesTable[[#This Row],[Player 1 First Last]]&lt;&gt;""),IF('Defaults and Lookup Lists'!$D$2="Shotgun","A",""),"")</f>
        <v/>
      </c>
      <c r="Q23" s="220" t="str">
        <f>IF(OR(MergeNamesTable[[#This Row],[Team Name]]&lt;&gt;"",MergeNamesTable[[#This Row],[Player 1 First Last]]&lt;&gt;""),IF('Defaults and Lookup Lists'!$B$6="","",'Defaults and Lookup Lists'!$B$6),"")</f>
        <v/>
      </c>
      <c r="R23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3" s="312" t="str">
        <f>IF(MergeNamesTable[[#This Row],[Entry Fee Team]]="","",MergeNamesTable[[#This Row],[Entry Fee Team]]-MergeNamesTable[[#This Row],[Entry Fee Paid]])</f>
        <v/>
      </c>
      <c r="T23" s="201"/>
      <c r="U23" s="201"/>
      <c r="V23" s="201"/>
      <c r="W23" s="201" t="str">
        <f>IF(OR(MergeNamesTable[[#This Row],[Team Name]]&lt;&gt;"",MergeNamesTable[[#This Row],[Player 1 First Last]]&lt;&gt;""),'Defaults and Lookup Lists'!$B$3,"")</f>
        <v/>
      </c>
      <c r="X23" s="67" t="str">
        <f>IF(MergeNamesTable[[#This Row],[Tee Markers]]="","",VLOOKUP(MergeNamesTable[[#This Row],[Tee Markers]],TeeMarkerTable,23,FALSE))</f>
        <v/>
      </c>
      <c r="Y23" s="59" t="str">
        <f>UPPER(MergeNamesTable[[#This Row],[Tournament]])</f>
        <v/>
      </c>
      <c r="Z23" s="6" t="str">
        <f>UPPER(MergeNamesTable[[#This Row],[Flight]])</f>
        <v/>
      </c>
      <c r="AA23" s="6" t="str">
        <f>UPPER(MergeNamesTable[[#This Row],[Tee Markers]])</f>
        <v/>
      </c>
      <c r="AB23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3" s="68" t="str">
        <f>IF(MergeNamesTable[[#This Row],[Start Time Day 2]]="","",TEXT(MergeNamesTable[[#This Row],[Start Time Day 2]],"HH:MM AM/PM"))</f>
        <v/>
      </c>
      <c r="AD23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3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3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3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3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3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3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3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3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3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3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3" s="72" t="str">
        <f>TEXT(MergeNamesTable[[#This Row],[Player 1 Handicap]],"##;+##;")</f>
        <v/>
      </c>
      <c r="AP23" s="7" t="str">
        <f>TEXT(MergeNamesTable[[#This Row],[Player 2 Handicap]],"##;+##;")</f>
        <v/>
      </c>
      <c r="AQ23" s="7" t="str">
        <f>TEXT(MergeNamesTable[[#This Row],[Player 3 Handicap]],"##;+##;")</f>
        <v/>
      </c>
      <c r="AR23" s="67" t="str">
        <f>TEXT(MergeNamesTable[[#This Row],[Player 4 Handicap]],"##;+##;")</f>
        <v/>
      </c>
      <c r="AS23" s="131" t="str">
        <f>TEXT(MergeNamesTable[[#This Row],[Player 5 Handicap]],"##;+##;")</f>
        <v/>
      </c>
      <c r="AT23" s="59" t="str">
        <f>UPPER(MergeNamesTable[[#This Row],[Player 1 First Last]])</f>
        <v/>
      </c>
      <c r="AU23" s="6" t="str">
        <f>UPPER(MergeNamesTable[[#This Row],[Player 2 First Last]])</f>
        <v/>
      </c>
      <c r="AV23" s="6" t="str">
        <f>UPPER(MergeNamesTable[[#This Row],[Player 3 First Last]])</f>
        <v/>
      </c>
      <c r="AW23" s="6" t="str">
        <f>UPPER(MergeNamesTable[[#This Row],[Player 4 First Last]])</f>
        <v/>
      </c>
      <c r="AX23" s="344" t="str">
        <f>UPPER(MergeNamesTable[[#This Row],[Player 5 First Last]])</f>
        <v/>
      </c>
      <c r="AY23" s="59" t="str">
        <f>UPPER(MergeNamesTable[[#This Row],[Player 1 First]])</f>
        <v/>
      </c>
      <c r="AZ23" s="6" t="str">
        <f>UPPER(MergeNamesTable[[#This Row],[Player 2 First]])</f>
        <v/>
      </c>
      <c r="BA23" s="6" t="str">
        <f>UPPER(MergeNamesTable[[#This Row],[Player 3 First]])</f>
        <v/>
      </c>
      <c r="BB23" s="6" t="str">
        <f>UPPER(MergeNamesTable[[#This Row],[Player 4 First]])</f>
        <v/>
      </c>
      <c r="BC23" s="344" t="str">
        <f>UPPER(MergeNamesTable[[#This Row],[Player 5 First]])</f>
        <v/>
      </c>
      <c r="BD23" s="59" t="str">
        <f>UPPER(MergeNamesTable[[#This Row],[Player 1 Last]])</f>
        <v/>
      </c>
      <c r="BE23" s="6" t="str">
        <f>UPPER(MergeNamesTable[[#This Row],[Player 2 Last]])</f>
        <v/>
      </c>
      <c r="BF23" s="6" t="str">
        <f>UPPER(MergeNamesTable[[#This Row],[Player 3 Last]])</f>
        <v/>
      </c>
      <c r="BG23" s="6" t="str">
        <f>UPPER(MergeNamesTable[[#This Row],[Player 4 Last]])</f>
        <v/>
      </c>
      <c r="BH23" s="344" t="str">
        <f>UPPER(MergeNamesTable[[#This Row],[Player 5 Last]])</f>
        <v/>
      </c>
      <c r="BI23" s="59" t="str">
        <f>UPPER(MergeNamesTable[[#This Row],[Player 1 Club]])</f>
        <v/>
      </c>
      <c r="BJ23" s="6" t="str">
        <f>UPPER(MergeNamesTable[[#This Row],[Player 2 Club]])</f>
        <v/>
      </c>
      <c r="BK23" s="6" t="str">
        <f>UPPER(MergeNamesTable[[#This Row],[Player 3 Club]])</f>
        <v/>
      </c>
      <c r="BL23" s="6" t="str">
        <f>UPPER(MergeNamesTable[[#This Row],[Player 4 Club]])</f>
        <v/>
      </c>
      <c r="BM23" s="344" t="str">
        <f>UPPER(MergeNamesTable[[#This Row],[Player 5 Club]])</f>
        <v/>
      </c>
      <c r="BN23" s="212"/>
      <c r="BO23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3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3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3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3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3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3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3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3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3" s="70" t="str">
        <f>IF(MergeNamesTable[[#This Row],[Player 1 Tees]]="","",VLOOKUP(MergeNamesTable[[#This Row],[Player 1 Tees]],TeeMarkerTable,23,FALSE))</f>
        <v/>
      </c>
      <c r="BY23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3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3" s="218"/>
      <c r="CB23" s="219"/>
      <c r="CC23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3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3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3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3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3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3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3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3" s="214" t="str">
        <f>IF(MergeNamesTable[[#This Row],[Player 2 Male]]="Female",'Defaults and Lookup Lists'!$B$4,IF(MergeNamesTable[[#This Row],[Tee Markers]]="","",MergeNamesTable[[#This Row],[Tee Markers]]))</f>
        <v/>
      </c>
      <c r="CL23" s="7" t="str">
        <f>IF(MergeNamesTable[[#This Row],[Player 2 Tees]]="","",VLOOKUP(MergeNamesTable[[#This Row],[Player 2 Tees]],TeeMarkerTable,23,FALSE))</f>
        <v/>
      </c>
      <c r="CM23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3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3" s="218"/>
      <c r="CP23" s="219"/>
      <c r="CQ23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3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3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3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3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3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3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3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3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3" s="7" t="str">
        <f>IF(MergeNamesTable[[#This Row],[Player 3 Tees]]="","",VLOOKUP(MergeNamesTable[[#This Row],[Player 3 Tees]],TeeMarkerTable,23,FALSE))</f>
        <v/>
      </c>
      <c r="DA23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3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3" s="218"/>
      <c r="DD23" s="212"/>
      <c r="DE23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3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3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3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3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3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3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3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3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3" s="7" t="str">
        <f>IF(MergeNamesTable[[#This Row],[Player 4 Tees]]="","",VLOOKUP(MergeNamesTable[[#This Row],[Player 4 Tees]],TeeMarkerTable,23,FALSE))</f>
        <v/>
      </c>
      <c r="DO23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3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3" s="225"/>
      <c r="DR23" s="226"/>
      <c r="DS23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3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3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3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3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3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3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3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3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3" s="161" t="str">
        <f>IF(MergeNamesTable[[#This Row],[Player 5 Tees]]="","",VLOOKUP(MergeNamesTable[[#This Row],[Player 5 Tees]],TeeMarkerTable,23,FALSE))</f>
        <v/>
      </c>
      <c r="EC23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3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3" s="230"/>
      <c r="EF23" s="73"/>
      <c r="EG23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3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3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3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3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3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3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3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3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3" s="107"/>
      <c r="EQ23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3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3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3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3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3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3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3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3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3" s="77"/>
      <c r="FA23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3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3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3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3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3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3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3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3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3" s="110"/>
      <c r="FK23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3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3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3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3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3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3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3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3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3" s="77"/>
      <c r="FU23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3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3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3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3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3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3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3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3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3" s="107"/>
      <c r="GE23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3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3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3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3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3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3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3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3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3" s="77"/>
      <c r="GO23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3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3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3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3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3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3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3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3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3" s="79"/>
      <c r="GY23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3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3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3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3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3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3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3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3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3" s="78"/>
      <c r="HI23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3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3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3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3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3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3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3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3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3" s="78"/>
      <c r="HS23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3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3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3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3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3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3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3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3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3" s="78"/>
    </row>
    <row r="24" spans="1:236" ht="21" customHeight="1">
      <c r="A24" s="365">
        <v>23</v>
      </c>
      <c r="B24" s="362" t="str">
        <f>MergeNamesTable[[#This Row],[Team Name Concat]]</f>
        <v/>
      </c>
      <c r="C24" s="59" t="str">
        <f>UPPER(MergeNamesTable[[#This Row],[Team Name]])</f>
        <v/>
      </c>
      <c r="D24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4" s="60" t="str">
        <f>UPPER(MergeNamesTable[[#This Row],[Team Name Concat]])</f>
        <v/>
      </c>
      <c r="F24" s="61">
        <f>MergeNamesTable[[#This Row],[Player 1 Handicap]]+MergeNamesTable[[#This Row],[Player 2 Handicap]]+MergeNamesTable[[#This Row],[Player 3 Handicap]]+MergeNamesTable[[#This Row],[Player 4 Handicap]]</f>
        <v>0</v>
      </c>
      <c r="G24" s="62">
        <f>IF(ISERROR(MergeNamesTable[[#This Row],[Handicap Team Total]]/4),0,ROUND(MergeNamesTable[[#This Row],[Handicap Team Total]]/4,0))</f>
        <v>0</v>
      </c>
      <c r="H24" s="62">
        <f>ROUND(((MergeNamesTable[[#This Row],[Player 1 Handicap]]+MergeNamesTable[[#This Row],[Player 2 Handicap]])*0.25)*0.335,0)</f>
        <v>0</v>
      </c>
      <c r="I24" s="62">
        <f>ROUND(((MergeNamesTable[[#This Row],[Player 1 Handicap]]+MergeNamesTable[[#This Row],[Player 2 Handicap]])*0.5)*0.335,0)</f>
        <v>0</v>
      </c>
      <c r="J24" s="63"/>
      <c r="K24" s="64" t="str">
        <f>IF(OR(MergeNamesTable[[#This Row],[Team Name]]&lt;&gt;"",MergeNamesTable[[#This Row],[Player 1 First Last]]&lt;&gt;""),'Defaults and Lookup Lists'!$B$2,"")</f>
        <v/>
      </c>
      <c r="L24" s="201"/>
      <c r="M24" s="65" t="str">
        <f>IF(OR(MergeNamesTable[[#This Row],[Team Name]]&lt;&gt;"",MergeNamesTable[[#This Row],[Player 1 First Last]]&lt;&gt;""),TEXT('Defaults and Lookup Lists'!$B$7,"ddd, mmm d, yyyy"),"")</f>
        <v/>
      </c>
      <c r="N24" s="311" t="str">
        <f>IF(OR(MergeNamesTable[[#This Row],[Team Name]]&lt;&gt;"",MergeNamesTable[[#This Row],[Player 1 First Last]]&lt;&gt;""),IF('Defaults and Lookup Lists'!$D$3="","",'Defaults and Lookup Lists'!$D$3),"")</f>
        <v/>
      </c>
      <c r="O24" s="247" t="str">
        <f>IF(OR(MergeNamesTable[[#This Row],[Team Name]]&lt;&gt;"",MergeNamesTable[[#This Row],[Player 1 First Last]]&lt;&gt;""),IF('Defaults and Lookup Lists'!$D$4="","",'Defaults and Lookup Lists'!$D$4),"")</f>
        <v/>
      </c>
      <c r="P24" s="247" t="str">
        <f>IF(OR(MergeNamesTable[[#This Row],[Team Name]]&lt;&gt;"",MergeNamesTable[[#This Row],[Player 1 First Last]]&lt;&gt;""),IF('Defaults and Lookup Lists'!$D$2="Shotgun","A",""),"")</f>
        <v/>
      </c>
      <c r="Q24" s="220" t="str">
        <f>IF(OR(MergeNamesTable[[#This Row],[Team Name]]&lt;&gt;"",MergeNamesTable[[#This Row],[Player 1 First Last]]&lt;&gt;""),IF('Defaults and Lookup Lists'!$B$6="","",'Defaults and Lookup Lists'!$B$6),"")</f>
        <v/>
      </c>
      <c r="R24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4" s="312" t="str">
        <f>IF(MergeNamesTable[[#This Row],[Entry Fee Team]]="","",MergeNamesTable[[#This Row],[Entry Fee Team]]-MergeNamesTable[[#This Row],[Entry Fee Paid]])</f>
        <v/>
      </c>
      <c r="T24" s="201"/>
      <c r="U24" s="201"/>
      <c r="V24" s="201"/>
      <c r="W24" s="201" t="str">
        <f>IF(OR(MergeNamesTable[[#This Row],[Team Name]]&lt;&gt;"",MergeNamesTable[[#This Row],[Player 1 First Last]]&lt;&gt;""),'Defaults and Lookup Lists'!$B$3,"")</f>
        <v/>
      </c>
      <c r="X24" s="67" t="str">
        <f>IF(MergeNamesTable[[#This Row],[Tee Markers]]="","",VLOOKUP(MergeNamesTable[[#This Row],[Tee Markers]],TeeMarkerTable,23,FALSE))</f>
        <v/>
      </c>
      <c r="Y24" s="59" t="str">
        <f>UPPER(MergeNamesTable[[#This Row],[Tournament]])</f>
        <v/>
      </c>
      <c r="Z24" s="6" t="str">
        <f>UPPER(MergeNamesTable[[#This Row],[Flight]])</f>
        <v/>
      </c>
      <c r="AA24" s="6" t="str">
        <f>UPPER(MergeNamesTable[[#This Row],[Tee Markers]])</f>
        <v/>
      </c>
      <c r="AB24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4" s="68" t="str">
        <f>IF(MergeNamesTable[[#This Row],[Start Time Day 2]]="","",TEXT(MergeNamesTable[[#This Row],[Start Time Day 2]],"HH:MM AM/PM"))</f>
        <v/>
      </c>
      <c r="AD24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4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4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4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4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4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4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4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4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4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4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4" s="72" t="str">
        <f>TEXT(MergeNamesTable[[#This Row],[Player 1 Handicap]],"##;+##;")</f>
        <v/>
      </c>
      <c r="AP24" s="7" t="str">
        <f>TEXT(MergeNamesTable[[#This Row],[Player 2 Handicap]],"##;+##;")</f>
        <v/>
      </c>
      <c r="AQ24" s="7" t="str">
        <f>TEXT(MergeNamesTable[[#This Row],[Player 3 Handicap]],"##;+##;")</f>
        <v/>
      </c>
      <c r="AR24" s="67" t="str">
        <f>TEXT(MergeNamesTable[[#This Row],[Player 4 Handicap]],"##;+##;")</f>
        <v/>
      </c>
      <c r="AS24" s="131" t="str">
        <f>TEXT(MergeNamesTable[[#This Row],[Player 5 Handicap]],"##;+##;")</f>
        <v/>
      </c>
      <c r="AT24" s="59" t="str">
        <f>UPPER(MergeNamesTable[[#This Row],[Player 1 First Last]])</f>
        <v/>
      </c>
      <c r="AU24" s="6" t="str">
        <f>UPPER(MergeNamesTable[[#This Row],[Player 2 First Last]])</f>
        <v/>
      </c>
      <c r="AV24" s="6" t="str">
        <f>UPPER(MergeNamesTable[[#This Row],[Player 3 First Last]])</f>
        <v/>
      </c>
      <c r="AW24" s="6" t="str">
        <f>UPPER(MergeNamesTable[[#This Row],[Player 4 First Last]])</f>
        <v/>
      </c>
      <c r="AX24" s="344" t="str">
        <f>UPPER(MergeNamesTable[[#This Row],[Player 5 First Last]])</f>
        <v/>
      </c>
      <c r="AY24" s="59" t="str">
        <f>UPPER(MergeNamesTable[[#This Row],[Player 1 First]])</f>
        <v/>
      </c>
      <c r="AZ24" s="6" t="str">
        <f>UPPER(MergeNamesTable[[#This Row],[Player 2 First]])</f>
        <v/>
      </c>
      <c r="BA24" s="6" t="str">
        <f>UPPER(MergeNamesTable[[#This Row],[Player 3 First]])</f>
        <v/>
      </c>
      <c r="BB24" s="6" t="str">
        <f>UPPER(MergeNamesTable[[#This Row],[Player 4 First]])</f>
        <v/>
      </c>
      <c r="BC24" s="344" t="str">
        <f>UPPER(MergeNamesTable[[#This Row],[Player 5 First]])</f>
        <v/>
      </c>
      <c r="BD24" s="59" t="str">
        <f>UPPER(MergeNamesTable[[#This Row],[Player 1 Last]])</f>
        <v/>
      </c>
      <c r="BE24" s="6" t="str">
        <f>UPPER(MergeNamesTable[[#This Row],[Player 2 Last]])</f>
        <v/>
      </c>
      <c r="BF24" s="6" t="str">
        <f>UPPER(MergeNamesTable[[#This Row],[Player 3 Last]])</f>
        <v/>
      </c>
      <c r="BG24" s="6" t="str">
        <f>UPPER(MergeNamesTable[[#This Row],[Player 4 Last]])</f>
        <v/>
      </c>
      <c r="BH24" s="344" t="str">
        <f>UPPER(MergeNamesTable[[#This Row],[Player 5 Last]])</f>
        <v/>
      </c>
      <c r="BI24" s="59" t="str">
        <f>UPPER(MergeNamesTable[[#This Row],[Player 1 Club]])</f>
        <v/>
      </c>
      <c r="BJ24" s="6" t="str">
        <f>UPPER(MergeNamesTable[[#This Row],[Player 2 Club]])</f>
        <v/>
      </c>
      <c r="BK24" s="6" t="str">
        <f>UPPER(MergeNamesTable[[#This Row],[Player 3 Club]])</f>
        <v/>
      </c>
      <c r="BL24" s="6" t="str">
        <f>UPPER(MergeNamesTable[[#This Row],[Player 4 Club]])</f>
        <v/>
      </c>
      <c r="BM24" s="344" t="str">
        <f>UPPER(MergeNamesTable[[#This Row],[Player 5 Club]])</f>
        <v/>
      </c>
      <c r="BN24" s="212"/>
      <c r="BO24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4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4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4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4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4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4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4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4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4" s="70" t="str">
        <f>IF(MergeNamesTable[[#This Row],[Player 1 Tees]]="","",VLOOKUP(MergeNamesTable[[#This Row],[Player 1 Tees]],TeeMarkerTable,23,FALSE))</f>
        <v/>
      </c>
      <c r="BY24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4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4" s="218"/>
      <c r="CB24" s="219"/>
      <c r="CC24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4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4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4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4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4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4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4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4" s="214" t="str">
        <f>IF(MergeNamesTable[[#This Row],[Player 2 Male]]="Female",'Defaults and Lookup Lists'!$B$4,IF(MergeNamesTable[[#This Row],[Tee Markers]]="","",MergeNamesTable[[#This Row],[Tee Markers]]))</f>
        <v/>
      </c>
      <c r="CL24" s="7" t="str">
        <f>IF(MergeNamesTable[[#This Row],[Player 2 Tees]]="","",VLOOKUP(MergeNamesTable[[#This Row],[Player 2 Tees]],TeeMarkerTable,23,FALSE))</f>
        <v/>
      </c>
      <c r="CM24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4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4" s="218"/>
      <c r="CP24" s="219"/>
      <c r="CQ24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4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4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4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4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4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4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4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4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4" s="7" t="str">
        <f>IF(MergeNamesTable[[#This Row],[Player 3 Tees]]="","",VLOOKUP(MergeNamesTable[[#This Row],[Player 3 Tees]],TeeMarkerTable,23,FALSE))</f>
        <v/>
      </c>
      <c r="DA24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4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4" s="218"/>
      <c r="DD24" s="212"/>
      <c r="DE24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4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4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4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4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4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4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4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4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4" s="7" t="str">
        <f>IF(MergeNamesTable[[#This Row],[Player 4 Tees]]="","",VLOOKUP(MergeNamesTable[[#This Row],[Player 4 Tees]],TeeMarkerTable,23,FALSE))</f>
        <v/>
      </c>
      <c r="DO24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4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4" s="225"/>
      <c r="DR24" s="226"/>
      <c r="DS24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4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4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4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4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4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4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4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4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4" s="161" t="str">
        <f>IF(MergeNamesTable[[#This Row],[Player 5 Tees]]="","",VLOOKUP(MergeNamesTable[[#This Row],[Player 5 Tees]],TeeMarkerTable,23,FALSE))</f>
        <v/>
      </c>
      <c r="EC24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4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4" s="230"/>
      <c r="EF24" s="73"/>
      <c r="EG24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4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4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4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4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4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4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4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4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4" s="107"/>
      <c r="EQ24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4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4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4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4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4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4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4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4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4" s="77"/>
      <c r="FA24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4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4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4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4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4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4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4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4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4" s="110"/>
      <c r="FK24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4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4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4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4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4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4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4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4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4" s="77"/>
      <c r="FU24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4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4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4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4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4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4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4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4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4" s="107"/>
      <c r="GE24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4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4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4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4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4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4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4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4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4" s="77"/>
      <c r="GO24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4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4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4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4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4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4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4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4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4" s="79"/>
      <c r="GY24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4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4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4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4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4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4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4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4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4" s="78"/>
      <c r="HI24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4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4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4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4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4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4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4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4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4" s="78"/>
      <c r="HS24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4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4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4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4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4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4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4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4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4" s="78"/>
    </row>
    <row r="25" spans="1:236" ht="21" customHeight="1">
      <c r="A25" s="365">
        <v>24</v>
      </c>
      <c r="B25" s="362" t="str">
        <f>MergeNamesTable[[#This Row],[Team Name Concat]]</f>
        <v/>
      </c>
      <c r="C25" s="59" t="str">
        <f>UPPER(MergeNamesTable[[#This Row],[Team Name]])</f>
        <v/>
      </c>
      <c r="D25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5" s="60" t="str">
        <f>UPPER(MergeNamesTable[[#This Row],[Team Name Concat]])</f>
        <v/>
      </c>
      <c r="F25" s="61">
        <f>MergeNamesTable[[#This Row],[Player 1 Handicap]]+MergeNamesTable[[#This Row],[Player 2 Handicap]]+MergeNamesTable[[#This Row],[Player 3 Handicap]]+MergeNamesTable[[#This Row],[Player 4 Handicap]]</f>
        <v>0</v>
      </c>
      <c r="G25" s="62">
        <f>IF(ISERROR(MergeNamesTable[[#This Row],[Handicap Team Total]]/4),0,ROUND(MergeNamesTable[[#This Row],[Handicap Team Total]]/4,0))</f>
        <v>0</v>
      </c>
      <c r="H25" s="62">
        <f>ROUND(((MergeNamesTable[[#This Row],[Player 1 Handicap]]+MergeNamesTable[[#This Row],[Player 2 Handicap]])*0.25)*0.335,0)</f>
        <v>0</v>
      </c>
      <c r="I25" s="62">
        <f>ROUND(((MergeNamesTable[[#This Row],[Player 1 Handicap]]+MergeNamesTable[[#This Row],[Player 2 Handicap]])*0.5)*0.335,0)</f>
        <v>0</v>
      </c>
      <c r="J25" s="63"/>
      <c r="K25" s="64" t="str">
        <f>IF(OR(MergeNamesTable[[#This Row],[Team Name]]&lt;&gt;"",MergeNamesTable[[#This Row],[Player 1 First Last]]&lt;&gt;""),'Defaults and Lookup Lists'!$B$2,"")</f>
        <v/>
      </c>
      <c r="L25" s="201"/>
      <c r="M25" s="65" t="str">
        <f>IF(OR(MergeNamesTable[[#This Row],[Team Name]]&lt;&gt;"",MergeNamesTable[[#This Row],[Player 1 First Last]]&lt;&gt;""),TEXT('Defaults and Lookup Lists'!$B$7,"ddd, mmm d, yyyy"),"")</f>
        <v/>
      </c>
      <c r="N25" s="311" t="str">
        <f>IF(OR(MergeNamesTable[[#This Row],[Team Name]]&lt;&gt;"",MergeNamesTable[[#This Row],[Player 1 First Last]]&lt;&gt;""),IF('Defaults and Lookup Lists'!$D$3="","",'Defaults and Lookup Lists'!$D$3),"")</f>
        <v/>
      </c>
      <c r="O25" s="247" t="str">
        <f>IF(OR(MergeNamesTable[[#This Row],[Team Name]]&lt;&gt;"",MergeNamesTable[[#This Row],[Player 1 First Last]]&lt;&gt;""),IF('Defaults and Lookup Lists'!$D$4="","",'Defaults and Lookup Lists'!$D$4),"")</f>
        <v/>
      </c>
      <c r="P25" s="247" t="str">
        <f>IF(OR(MergeNamesTable[[#This Row],[Team Name]]&lt;&gt;"",MergeNamesTable[[#This Row],[Player 1 First Last]]&lt;&gt;""),IF('Defaults and Lookup Lists'!$D$2="Shotgun","A",""),"")</f>
        <v/>
      </c>
      <c r="Q25" s="220" t="str">
        <f>IF(OR(MergeNamesTable[[#This Row],[Team Name]]&lt;&gt;"",MergeNamesTable[[#This Row],[Player 1 First Last]]&lt;&gt;""),IF('Defaults and Lookup Lists'!$B$6="","",'Defaults and Lookup Lists'!$B$6),"")</f>
        <v/>
      </c>
      <c r="R25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5" s="312" t="str">
        <f>IF(MergeNamesTable[[#This Row],[Entry Fee Team]]="","",MergeNamesTable[[#This Row],[Entry Fee Team]]-MergeNamesTable[[#This Row],[Entry Fee Paid]])</f>
        <v/>
      </c>
      <c r="T25" s="201"/>
      <c r="U25" s="201"/>
      <c r="V25" s="201"/>
      <c r="W25" s="201" t="str">
        <f>IF(OR(MergeNamesTable[[#This Row],[Team Name]]&lt;&gt;"",MergeNamesTable[[#This Row],[Player 1 First Last]]&lt;&gt;""),'Defaults and Lookup Lists'!$B$3,"")</f>
        <v/>
      </c>
      <c r="X25" s="67" t="str">
        <f>IF(MergeNamesTable[[#This Row],[Tee Markers]]="","",VLOOKUP(MergeNamesTable[[#This Row],[Tee Markers]],TeeMarkerTable,23,FALSE))</f>
        <v/>
      </c>
      <c r="Y25" s="59" t="str">
        <f>UPPER(MergeNamesTable[[#This Row],[Tournament]])</f>
        <v/>
      </c>
      <c r="Z25" s="6" t="str">
        <f>UPPER(MergeNamesTable[[#This Row],[Flight]])</f>
        <v/>
      </c>
      <c r="AA25" s="6" t="str">
        <f>UPPER(MergeNamesTable[[#This Row],[Tee Markers]])</f>
        <v/>
      </c>
      <c r="AB25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5" s="68" t="str">
        <f>IF(MergeNamesTable[[#This Row],[Start Time Day 2]]="","",TEXT(MergeNamesTable[[#This Row],[Start Time Day 2]],"HH:MM AM/PM"))</f>
        <v/>
      </c>
      <c r="AD25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5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5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5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5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5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5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5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5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5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5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5" s="72" t="str">
        <f>TEXT(MergeNamesTable[[#This Row],[Player 1 Handicap]],"##;+##;")</f>
        <v/>
      </c>
      <c r="AP25" s="7" t="str">
        <f>TEXT(MergeNamesTable[[#This Row],[Player 2 Handicap]],"##;+##;")</f>
        <v/>
      </c>
      <c r="AQ25" s="7" t="str">
        <f>TEXT(MergeNamesTable[[#This Row],[Player 3 Handicap]],"##;+##;")</f>
        <v/>
      </c>
      <c r="AR25" s="67" t="str">
        <f>TEXT(MergeNamesTable[[#This Row],[Player 4 Handicap]],"##;+##;")</f>
        <v/>
      </c>
      <c r="AS25" s="131" t="str">
        <f>TEXT(MergeNamesTable[[#This Row],[Player 5 Handicap]],"##;+##;")</f>
        <v/>
      </c>
      <c r="AT25" s="59" t="str">
        <f>UPPER(MergeNamesTable[[#This Row],[Player 1 First Last]])</f>
        <v/>
      </c>
      <c r="AU25" s="6" t="str">
        <f>UPPER(MergeNamesTable[[#This Row],[Player 2 First Last]])</f>
        <v/>
      </c>
      <c r="AV25" s="6" t="str">
        <f>UPPER(MergeNamesTable[[#This Row],[Player 3 First Last]])</f>
        <v/>
      </c>
      <c r="AW25" s="6" t="str">
        <f>UPPER(MergeNamesTable[[#This Row],[Player 4 First Last]])</f>
        <v/>
      </c>
      <c r="AX25" s="344" t="str">
        <f>UPPER(MergeNamesTable[[#This Row],[Player 5 First Last]])</f>
        <v/>
      </c>
      <c r="AY25" s="59" t="str">
        <f>UPPER(MergeNamesTable[[#This Row],[Player 1 First]])</f>
        <v/>
      </c>
      <c r="AZ25" s="6" t="str">
        <f>UPPER(MergeNamesTable[[#This Row],[Player 2 First]])</f>
        <v/>
      </c>
      <c r="BA25" s="6" t="str">
        <f>UPPER(MergeNamesTable[[#This Row],[Player 3 First]])</f>
        <v/>
      </c>
      <c r="BB25" s="6" t="str">
        <f>UPPER(MergeNamesTable[[#This Row],[Player 4 First]])</f>
        <v/>
      </c>
      <c r="BC25" s="344" t="str">
        <f>UPPER(MergeNamesTable[[#This Row],[Player 5 First]])</f>
        <v/>
      </c>
      <c r="BD25" s="59" t="str">
        <f>UPPER(MergeNamesTable[[#This Row],[Player 1 Last]])</f>
        <v/>
      </c>
      <c r="BE25" s="6" t="str">
        <f>UPPER(MergeNamesTable[[#This Row],[Player 2 Last]])</f>
        <v/>
      </c>
      <c r="BF25" s="6" t="str">
        <f>UPPER(MergeNamesTable[[#This Row],[Player 3 Last]])</f>
        <v/>
      </c>
      <c r="BG25" s="6" t="str">
        <f>UPPER(MergeNamesTable[[#This Row],[Player 4 Last]])</f>
        <v/>
      </c>
      <c r="BH25" s="344" t="str">
        <f>UPPER(MergeNamesTable[[#This Row],[Player 5 Last]])</f>
        <v/>
      </c>
      <c r="BI25" s="59" t="str">
        <f>UPPER(MergeNamesTable[[#This Row],[Player 1 Club]])</f>
        <v/>
      </c>
      <c r="BJ25" s="6" t="str">
        <f>UPPER(MergeNamesTable[[#This Row],[Player 2 Club]])</f>
        <v/>
      </c>
      <c r="BK25" s="6" t="str">
        <f>UPPER(MergeNamesTable[[#This Row],[Player 3 Club]])</f>
        <v/>
      </c>
      <c r="BL25" s="6" t="str">
        <f>UPPER(MergeNamesTable[[#This Row],[Player 4 Club]])</f>
        <v/>
      </c>
      <c r="BM25" s="344" t="str">
        <f>UPPER(MergeNamesTable[[#This Row],[Player 5 Club]])</f>
        <v/>
      </c>
      <c r="BN25" s="212"/>
      <c r="BO25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5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5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5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5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5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5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5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5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5" s="70" t="str">
        <f>IF(MergeNamesTable[[#This Row],[Player 1 Tees]]="","",VLOOKUP(MergeNamesTable[[#This Row],[Player 1 Tees]],TeeMarkerTable,23,FALSE))</f>
        <v/>
      </c>
      <c r="BY25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5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5" s="218"/>
      <c r="CB25" s="219"/>
      <c r="CC25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5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5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5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5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5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5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5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5" s="214" t="str">
        <f>IF(MergeNamesTable[[#This Row],[Player 2 Male]]="Female",'Defaults and Lookup Lists'!$B$4,IF(MergeNamesTable[[#This Row],[Tee Markers]]="","",MergeNamesTable[[#This Row],[Tee Markers]]))</f>
        <v/>
      </c>
      <c r="CL25" s="7" t="str">
        <f>IF(MergeNamesTable[[#This Row],[Player 2 Tees]]="","",VLOOKUP(MergeNamesTable[[#This Row],[Player 2 Tees]],TeeMarkerTable,23,FALSE))</f>
        <v/>
      </c>
      <c r="CM25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5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5" s="218"/>
      <c r="CP25" s="219"/>
      <c r="CQ25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5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5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5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5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5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5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5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5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5" s="7" t="str">
        <f>IF(MergeNamesTable[[#This Row],[Player 3 Tees]]="","",VLOOKUP(MergeNamesTable[[#This Row],[Player 3 Tees]],TeeMarkerTable,23,FALSE))</f>
        <v/>
      </c>
      <c r="DA25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5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5" s="218"/>
      <c r="DD25" s="212"/>
      <c r="DE25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5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5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5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5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5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5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5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5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5" s="7" t="str">
        <f>IF(MergeNamesTable[[#This Row],[Player 4 Tees]]="","",VLOOKUP(MergeNamesTable[[#This Row],[Player 4 Tees]],TeeMarkerTable,23,FALSE))</f>
        <v/>
      </c>
      <c r="DO25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5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5" s="225"/>
      <c r="DR25" s="226"/>
      <c r="DS25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5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5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5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5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5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5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5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5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5" s="161" t="str">
        <f>IF(MergeNamesTable[[#This Row],[Player 5 Tees]]="","",VLOOKUP(MergeNamesTable[[#This Row],[Player 5 Tees]],TeeMarkerTable,23,FALSE))</f>
        <v/>
      </c>
      <c r="EC25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5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5" s="230"/>
      <c r="EF25" s="73"/>
      <c r="EG25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5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5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5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5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5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5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5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5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5" s="107"/>
      <c r="EQ25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5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5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5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5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5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5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5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5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5" s="77"/>
      <c r="FA25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5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5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5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5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5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5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5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5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5" s="110"/>
      <c r="FK25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5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5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5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5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5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5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5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5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5" s="77"/>
      <c r="FU25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5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5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5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5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5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5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5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5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5" s="107"/>
      <c r="GE25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5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5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5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5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5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5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5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5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5" s="77"/>
      <c r="GO25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5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5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5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5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5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5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5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5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5" s="79"/>
      <c r="GY25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5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5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5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5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5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5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5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5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5" s="78"/>
      <c r="HI25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5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5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5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5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5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5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5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5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5" s="78"/>
      <c r="HS25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5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5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5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5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5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5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5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5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5" s="78"/>
    </row>
    <row r="26" spans="1:236" ht="21" customHeight="1">
      <c r="A26" s="365">
        <v>25</v>
      </c>
      <c r="B26" s="362" t="str">
        <f>MergeNamesTable[[#This Row],[Team Name Concat]]</f>
        <v/>
      </c>
      <c r="C26" s="59" t="str">
        <f>UPPER(MergeNamesTable[[#This Row],[Team Name]])</f>
        <v/>
      </c>
      <c r="D26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6" s="60" t="str">
        <f>UPPER(MergeNamesTable[[#This Row],[Team Name Concat]])</f>
        <v/>
      </c>
      <c r="F26" s="61">
        <f>MergeNamesTable[[#This Row],[Player 1 Handicap]]+MergeNamesTable[[#This Row],[Player 2 Handicap]]+MergeNamesTable[[#This Row],[Player 3 Handicap]]+MergeNamesTable[[#This Row],[Player 4 Handicap]]</f>
        <v>0</v>
      </c>
      <c r="G26" s="62">
        <f>IF(ISERROR(MergeNamesTable[[#This Row],[Handicap Team Total]]/4),0,ROUND(MergeNamesTable[[#This Row],[Handicap Team Total]]/4,0))</f>
        <v>0</v>
      </c>
      <c r="H26" s="62">
        <f>ROUND(((MergeNamesTable[[#This Row],[Player 1 Handicap]]+MergeNamesTable[[#This Row],[Player 2 Handicap]])*0.25)*0.335,0)</f>
        <v>0</v>
      </c>
      <c r="I26" s="62">
        <f>ROUND(((MergeNamesTable[[#This Row],[Player 1 Handicap]]+MergeNamesTable[[#This Row],[Player 2 Handicap]])*0.5)*0.335,0)</f>
        <v>0</v>
      </c>
      <c r="J26" s="63"/>
      <c r="K26" s="64" t="str">
        <f>IF(OR(MergeNamesTable[[#This Row],[Team Name]]&lt;&gt;"",MergeNamesTable[[#This Row],[Player 1 First Last]]&lt;&gt;""),'Defaults and Lookup Lists'!$B$2,"")</f>
        <v/>
      </c>
      <c r="L26" s="201"/>
      <c r="M26" s="65" t="str">
        <f>IF(OR(MergeNamesTable[[#This Row],[Team Name]]&lt;&gt;"",MergeNamesTable[[#This Row],[Player 1 First Last]]&lt;&gt;""),TEXT('Defaults and Lookup Lists'!$B$7,"ddd, mmm d, yyyy"),"")</f>
        <v/>
      </c>
      <c r="N26" s="311" t="str">
        <f>IF(OR(MergeNamesTable[[#This Row],[Team Name]]&lt;&gt;"",MergeNamesTable[[#This Row],[Player 1 First Last]]&lt;&gt;""),IF('Defaults and Lookup Lists'!$D$3="","",'Defaults and Lookup Lists'!$D$3),"")</f>
        <v/>
      </c>
      <c r="O26" s="247" t="str">
        <f>IF(OR(MergeNamesTable[[#This Row],[Team Name]]&lt;&gt;"",MergeNamesTable[[#This Row],[Player 1 First Last]]&lt;&gt;""),IF('Defaults and Lookup Lists'!$D$4="","",'Defaults and Lookup Lists'!$D$4),"")</f>
        <v/>
      </c>
      <c r="P26" s="247" t="str">
        <f>IF(OR(MergeNamesTable[[#This Row],[Team Name]]&lt;&gt;"",MergeNamesTable[[#This Row],[Player 1 First Last]]&lt;&gt;""),IF('Defaults and Lookup Lists'!$D$2="Shotgun","A",""),"")</f>
        <v/>
      </c>
      <c r="Q26" s="220" t="str">
        <f>IF(OR(MergeNamesTable[[#This Row],[Team Name]]&lt;&gt;"",MergeNamesTable[[#This Row],[Player 1 First Last]]&lt;&gt;""),IF('Defaults and Lookup Lists'!$B$6="","",'Defaults and Lookup Lists'!$B$6),"")</f>
        <v/>
      </c>
      <c r="R26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6" s="312" t="str">
        <f>IF(MergeNamesTable[[#This Row],[Entry Fee Team]]="","",MergeNamesTable[[#This Row],[Entry Fee Team]]-MergeNamesTable[[#This Row],[Entry Fee Paid]])</f>
        <v/>
      </c>
      <c r="T26" s="201"/>
      <c r="U26" s="201"/>
      <c r="V26" s="201"/>
      <c r="W26" s="201" t="str">
        <f>IF(OR(MergeNamesTable[[#This Row],[Team Name]]&lt;&gt;"",MergeNamesTable[[#This Row],[Player 1 First Last]]&lt;&gt;""),'Defaults and Lookup Lists'!$B$3,"")</f>
        <v/>
      </c>
      <c r="X26" s="67" t="str">
        <f>IF(MergeNamesTable[[#This Row],[Tee Markers]]="","",VLOOKUP(MergeNamesTable[[#This Row],[Tee Markers]],TeeMarkerTable,23,FALSE))</f>
        <v/>
      </c>
      <c r="Y26" s="59" t="str">
        <f>UPPER(MergeNamesTable[[#This Row],[Tournament]])</f>
        <v/>
      </c>
      <c r="Z26" s="6" t="str">
        <f>UPPER(MergeNamesTable[[#This Row],[Flight]])</f>
        <v/>
      </c>
      <c r="AA26" s="6" t="str">
        <f>UPPER(MergeNamesTable[[#This Row],[Tee Markers]])</f>
        <v/>
      </c>
      <c r="AB26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6" s="68" t="str">
        <f>IF(MergeNamesTable[[#This Row],[Start Time Day 2]]="","",TEXT(MergeNamesTable[[#This Row],[Start Time Day 2]],"HH:MM AM/PM"))</f>
        <v/>
      </c>
      <c r="AD26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6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6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6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6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6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6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6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6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6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6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6" s="72" t="str">
        <f>TEXT(MergeNamesTable[[#This Row],[Player 1 Handicap]],"##;+##;")</f>
        <v/>
      </c>
      <c r="AP26" s="7" t="str">
        <f>TEXT(MergeNamesTable[[#This Row],[Player 2 Handicap]],"##;+##;")</f>
        <v/>
      </c>
      <c r="AQ26" s="7" t="str">
        <f>TEXT(MergeNamesTable[[#This Row],[Player 3 Handicap]],"##;+##;")</f>
        <v/>
      </c>
      <c r="AR26" s="67" t="str">
        <f>TEXT(MergeNamesTable[[#This Row],[Player 4 Handicap]],"##;+##;")</f>
        <v/>
      </c>
      <c r="AS26" s="131" t="str">
        <f>TEXT(MergeNamesTable[[#This Row],[Player 5 Handicap]],"##;+##;")</f>
        <v/>
      </c>
      <c r="AT26" s="59" t="str">
        <f>UPPER(MergeNamesTable[[#This Row],[Player 1 First Last]])</f>
        <v/>
      </c>
      <c r="AU26" s="6" t="str">
        <f>UPPER(MergeNamesTable[[#This Row],[Player 2 First Last]])</f>
        <v/>
      </c>
      <c r="AV26" s="6" t="str">
        <f>UPPER(MergeNamesTable[[#This Row],[Player 3 First Last]])</f>
        <v/>
      </c>
      <c r="AW26" s="6" t="str">
        <f>UPPER(MergeNamesTable[[#This Row],[Player 4 First Last]])</f>
        <v/>
      </c>
      <c r="AX26" s="344" t="str">
        <f>UPPER(MergeNamesTable[[#This Row],[Player 5 First Last]])</f>
        <v/>
      </c>
      <c r="AY26" s="59" t="str">
        <f>UPPER(MergeNamesTable[[#This Row],[Player 1 First]])</f>
        <v/>
      </c>
      <c r="AZ26" s="6" t="str">
        <f>UPPER(MergeNamesTable[[#This Row],[Player 2 First]])</f>
        <v/>
      </c>
      <c r="BA26" s="6" t="str">
        <f>UPPER(MergeNamesTable[[#This Row],[Player 3 First]])</f>
        <v/>
      </c>
      <c r="BB26" s="6" t="str">
        <f>UPPER(MergeNamesTable[[#This Row],[Player 4 First]])</f>
        <v/>
      </c>
      <c r="BC26" s="344" t="str">
        <f>UPPER(MergeNamesTable[[#This Row],[Player 5 First]])</f>
        <v/>
      </c>
      <c r="BD26" s="59" t="str">
        <f>UPPER(MergeNamesTable[[#This Row],[Player 1 Last]])</f>
        <v/>
      </c>
      <c r="BE26" s="6" t="str">
        <f>UPPER(MergeNamesTable[[#This Row],[Player 2 Last]])</f>
        <v/>
      </c>
      <c r="BF26" s="6" t="str">
        <f>UPPER(MergeNamesTable[[#This Row],[Player 3 Last]])</f>
        <v/>
      </c>
      <c r="BG26" s="6" t="str">
        <f>UPPER(MergeNamesTable[[#This Row],[Player 4 Last]])</f>
        <v/>
      </c>
      <c r="BH26" s="344" t="str">
        <f>UPPER(MergeNamesTable[[#This Row],[Player 5 Last]])</f>
        <v/>
      </c>
      <c r="BI26" s="59" t="str">
        <f>UPPER(MergeNamesTable[[#This Row],[Player 1 Club]])</f>
        <v/>
      </c>
      <c r="BJ26" s="6" t="str">
        <f>UPPER(MergeNamesTable[[#This Row],[Player 2 Club]])</f>
        <v/>
      </c>
      <c r="BK26" s="6" t="str">
        <f>UPPER(MergeNamesTable[[#This Row],[Player 3 Club]])</f>
        <v/>
      </c>
      <c r="BL26" s="6" t="str">
        <f>UPPER(MergeNamesTable[[#This Row],[Player 4 Club]])</f>
        <v/>
      </c>
      <c r="BM26" s="344" t="str">
        <f>UPPER(MergeNamesTable[[#This Row],[Player 5 Club]])</f>
        <v/>
      </c>
      <c r="BN26" s="212"/>
      <c r="BO26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6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6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6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6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6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6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6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6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6" s="70" t="str">
        <f>IF(MergeNamesTable[[#This Row],[Player 1 Tees]]="","",VLOOKUP(MergeNamesTable[[#This Row],[Player 1 Tees]],TeeMarkerTable,23,FALSE))</f>
        <v/>
      </c>
      <c r="BY26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6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6" s="218"/>
      <c r="CB26" s="219"/>
      <c r="CC26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6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6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6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6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6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6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6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6" s="214" t="str">
        <f>IF(MergeNamesTable[[#This Row],[Player 2 Male]]="Female",'Defaults and Lookup Lists'!$B$4,IF(MergeNamesTable[[#This Row],[Tee Markers]]="","",MergeNamesTable[[#This Row],[Tee Markers]]))</f>
        <v/>
      </c>
      <c r="CL26" s="7" t="str">
        <f>IF(MergeNamesTable[[#This Row],[Player 2 Tees]]="","",VLOOKUP(MergeNamesTable[[#This Row],[Player 2 Tees]],TeeMarkerTable,23,FALSE))</f>
        <v/>
      </c>
      <c r="CM26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6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6" s="218"/>
      <c r="CP26" s="219"/>
      <c r="CQ26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6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6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6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6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6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6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6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6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6" s="7" t="str">
        <f>IF(MergeNamesTable[[#This Row],[Player 3 Tees]]="","",VLOOKUP(MergeNamesTable[[#This Row],[Player 3 Tees]],TeeMarkerTable,23,FALSE))</f>
        <v/>
      </c>
      <c r="DA26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6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6" s="218"/>
      <c r="DD26" s="212"/>
      <c r="DE26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6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6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6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6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6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6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6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6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6" s="7" t="str">
        <f>IF(MergeNamesTable[[#This Row],[Player 4 Tees]]="","",VLOOKUP(MergeNamesTable[[#This Row],[Player 4 Tees]],TeeMarkerTable,23,FALSE))</f>
        <v/>
      </c>
      <c r="DO26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6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6" s="225"/>
      <c r="DR26" s="226"/>
      <c r="DS26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6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6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6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6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6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6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6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6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6" s="161" t="str">
        <f>IF(MergeNamesTable[[#This Row],[Player 5 Tees]]="","",VLOOKUP(MergeNamesTable[[#This Row],[Player 5 Tees]],TeeMarkerTable,23,FALSE))</f>
        <v/>
      </c>
      <c r="EC26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6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6" s="230"/>
      <c r="EF26" s="73"/>
      <c r="EG26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6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6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6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6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6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6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6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6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6" s="107"/>
      <c r="EQ26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6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6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6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6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6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6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6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6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6" s="77"/>
      <c r="FA26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6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6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6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6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6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6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6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6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6" s="110"/>
      <c r="FK26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6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6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6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6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6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6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6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6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6" s="77"/>
      <c r="FU26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6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6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6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6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6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6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6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6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6" s="107"/>
      <c r="GE26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6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6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6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6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6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6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6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6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6" s="77"/>
      <c r="GO26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6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6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6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6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6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6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6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6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6" s="79"/>
      <c r="GY26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6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6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6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6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6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6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6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6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6" s="78"/>
      <c r="HI26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6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6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6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6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6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6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6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6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6" s="78"/>
      <c r="HS26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6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6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6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6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6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6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6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6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6" s="78"/>
    </row>
    <row r="27" spans="1:236" ht="21" customHeight="1">
      <c r="A27" s="365">
        <v>26</v>
      </c>
      <c r="B27" s="362" t="str">
        <f>MergeNamesTable[[#This Row],[Team Name Concat]]</f>
        <v/>
      </c>
      <c r="C27" s="59" t="str">
        <f>UPPER(MergeNamesTable[[#This Row],[Team Name]])</f>
        <v/>
      </c>
      <c r="D27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7" s="60" t="str">
        <f>UPPER(MergeNamesTable[[#This Row],[Team Name Concat]])</f>
        <v/>
      </c>
      <c r="F27" s="61">
        <f>MergeNamesTable[[#This Row],[Player 1 Handicap]]+MergeNamesTable[[#This Row],[Player 2 Handicap]]+MergeNamesTable[[#This Row],[Player 3 Handicap]]+MergeNamesTable[[#This Row],[Player 4 Handicap]]</f>
        <v>0</v>
      </c>
      <c r="G27" s="62">
        <f>IF(ISERROR(MergeNamesTable[[#This Row],[Handicap Team Total]]/4),0,ROUND(MergeNamesTable[[#This Row],[Handicap Team Total]]/4,0))</f>
        <v>0</v>
      </c>
      <c r="H27" s="62">
        <f>ROUND(((MergeNamesTable[[#This Row],[Player 1 Handicap]]+MergeNamesTable[[#This Row],[Player 2 Handicap]])*0.25)*0.335,0)</f>
        <v>0</v>
      </c>
      <c r="I27" s="62">
        <f>ROUND(((MergeNamesTable[[#This Row],[Player 1 Handicap]]+MergeNamesTable[[#This Row],[Player 2 Handicap]])*0.5)*0.335,0)</f>
        <v>0</v>
      </c>
      <c r="J27" s="63"/>
      <c r="K27" s="64" t="str">
        <f>IF(OR(MergeNamesTable[[#This Row],[Team Name]]&lt;&gt;"",MergeNamesTable[[#This Row],[Player 1 First Last]]&lt;&gt;""),'Defaults and Lookup Lists'!$B$2,"")</f>
        <v/>
      </c>
      <c r="L27" s="201"/>
      <c r="M27" s="65" t="str">
        <f>IF(OR(MergeNamesTable[[#This Row],[Team Name]]&lt;&gt;"",MergeNamesTable[[#This Row],[Player 1 First Last]]&lt;&gt;""),TEXT('Defaults and Lookup Lists'!$B$7,"ddd, mmm d, yyyy"),"")</f>
        <v/>
      </c>
      <c r="N27" s="311" t="str">
        <f>IF(OR(MergeNamesTable[[#This Row],[Team Name]]&lt;&gt;"",MergeNamesTable[[#This Row],[Player 1 First Last]]&lt;&gt;""),IF('Defaults and Lookup Lists'!$D$3="","",'Defaults and Lookup Lists'!$D$3),"")</f>
        <v/>
      </c>
      <c r="O27" s="247" t="str">
        <f>IF(OR(MergeNamesTable[[#This Row],[Team Name]]&lt;&gt;"",MergeNamesTable[[#This Row],[Player 1 First Last]]&lt;&gt;""),IF('Defaults and Lookup Lists'!$D$4="","",'Defaults and Lookup Lists'!$D$4),"")</f>
        <v/>
      </c>
      <c r="P27" s="247" t="str">
        <f>IF(OR(MergeNamesTable[[#This Row],[Team Name]]&lt;&gt;"",MergeNamesTable[[#This Row],[Player 1 First Last]]&lt;&gt;""),IF('Defaults and Lookup Lists'!$D$2="Shotgun","A",""),"")</f>
        <v/>
      </c>
      <c r="Q27" s="220" t="str">
        <f>IF(OR(MergeNamesTable[[#This Row],[Team Name]]&lt;&gt;"",MergeNamesTable[[#This Row],[Player 1 First Last]]&lt;&gt;""),IF('Defaults and Lookup Lists'!$B$6="","",'Defaults and Lookup Lists'!$B$6),"")</f>
        <v/>
      </c>
      <c r="R27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7" s="312" t="str">
        <f>IF(MergeNamesTable[[#This Row],[Entry Fee Team]]="","",MergeNamesTable[[#This Row],[Entry Fee Team]]-MergeNamesTable[[#This Row],[Entry Fee Paid]])</f>
        <v/>
      </c>
      <c r="T27" s="201"/>
      <c r="U27" s="201"/>
      <c r="V27" s="201"/>
      <c r="W27" s="201" t="str">
        <f>IF(OR(MergeNamesTable[[#This Row],[Team Name]]&lt;&gt;"",MergeNamesTable[[#This Row],[Player 1 First Last]]&lt;&gt;""),'Defaults and Lookup Lists'!$B$3,"")</f>
        <v/>
      </c>
      <c r="X27" s="67" t="str">
        <f>IF(MergeNamesTable[[#This Row],[Tee Markers]]="","",VLOOKUP(MergeNamesTable[[#This Row],[Tee Markers]],TeeMarkerTable,23,FALSE))</f>
        <v/>
      </c>
      <c r="Y27" s="59" t="str">
        <f>UPPER(MergeNamesTable[[#This Row],[Tournament]])</f>
        <v/>
      </c>
      <c r="Z27" s="6" t="str">
        <f>UPPER(MergeNamesTable[[#This Row],[Flight]])</f>
        <v/>
      </c>
      <c r="AA27" s="6" t="str">
        <f>UPPER(MergeNamesTable[[#This Row],[Tee Markers]])</f>
        <v/>
      </c>
      <c r="AB27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7" s="68" t="str">
        <f>IF(MergeNamesTable[[#This Row],[Start Time Day 2]]="","",TEXT(MergeNamesTable[[#This Row],[Start Time Day 2]],"HH:MM AM/PM"))</f>
        <v/>
      </c>
      <c r="AD27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7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7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7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7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7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7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7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7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7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7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7" s="72" t="str">
        <f>TEXT(MergeNamesTable[[#This Row],[Player 1 Handicap]],"##;+##;")</f>
        <v/>
      </c>
      <c r="AP27" s="7" t="str">
        <f>TEXT(MergeNamesTable[[#This Row],[Player 2 Handicap]],"##;+##;")</f>
        <v/>
      </c>
      <c r="AQ27" s="7" t="str">
        <f>TEXT(MergeNamesTable[[#This Row],[Player 3 Handicap]],"##;+##;")</f>
        <v/>
      </c>
      <c r="AR27" s="67" t="str">
        <f>TEXT(MergeNamesTable[[#This Row],[Player 4 Handicap]],"##;+##;")</f>
        <v/>
      </c>
      <c r="AS27" s="131" t="str">
        <f>TEXT(MergeNamesTable[[#This Row],[Player 5 Handicap]],"##;+##;")</f>
        <v/>
      </c>
      <c r="AT27" s="59" t="str">
        <f>UPPER(MergeNamesTable[[#This Row],[Player 1 First Last]])</f>
        <v/>
      </c>
      <c r="AU27" s="6" t="str">
        <f>UPPER(MergeNamesTable[[#This Row],[Player 2 First Last]])</f>
        <v/>
      </c>
      <c r="AV27" s="6" t="str">
        <f>UPPER(MergeNamesTable[[#This Row],[Player 3 First Last]])</f>
        <v/>
      </c>
      <c r="AW27" s="6" t="str">
        <f>UPPER(MergeNamesTable[[#This Row],[Player 4 First Last]])</f>
        <v/>
      </c>
      <c r="AX27" s="344" t="str">
        <f>UPPER(MergeNamesTable[[#This Row],[Player 5 First Last]])</f>
        <v/>
      </c>
      <c r="AY27" s="59" t="str">
        <f>UPPER(MergeNamesTable[[#This Row],[Player 1 First]])</f>
        <v/>
      </c>
      <c r="AZ27" s="6" t="str">
        <f>UPPER(MergeNamesTable[[#This Row],[Player 2 First]])</f>
        <v/>
      </c>
      <c r="BA27" s="6" t="str">
        <f>UPPER(MergeNamesTable[[#This Row],[Player 3 First]])</f>
        <v/>
      </c>
      <c r="BB27" s="6" t="str">
        <f>UPPER(MergeNamesTable[[#This Row],[Player 4 First]])</f>
        <v/>
      </c>
      <c r="BC27" s="344" t="str">
        <f>UPPER(MergeNamesTable[[#This Row],[Player 5 First]])</f>
        <v/>
      </c>
      <c r="BD27" s="59" t="str">
        <f>UPPER(MergeNamesTable[[#This Row],[Player 1 Last]])</f>
        <v/>
      </c>
      <c r="BE27" s="6" t="str">
        <f>UPPER(MergeNamesTable[[#This Row],[Player 2 Last]])</f>
        <v/>
      </c>
      <c r="BF27" s="6" t="str">
        <f>UPPER(MergeNamesTable[[#This Row],[Player 3 Last]])</f>
        <v/>
      </c>
      <c r="BG27" s="6" t="str">
        <f>UPPER(MergeNamesTable[[#This Row],[Player 4 Last]])</f>
        <v/>
      </c>
      <c r="BH27" s="344" t="str">
        <f>UPPER(MergeNamesTable[[#This Row],[Player 5 Last]])</f>
        <v/>
      </c>
      <c r="BI27" s="59" t="str">
        <f>UPPER(MergeNamesTable[[#This Row],[Player 1 Club]])</f>
        <v/>
      </c>
      <c r="BJ27" s="6" t="str">
        <f>UPPER(MergeNamesTable[[#This Row],[Player 2 Club]])</f>
        <v/>
      </c>
      <c r="BK27" s="6" t="str">
        <f>UPPER(MergeNamesTable[[#This Row],[Player 3 Club]])</f>
        <v/>
      </c>
      <c r="BL27" s="6" t="str">
        <f>UPPER(MergeNamesTable[[#This Row],[Player 4 Club]])</f>
        <v/>
      </c>
      <c r="BM27" s="344" t="str">
        <f>UPPER(MergeNamesTable[[#This Row],[Player 5 Club]])</f>
        <v/>
      </c>
      <c r="BN27" s="212"/>
      <c r="BO27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7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7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7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7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7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7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7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7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7" s="70" t="str">
        <f>IF(MergeNamesTable[[#This Row],[Player 1 Tees]]="","",VLOOKUP(MergeNamesTable[[#This Row],[Player 1 Tees]],TeeMarkerTable,23,FALSE))</f>
        <v/>
      </c>
      <c r="BY27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7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7" s="218"/>
      <c r="CB27" s="219"/>
      <c r="CC27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7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7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7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7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7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7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7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7" s="214" t="str">
        <f>IF(MergeNamesTable[[#This Row],[Player 2 Male]]="Female",'Defaults and Lookup Lists'!$B$4,IF(MergeNamesTable[[#This Row],[Tee Markers]]="","",MergeNamesTable[[#This Row],[Tee Markers]]))</f>
        <v/>
      </c>
      <c r="CL27" s="7" t="str">
        <f>IF(MergeNamesTable[[#This Row],[Player 2 Tees]]="","",VLOOKUP(MergeNamesTable[[#This Row],[Player 2 Tees]],TeeMarkerTable,23,FALSE))</f>
        <v/>
      </c>
      <c r="CM27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7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7" s="218"/>
      <c r="CP27" s="219"/>
      <c r="CQ27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7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7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7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7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7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7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7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7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7" s="7" t="str">
        <f>IF(MergeNamesTable[[#This Row],[Player 3 Tees]]="","",VLOOKUP(MergeNamesTable[[#This Row],[Player 3 Tees]],TeeMarkerTable,23,FALSE))</f>
        <v/>
      </c>
      <c r="DA27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7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7" s="218"/>
      <c r="DD27" s="212"/>
      <c r="DE27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7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7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7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7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7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7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7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7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7" s="7" t="str">
        <f>IF(MergeNamesTable[[#This Row],[Player 4 Tees]]="","",VLOOKUP(MergeNamesTable[[#This Row],[Player 4 Tees]],TeeMarkerTable,23,FALSE))</f>
        <v/>
      </c>
      <c r="DO27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7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7" s="225"/>
      <c r="DR27" s="226"/>
      <c r="DS27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7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7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7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7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7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7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7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7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7" s="161" t="str">
        <f>IF(MergeNamesTable[[#This Row],[Player 5 Tees]]="","",VLOOKUP(MergeNamesTable[[#This Row],[Player 5 Tees]],TeeMarkerTable,23,FALSE))</f>
        <v/>
      </c>
      <c r="EC27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7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7" s="230"/>
      <c r="EF27" s="73"/>
      <c r="EG27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7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7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7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7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7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7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7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7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7" s="107"/>
      <c r="EQ27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7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7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7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7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7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7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7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7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7" s="77"/>
      <c r="FA27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7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7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7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7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7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7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7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7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7" s="110"/>
      <c r="FK27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7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7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7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7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7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7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7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7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7" s="77"/>
      <c r="FU27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7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7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7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7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7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7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7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7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7" s="107"/>
      <c r="GE27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7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7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7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7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7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7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7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7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7" s="77"/>
      <c r="GO27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7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7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7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7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7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7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7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7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7" s="79"/>
      <c r="GY27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7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7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7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7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7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7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7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7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7" s="78"/>
      <c r="HI27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7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7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7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7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7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7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7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7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7" s="78"/>
      <c r="HS27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7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7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7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7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7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7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7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7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7" s="78"/>
    </row>
    <row r="28" spans="1:236" ht="21" customHeight="1">
      <c r="A28" s="365">
        <v>27</v>
      </c>
      <c r="B28" s="362" t="str">
        <f>MergeNamesTable[[#This Row],[Team Name Concat]]</f>
        <v/>
      </c>
      <c r="C28" s="59" t="str">
        <f>UPPER(MergeNamesTable[[#This Row],[Team Name]])</f>
        <v/>
      </c>
      <c r="D28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8" s="60" t="str">
        <f>UPPER(MergeNamesTable[[#This Row],[Team Name Concat]])</f>
        <v/>
      </c>
      <c r="F28" s="61">
        <f>MergeNamesTable[[#This Row],[Player 1 Handicap]]+MergeNamesTable[[#This Row],[Player 2 Handicap]]+MergeNamesTable[[#This Row],[Player 3 Handicap]]+MergeNamesTable[[#This Row],[Player 4 Handicap]]</f>
        <v>0</v>
      </c>
      <c r="G28" s="62">
        <f>IF(ISERROR(MergeNamesTable[[#This Row],[Handicap Team Total]]/4),0,ROUND(MergeNamesTable[[#This Row],[Handicap Team Total]]/4,0))</f>
        <v>0</v>
      </c>
      <c r="H28" s="62">
        <f>ROUND(((MergeNamesTable[[#This Row],[Player 1 Handicap]]+MergeNamesTable[[#This Row],[Player 2 Handicap]])*0.25)*0.335,0)</f>
        <v>0</v>
      </c>
      <c r="I28" s="62">
        <f>ROUND(((MergeNamesTable[[#This Row],[Player 1 Handicap]]+MergeNamesTable[[#This Row],[Player 2 Handicap]])*0.5)*0.335,0)</f>
        <v>0</v>
      </c>
      <c r="J28" s="63"/>
      <c r="K28" s="64" t="str">
        <f>IF(OR(MergeNamesTable[[#This Row],[Team Name]]&lt;&gt;"",MergeNamesTable[[#This Row],[Player 1 First Last]]&lt;&gt;""),'Defaults and Lookup Lists'!$B$2,"")</f>
        <v/>
      </c>
      <c r="L28" s="201"/>
      <c r="M28" s="65" t="str">
        <f>IF(OR(MergeNamesTable[[#This Row],[Team Name]]&lt;&gt;"",MergeNamesTable[[#This Row],[Player 1 First Last]]&lt;&gt;""),TEXT('Defaults and Lookup Lists'!$B$7,"ddd, mmm d, yyyy"),"")</f>
        <v/>
      </c>
      <c r="N28" s="311" t="str">
        <f>IF(OR(MergeNamesTable[[#This Row],[Team Name]]&lt;&gt;"",MergeNamesTable[[#This Row],[Player 1 First Last]]&lt;&gt;""),IF('Defaults and Lookup Lists'!$D$3="","",'Defaults and Lookup Lists'!$D$3),"")</f>
        <v/>
      </c>
      <c r="O28" s="247" t="str">
        <f>IF(OR(MergeNamesTable[[#This Row],[Team Name]]&lt;&gt;"",MergeNamesTable[[#This Row],[Player 1 First Last]]&lt;&gt;""),IF('Defaults and Lookup Lists'!$D$4="","",'Defaults and Lookup Lists'!$D$4),"")</f>
        <v/>
      </c>
      <c r="P28" s="247" t="str">
        <f>IF(OR(MergeNamesTable[[#This Row],[Team Name]]&lt;&gt;"",MergeNamesTable[[#This Row],[Player 1 First Last]]&lt;&gt;""),IF('Defaults and Lookup Lists'!$D$2="Shotgun","A",""),"")</f>
        <v/>
      </c>
      <c r="Q28" s="220" t="str">
        <f>IF(OR(MergeNamesTable[[#This Row],[Team Name]]&lt;&gt;"",MergeNamesTable[[#This Row],[Player 1 First Last]]&lt;&gt;""),IF('Defaults and Lookup Lists'!$B$6="","",'Defaults and Lookup Lists'!$B$6),"")</f>
        <v/>
      </c>
      <c r="R28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8" s="312" t="str">
        <f>IF(MergeNamesTable[[#This Row],[Entry Fee Team]]="","",MergeNamesTable[[#This Row],[Entry Fee Team]]-MergeNamesTable[[#This Row],[Entry Fee Paid]])</f>
        <v/>
      </c>
      <c r="T28" s="201"/>
      <c r="U28" s="201"/>
      <c r="V28" s="201"/>
      <c r="W28" s="201" t="str">
        <f>IF(OR(MergeNamesTable[[#This Row],[Team Name]]&lt;&gt;"",MergeNamesTable[[#This Row],[Player 1 First Last]]&lt;&gt;""),'Defaults and Lookup Lists'!$B$3,"")</f>
        <v/>
      </c>
      <c r="X28" s="67" t="str">
        <f>IF(MergeNamesTable[[#This Row],[Tee Markers]]="","",VLOOKUP(MergeNamesTable[[#This Row],[Tee Markers]],TeeMarkerTable,23,FALSE))</f>
        <v/>
      </c>
      <c r="Y28" s="59" t="str">
        <f>UPPER(MergeNamesTable[[#This Row],[Tournament]])</f>
        <v/>
      </c>
      <c r="Z28" s="6" t="str">
        <f>UPPER(MergeNamesTable[[#This Row],[Flight]])</f>
        <v/>
      </c>
      <c r="AA28" s="6" t="str">
        <f>UPPER(MergeNamesTable[[#This Row],[Tee Markers]])</f>
        <v/>
      </c>
      <c r="AB28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8" s="68" t="str">
        <f>IF(MergeNamesTable[[#This Row],[Start Time Day 2]]="","",TEXT(MergeNamesTable[[#This Row],[Start Time Day 2]],"HH:MM AM/PM"))</f>
        <v/>
      </c>
      <c r="AD28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8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8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8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8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8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8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8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8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8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8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8" s="72" t="str">
        <f>TEXT(MergeNamesTable[[#This Row],[Player 1 Handicap]],"##;+##;")</f>
        <v/>
      </c>
      <c r="AP28" s="7" t="str">
        <f>TEXT(MergeNamesTable[[#This Row],[Player 2 Handicap]],"##;+##;")</f>
        <v/>
      </c>
      <c r="AQ28" s="7" t="str">
        <f>TEXT(MergeNamesTable[[#This Row],[Player 3 Handicap]],"##;+##;")</f>
        <v/>
      </c>
      <c r="AR28" s="67" t="str">
        <f>TEXT(MergeNamesTable[[#This Row],[Player 4 Handicap]],"##;+##;")</f>
        <v/>
      </c>
      <c r="AS28" s="131" t="str">
        <f>TEXT(MergeNamesTable[[#This Row],[Player 5 Handicap]],"##;+##;")</f>
        <v/>
      </c>
      <c r="AT28" s="59" t="str">
        <f>UPPER(MergeNamesTable[[#This Row],[Player 1 First Last]])</f>
        <v/>
      </c>
      <c r="AU28" s="6" t="str">
        <f>UPPER(MergeNamesTable[[#This Row],[Player 2 First Last]])</f>
        <v/>
      </c>
      <c r="AV28" s="6" t="str">
        <f>UPPER(MergeNamesTable[[#This Row],[Player 3 First Last]])</f>
        <v/>
      </c>
      <c r="AW28" s="6" t="str">
        <f>UPPER(MergeNamesTable[[#This Row],[Player 4 First Last]])</f>
        <v/>
      </c>
      <c r="AX28" s="344" t="str">
        <f>UPPER(MergeNamesTable[[#This Row],[Player 5 First Last]])</f>
        <v/>
      </c>
      <c r="AY28" s="59" t="str">
        <f>UPPER(MergeNamesTable[[#This Row],[Player 1 First]])</f>
        <v/>
      </c>
      <c r="AZ28" s="6" t="str">
        <f>UPPER(MergeNamesTable[[#This Row],[Player 2 First]])</f>
        <v/>
      </c>
      <c r="BA28" s="6" t="str">
        <f>UPPER(MergeNamesTable[[#This Row],[Player 3 First]])</f>
        <v/>
      </c>
      <c r="BB28" s="6" t="str">
        <f>UPPER(MergeNamesTable[[#This Row],[Player 4 First]])</f>
        <v/>
      </c>
      <c r="BC28" s="344" t="str">
        <f>UPPER(MergeNamesTable[[#This Row],[Player 5 First]])</f>
        <v/>
      </c>
      <c r="BD28" s="59" t="str">
        <f>UPPER(MergeNamesTable[[#This Row],[Player 1 Last]])</f>
        <v/>
      </c>
      <c r="BE28" s="6" t="str">
        <f>UPPER(MergeNamesTable[[#This Row],[Player 2 Last]])</f>
        <v/>
      </c>
      <c r="BF28" s="6" t="str">
        <f>UPPER(MergeNamesTable[[#This Row],[Player 3 Last]])</f>
        <v/>
      </c>
      <c r="BG28" s="6" t="str">
        <f>UPPER(MergeNamesTable[[#This Row],[Player 4 Last]])</f>
        <v/>
      </c>
      <c r="BH28" s="344" t="str">
        <f>UPPER(MergeNamesTable[[#This Row],[Player 5 Last]])</f>
        <v/>
      </c>
      <c r="BI28" s="59" t="str">
        <f>UPPER(MergeNamesTable[[#This Row],[Player 1 Club]])</f>
        <v/>
      </c>
      <c r="BJ28" s="6" t="str">
        <f>UPPER(MergeNamesTable[[#This Row],[Player 2 Club]])</f>
        <v/>
      </c>
      <c r="BK28" s="6" t="str">
        <f>UPPER(MergeNamesTable[[#This Row],[Player 3 Club]])</f>
        <v/>
      </c>
      <c r="BL28" s="6" t="str">
        <f>UPPER(MergeNamesTable[[#This Row],[Player 4 Club]])</f>
        <v/>
      </c>
      <c r="BM28" s="344" t="str">
        <f>UPPER(MergeNamesTable[[#This Row],[Player 5 Club]])</f>
        <v/>
      </c>
      <c r="BN28" s="212"/>
      <c r="BO28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8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8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8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8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8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8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8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8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8" s="70" t="str">
        <f>IF(MergeNamesTable[[#This Row],[Player 1 Tees]]="","",VLOOKUP(MergeNamesTable[[#This Row],[Player 1 Tees]],TeeMarkerTable,23,FALSE))</f>
        <v/>
      </c>
      <c r="BY28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8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8" s="218"/>
      <c r="CB28" s="219"/>
      <c r="CC28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8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8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8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8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8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8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8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8" s="214" t="str">
        <f>IF(MergeNamesTable[[#This Row],[Player 2 Male]]="Female",'Defaults and Lookup Lists'!$B$4,IF(MergeNamesTable[[#This Row],[Tee Markers]]="","",MergeNamesTable[[#This Row],[Tee Markers]]))</f>
        <v/>
      </c>
      <c r="CL28" s="7" t="str">
        <f>IF(MergeNamesTable[[#This Row],[Player 2 Tees]]="","",VLOOKUP(MergeNamesTable[[#This Row],[Player 2 Tees]],TeeMarkerTable,23,FALSE))</f>
        <v/>
      </c>
      <c r="CM28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8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8" s="218"/>
      <c r="CP28" s="219"/>
      <c r="CQ28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8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8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8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8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8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8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8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8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8" s="7" t="str">
        <f>IF(MergeNamesTable[[#This Row],[Player 3 Tees]]="","",VLOOKUP(MergeNamesTable[[#This Row],[Player 3 Tees]],TeeMarkerTable,23,FALSE))</f>
        <v/>
      </c>
      <c r="DA28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8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8" s="218"/>
      <c r="DD28" s="212"/>
      <c r="DE28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8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8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8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8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8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8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8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8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8" s="7" t="str">
        <f>IF(MergeNamesTable[[#This Row],[Player 4 Tees]]="","",VLOOKUP(MergeNamesTable[[#This Row],[Player 4 Tees]],TeeMarkerTable,23,FALSE))</f>
        <v/>
      </c>
      <c r="DO28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8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8" s="225"/>
      <c r="DR28" s="226"/>
      <c r="DS28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8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8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8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8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8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8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8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8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8" s="161" t="str">
        <f>IF(MergeNamesTable[[#This Row],[Player 5 Tees]]="","",VLOOKUP(MergeNamesTable[[#This Row],[Player 5 Tees]],TeeMarkerTable,23,FALSE))</f>
        <v/>
      </c>
      <c r="EC28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8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8" s="230"/>
      <c r="EF28" s="73"/>
      <c r="EG28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8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8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8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8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8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8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8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8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8" s="107"/>
      <c r="EQ28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8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8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8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8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8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8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8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8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8" s="77"/>
      <c r="FA28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8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8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8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8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8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8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8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8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8" s="110"/>
      <c r="FK28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8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8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8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8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8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8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8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8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8" s="77"/>
      <c r="FU28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8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8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8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8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8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8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8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8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8" s="107"/>
      <c r="GE28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8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8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8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8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8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8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8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8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8" s="77"/>
      <c r="GO28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8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8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8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8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8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8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8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8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8" s="79"/>
      <c r="GY28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8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8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8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8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8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8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8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8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8" s="78"/>
      <c r="HI28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8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8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8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8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8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8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8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8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8" s="78"/>
      <c r="HS28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8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8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8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8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8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8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8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8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8" s="78"/>
    </row>
    <row r="29" spans="1:236" ht="21" customHeight="1">
      <c r="A29" s="365">
        <v>28</v>
      </c>
      <c r="B29" s="362" t="str">
        <f>MergeNamesTable[[#This Row],[Team Name Concat]]</f>
        <v/>
      </c>
      <c r="C29" s="59" t="str">
        <f>UPPER(MergeNamesTable[[#This Row],[Team Name]])</f>
        <v/>
      </c>
      <c r="D29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29" s="60" t="str">
        <f>UPPER(MergeNamesTable[[#This Row],[Team Name Concat]])</f>
        <v/>
      </c>
      <c r="F29" s="61">
        <f>MergeNamesTable[[#This Row],[Player 1 Handicap]]+MergeNamesTable[[#This Row],[Player 2 Handicap]]+MergeNamesTable[[#This Row],[Player 3 Handicap]]+MergeNamesTable[[#This Row],[Player 4 Handicap]]</f>
        <v>0</v>
      </c>
      <c r="G29" s="62">
        <f>IF(ISERROR(MergeNamesTable[[#This Row],[Handicap Team Total]]/4),0,ROUND(MergeNamesTable[[#This Row],[Handicap Team Total]]/4,0))</f>
        <v>0</v>
      </c>
      <c r="H29" s="62">
        <f>ROUND(((MergeNamesTable[[#This Row],[Player 1 Handicap]]+MergeNamesTable[[#This Row],[Player 2 Handicap]])*0.25)*0.335,0)</f>
        <v>0</v>
      </c>
      <c r="I29" s="62">
        <f>ROUND(((MergeNamesTable[[#This Row],[Player 1 Handicap]]+MergeNamesTable[[#This Row],[Player 2 Handicap]])*0.5)*0.335,0)</f>
        <v>0</v>
      </c>
      <c r="J29" s="63"/>
      <c r="K29" s="64" t="str">
        <f>IF(OR(MergeNamesTable[[#This Row],[Team Name]]&lt;&gt;"",MergeNamesTable[[#This Row],[Player 1 First Last]]&lt;&gt;""),'Defaults and Lookup Lists'!$B$2,"")</f>
        <v/>
      </c>
      <c r="L29" s="201"/>
      <c r="M29" s="65" t="str">
        <f>IF(OR(MergeNamesTable[[#This Row],[Team Name]]&lt;&gt;"",MergeNamesTable[[#This Row],[Player 1 First Last]]&lt;&gt;""),TEXT('Defaults and Lookup Lists'!$B$7,"ddd, mmm d, yyyy"),"")</f>
        <v/>
      </c>
      <c r="N29" s="311" t="str">
        <f>IF(OR(MergeNamesTable[[#This Row],[Team Name]]&lt;&gt;"",MergeNamesTable[[#This Row],[Player 1 First Last]]&lt;&gt;""),IF('Defaults and Lookup Lists'!$D$3="","",'Defaults and Lookup Lists'!$D$3),"")</f>
        <v/>
      </c>
      <c r="O29" s="247" t="str">
        <f>IF(OR(MergeNamesTable[[#This Row],[Team Name]]&lt;&gt;"",MergeNamesTable[[#This Row],[Player 1 First Last]]&lt;&gt;""),IF('Defaults and Lookup Lists'!$D$4="","",'Defaults and Lookup Lists'!$D$4),"")</f>
        <v/>
      </c>
      <c r="P29" s="247" t="str">
        <f>IF(OR(MergeNamesTable[[#This Row],[Team Name]]&lt;&gt;"",MergeNamesTable[[#This Row],[Player 1 First Last]]&lt;&gt;""),IF('Defaults and Lookup Lists'!$D$2="Shotgun","A",""),"")</f>
        <v/>
      </c>
      <c r="Q29" s="220" t="str">
        <f>IF(OR(MergeNamesTable[[#This Row],[Team Name]]&lt;&gt;"",MergeNamesTable[[#This Row],[Player 1 First Last]]&lt;&gt;""),IF('Defaults and Lookup Lists'!$B$6="","",'Defaults and Lookup Lists'!$B$6),"")</f>
        <v/>
      </c>
      <c r="R29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29" s="312" t="str">
        <f>IF(MergeNamesTable[[#This Row],[Entry Fee Team]]="","",MergeNamesTable[[#This Row],[Entry Fee Team]]-MergeNamesTable[[#This Row],[Entry Fee Paid]])</f>
        <v/>
      </c>
      <c r="T29" s="201"/>
      <c r="U29" s="201"/>
      <c r="V29" s="201"/>
      <c r="W29" s="201" t="str">
        <f>IF(OR(MergeNamesTable[[#This Row],[Team Name]]&lt;&gt;"",MergeNamesTable[[#This Row],[Player 1 First Last]]&lt;&gt;""),'Defaults and Lookup Lists'!$B$3,"")</f>
        <v/>
      </c>
      <c r="X29" s="67" t="str">
        <f>IF(MergeNamesTable[[#This Row],[Tee Markers]]="","",VLOOKUP(MergeNamesTable[[#This Row],[Tee Markers]],TeeMarkerTable,23,FALSE))</f>
        <v/>
      </c>
      <c r="Y29" s="59" t="str">
        <f>UPPER(MergeNamesTable[[#This Row],[Tournament]])</f>
        <v/>
      </c>
      <c r="Z29" s="6" t="str">
        <f>UPPER(MergeNamesTable[[#This Row],[Flight]])</f>
        <v/>
      </c>
      <c r="AA29" s="6" t="str">
        <f>UPPER(MergeNamesTable[[#This Row],[Tee Markers]])</f>
        <v/>
      </c>
      <c r="AB29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29" s="68" t="str">
        <f>IF(MergeNamesTable[[#This Row],[Start Time Day 2]]="","",TEXT(MergeNamesTable[[#This Row],[Start Time Day 2]],"HH:MM AM/PM"))</f>
        <v/>
      </c>
      <c r="AD29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29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29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29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29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29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29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29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29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29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29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29" s="72" t="str">
        <f>TEXT(MergeNamesTable[[#This Row],[Player 1 Handicap]],"##;+##;")</f>
        <v/>
      </c>
      <c r="AP29" s="7" t="str">
        <f>TEXT(MergeNamesTable[[#This Row],[Player 2 Handicap]],"##;+##;")</f>
        <v/>
      </c>
      <c r="AQ29" s="7" t="str">
        <f>TEXT(MergeNamesTable[[#This Row],[Player 3 Handicap]],"##;+##;")</f>
        <v/>
      </c>
      <c r="AR29" s="67" t="str">
        <f>TEXT(MergeNamesTable[[#This Row],[Player 4 Handicap]],"##;+##;")</f>
        <v/>
      </c>
      <c r="AS29" s="131" t="str">
        <f>TEXT(MergeNamesTable[[#This Row],[Player 5 Handicap]],"##;+##;")</f>
        <v/>
      </c>
      <c r="AT29" s="59" t="str">
        <f>UPPER(MergeNamesTable[[#This Row],[Player 1 First Last]])</f>
        <v/>
      </c>
      <c r="AU29" s="6" t="str">
        <f>UPPER(MergeNamesTable[[#This Row],[Player 2 First Last]])</f>
        <v/>
      </c>
      <c r="AV29" s="6" t="str">
        <f>UPPER(MergeNamesTable[[#This Row],[Player 3 First Last]])</f>
        <v/>
      </c>
      <c r="AW29" s="6" t="str">
        <f>UPPER(MergeNamesTable[[#This Row],[Player 4 First Last]])</f>
        <v/>
      </c>
      <c r="AX29" s="344" t="str">
        <f>UPPER(MergeNamesTable[[#This Row],[Player 5 First Last]])</f>
        <v/>
      </c>
      <c r="AY29" s="59" t="str">
        <f>UPPER(MergeNamesTable[[#This Row],[Player 1 First]])</f>
        <v/>
      </c>
      <c r="AZ29" s="6" t="str">
        <f>UPPER(MergeNamesTable[[#This Row],[Player 2 First]])</f>
        <v/>
      </c>
      <c r="BA29" s="6" t="str">
        <f>UPPER(MergeNamesTable[[#This Row],[Player 3 First]])</f>
        <v/>
      </c>
      <c r="BB29" s="6" t="str">
        <f>UPPER(MergeNamesTable[[#This Row],[Player 4 First]])</f>
        <v/>
      </c>
      <c r="BC29" s="344" t="str">
        <f>UPPER(MergeNamesTable[[#This Row],[Player 5 First]])</f>
        <v/>
      </c>
      <c r="BD29" s="59" t="str">
        <f>UPPER(MergeNamesTable[[#This Row],[Player 1 Last]])</f>
        <v/>
      </c>
      <c r="BE29" s="6" t="str">
        <f>UPPER(MergeNamesTable[[#This Row],[Player 2 Last]])</f>
        <v/>
      </c>
      <c r="BF29" s="6" t="str">
        <f>UPPER(MergeNamesTable[[#This Row],[Player 3 Last]])</f>
        <v/>
      </c>
      <c r="BG29" s="6" t="str">
        <f>UPPER(MergeNamesTable[[#This Row],[Player 4 Last]])</f>
        <v/>
      </c>
      <c r="BH29" s="344" t="str">
        <f>UPPER(MergeNamesTable[[#This Row],[Player 5 Last]])</f>
        <v/>
      </c>
      <c r="BI29" s="59" t="str">
        <f>UPPER(MergeNamesTable[[#This Row],[Player 1 Club]])</f>
        <v/>
      </c>
      <c r="BJ29" s="6" t="str">
        <f>UPPER(MergeNamesTable[[#This Row],[Player 2 Club]])</f>
        <v/>
      </c>
      <c r="BK29" s="6" t="str">
        <f>UPPER(MergeNamesTable[[#This Row],[Player 3 Club]])</f>
        <v/>
      </c>
      <c r="BL29" s="6" t="str">
        <f>UPPER(MergeNamesTable[[#This Row],[Player 4 Club]])</f>
        <v/>
      </c>
      <c r="BM29" s="344" t="str">
        <f>UPPER(MergeNamesTable[[#This Row],[Player 5 Club]])</f>
        <v/>
      </c>
      <c r="BN29" s="212"/>
      <c r="BO29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29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29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29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29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29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29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29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29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29" s="70" t="str">
        <f>IF(MergeNamesTable[[#This Row],[Player 1 Tees]]="","",VLOOKUP(MergeNamesTable[[#This Row],[Player 1 Tees]],TeeMarkerTable,23,FALSE))</f>
        <v/>
      </c>
      <c r="BY29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29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29" s="218"/>
      <c r="CB29" s="219"/>
      <c r="CC29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29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29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29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29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29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29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29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29" s="214" t="str">
        <f>IF(MergeNamesTable[[#This Row],[Player 2 Male]]="Female",'Defaults and Lookup Lists'!$B$4,IF(MergeNamesTable[[#This Row],[Tee Markers]]="","",MergeNamesTable[[#This Row],[Tee Markers]]))</f>
        <v/>
      </c>
      <c r="CL29" s="7" t="str">
        <f>IF(MergeNamesTable[[#This Row],[Player 2 Tees]]="","",VLOOKUP(MergeNamesTable[[#This Row],[Player 2 Tees]],TeeMarkerTable,23,FALSE))</f>
        <v/>
      </c>
      <c r="CM29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29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29" s="218"/>
      <c r="CP29" s="219"/>
      <c r="CQ29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29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29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29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29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29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29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29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29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29" s="7" t="str">
        <f>IF(MergeNamesTable[[#This Row],[Player 3 Tees]]="","",VLOOKUP(MergeNamesTable[[#This Row],[Player 3 Tees]],TeeMarkerTable,23,FALSE))</f>
        <v/>
      </c>
      <c r="DA29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29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29" s="218"/>
      <c r="DD29" s="212"/>
      <c r="DE29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29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29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29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29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29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29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29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29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29" s="7" t="str">
        <f>IF(MergeNamesTable[[#This Row],[Player 4 Tees]]="","",VLOOKUP(MergeNamesTable[[#This Row],[Player 4 Tees]],TeeMarkerTable,23,FALSE))</f>
        <v/>
      </c>
      <c r="DO29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29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29" s="225"/>
      <c r="DR29" s="226"/>
      <c r="DS29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29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29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29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29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29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29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29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29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29" s="161" t="str">
        <f>IF(MergeNamesTable[[#This Row],[Player 5 Tees]]="","",VLOOKUP(MergeNamesTable[[#This Row],[Player 5 Tees]],TeeMarkerTable,23,FALSE))</f>
        <v/>
      </c>
      <c r="EC29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29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29" s="230"/>
      <c r="EF29" s="73"/>
      <c r="EG29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29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29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29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29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29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29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29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29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29" s="107"/>
      <c r="EQ29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29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29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29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29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29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29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29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29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29" s="77"/>
      <c r="FA29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29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29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29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29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29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29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29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29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29" s="110"/>
      <c r="FK29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29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29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29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29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29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29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29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29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29" s="77"/>
      <c r="FU29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29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29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29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29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29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29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29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29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29" s="107"/>
      <c r="GE29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29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29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29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29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29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29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29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29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29" s="77"/>
      <c r="GO29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29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29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29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29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29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29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29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29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29" s="79"/>
      <c r="GY29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29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29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29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29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29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29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29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29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29" s="78"/>
      <c r="HI29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29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29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29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29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29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29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29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29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29" s="78"/>
      <c r="HS29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29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29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29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29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29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29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29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29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29" s="78"/>
    </row>
    <row r="30" spans="1:236" ht="21" customHeight="1">
      <c r="A30" s="365">
        <v>29</v>
      </c>
      <c r="B30" s="362" t="str">
        <f>MergeNamesTable[[#This Row],[Team Name Concat]]</f>
        <v/>
      </c>
      <c r="C30" s="59" t="str">
        <f>UPPER(MergeNamesTable[[#This Row],[Team Name]])</f>
        <v/>
      </c>
      <c r="D30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0" s="60" t="str">
        <f>UPPER(MergeNamesTable[[#This Row],[Team Name Concat]])</f>
        <v/>
      </c>
      <c r="F30" s="61">
        <f>MergeNamesTable[[#This Row],[Player 1 Handicap]]+MergeNamesTable[[#This Row],[Player 2 Handicap]]+MergeNamesTable[[#This Row],[Player 3 Handicap]]+MergeNamesTable[[#This Row],[Player 4 Handicap]]</f>
        <v>0</v>
      </c>
      <c r="G30" s="62">
        <f>IF(ISERROR(MergeNamesTable[[#This Row],[Handicap Team Total]]/4),0,ROUND(MergeNamesTable[[#This Row],[Handicap Team Total]]/4,0))</f>
        <v>0</v>
      </c>
      <c r="H30" s="62">
        <f>ROUND(((MergeNamesTable[[#This Row],[Player 1 Handicap]]+MergeNamesTable[[#This Row],[Player 2 Handicap]])*0.25)*0.335,0)</f>
        <v>0</v>
      </c>
      <c r="I30" s="62">
        <f>ROUND(((MergeNamesTable[[#This Row],[Player 1 Handicap]]+MergeNamesTable[[#This Row],[Player 2 Handicap]])*0.5)*0.335,0)</f>
        <v>0</v>
      </c>
      <c r="J30" s="63"/>
      <c r="K30" s="64" t="str">
        <f>IF(OR(MergeNamesTable[[#This Row],[Team Name]]&lt;&gt;"",MergeNamesTable[[#This Row],[Player 1 First Last]]&lt;&gt;""),'Defaults and Lookup Lists'!$B$2,"")</f>
        <v/>
      </c>
      <c r="L30" s="201"/>
      <c r="M30" s="65" t="str">
        <f>IF(OR(MergeNamesTable[[#This Row],[Team Name]]&lt;&gt;"",MergeNamesTable[[#This Row],[Player 1 First Last]]&lt;&gt;""),TEXT('Defaults and Lookup Lists'!$B$7,"ddd, mmm d, yyyy"),"")</f>
        <v/>
      </c>
      <c r="N30" s="311" t="str">
        <f>IF(OR(MergeNamesTable[[#This Row],[Team Name]]&lt;&gt;"",MergeNamesTable[[#This Row],[Player 1 First Last]]&lt;&gt;""),IF('Defaults and Lookup Lists'!$D$3="","",'Defaults and Lookup Lists'!$D$3),"")</f>
        <v/>
      </c>
      <c r="O30" s="247" t="str">
        <f>IF(OR(MergeNamesTable[[#This Row],[Team Name]]&lt;&gt;"",MergeNamesTable[[#This Row],[Player 1 First Last]]&lt;&gt;""),IF('Defaults and Lookup Lists'!$D$4="","",'Defaults and Lookup Lists'!$D$4),"")</f>
        <v/>
      </c>
      <c r="P30" s="247" t="str">
        <f>IF(OR(MergeNamesTable[[#This Row],[Team Name]]&lt;&gt;"",MergeNamesTable[[#This Row],[Player 1 First Last]]&lt;&gt;""),IF('Defaults and Lookup Lists'!$D$2="Shotgun","A",""),"")</f>
        <v/>
      </c>
      <c r="Q30" s="220" t="str">
        <f>IF(OR(MergeNamesTable[[#This Row],[Team Name]]&lt;&gt;"",MergeNamesTable[[#This Row],[Player 1 First Last]]&lt;&gt;""),IF('Defaults and Lookup Lists'!$B$6="","",'Defaults and Lookup Lists'!$B$6),"")</f>
        <v/>
      </c>
      <c r="R30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0" s="312" t="str">
        <f>IF(MergeNamesTable[[#This Row],[Entry Fee Team]]="","",MergeNamesTable[[#This Row],[Entry Fee Team]]-MergeNamesTable[[#This Row],[Entry Fee Paid]])</f>
        <v/>
      </c>
      <c r="T30" s="201"/>
      <c r="U30" s="201"/>
      <c r="V30" s="201"/>
      <c r="W30" s="201" t="str">
        <f>IF(OR(MergeNamesTable[[#This Row],[Team Name]]&lt;&gt;"",MergeNamesTable[[#This Row],[Player 1 First Last]]&lt;&gt;""),'Defaults and Lookup Lists'!$B$3,"")</f>
        <v/>
      </c>
      <c r="X30" s="67" t="str">
        <f>IF(MergeNamesTable[[#This Row],[Tee Markers]]="","",VLOOKUP(MergeNamesTable[[#This Row],[Tee Markers]],TeeMarkerTable,23,FALSE))</f>
        <v/>
      </c>
      <c r="Y30" s="59" t="str">
        <f>UPPER(MergeNamesTable[[#This Row],[Tournament]])</f>
        <v/>
      </c>
      <c r="Z30" s="6" t="str">
        <f>UPPER(MergeNamesTable[[#This Row],[Flight]])</f>
        <v/>
      </c>
      <c r="AA30" s="6" t="str">
        <f>UPPER(MergeNamesTable[[#This Row],[Tee Markers]])</f>
        <v/>
      </c>
      <c r="AB30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0" s="68" t="str">
        <f>IF(MergeNamesTable[[#This Row],[Start Time Day 2]]="","",TEXT(MergeNamesTable[[#This Row],[Start Time Day 2]],"HH:MM AM/PM"))</f>
        <v/>
      </c>
      <c r="AD30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0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0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0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0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0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0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0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0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0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0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0" s="72" t="str">
        <f>TEXT(MergeNamesTable[[#This Row],[Player 1 Handicap]],"##;+##;")</f>
        <v/>
      </c>
      <c r="AP30" s="7" t="str">
        <f>TEXT(MergeNamesTable[[#This Row],[Player 2 Handicap]],"##;+##;")</f>
        <v/>
      </c>
      <c r="AQ30" s="7" t="str">
        <f>TEXT(MergeNamesTable[[#This Row],[Player 3 Handicap]],"##;+##;")</f>
        <v/>
      </c>
      <c r="AR30" s="67" t="str">
        <f>TEXT(MergeNamesTable[[#This Row],[Player 4 Handicap]],"##;+##;")</f>
        <v/>
      </c>
      <c r="AS30" s="131" t="str">
        <f>TEXT(MergeNamesTable[[#This Row],[Player 5 Handicap]],"##;+##;")</f>
        <v/>
      </c>
      <c r="AT30" s="59" t="str">
        <f>UPPER(MergeNamesTable[[#This Row],[Player 1 First Last]])</f>
        <v/>
      </c>
      <c r="AU30" s="6" t="str">
        <f>UPPER(MergeNamesTable[[#This Row],[Player 2 First Last]])</f>
        <v/>
      </c>
      <c r="AV30" s="6" t="str">
        <f>UPPER(MergeNamesTable[[#This Row],[Player 3 First Last]])</f>
        <v/>
      </c>
      <c r="AW30" s="6" t="str">
        <f>UPPER(MergeNamesTable[[#This Row],[Player 4 First Last]])</f>
        <v/>
      </c>
      <c r="AX30" s="344" t="str">
        <f>UPPER(MergeNamesTable[[#This Row],[Player 5 First Last]])</f>
        <v/>
      </c>
      <c r="AY30" s="59" t="str">
        <f>UPPER(MergeNamesTable[[#This Row],[Player 1 First]])</f>
        <v/>
      </c>
      <c r="AZ30" s="6" t="str">
        <f>UPPER(MergeNamesTable[[#This Row],[Player 2 First]])</f>
        <v/>
      </c>
      <c r="BA30" s="6" t="str">
        <f>UPPER(MergeNamesTable[[#This Row],[Player 3 First]])</f>
        <v/>
      </c>
      <c r="BB30" s="6" t="str">
        <f>UPPER(MergeNamesTable[[#This Row],[Player 4 First]])</f>
        <v/>
      </c>
      <c r="BC30" s="344" t="str">
        <f>UPPER(MergeNamesTable[[#This Row],[Player 5 First]])</f>
        <v/>
      </c>
      <c r="BD30" s="59" t="str">
        <f>UPPER(MergeNamesTable[[#This Row],[Player 1 Last]])</f>
        <v/>
      </c>
      <c r="BE30" s="6" t="str">
        <f>UPPER(MergeNamesTable[[#This Row],[Player 2 Last]])</f>
        <v/>
      </c>
      <c r="BF30" s="6" t="str">
        <f>UPPER(MergeNamesTable[[#This Row],[Player 3 Last]])</f>
        <v/>
      </c>
      <c r="BG30" s="6" t="str">
        <f>UPPER(MergeNamesTable[[#This Row],[Player 4 Last]])</f>
        <v/>
      </c>
      <c r="BH30" s="344" t="str">
        <f>UPPER(MergeNamesTable[[#This Row],[Player 5 Last]])</f>
        <v/>
      </c>
      <c r="BI30" s="59" t="str">
        <f>UPPER(MergeNamesTable[[#This Row],[Player 1 Club]])</f>
        <v/>
      </c>
      <c r="BJ30" s="6" t="str">
        <f>UPPER(MergeNamesTable[[#This Row],[Player 2 Club]])</f>
        <v/>
      </c>
      <c r="BK30" s="6" t="str">
        <f>UPPER(MergeNamesTable[[#This Row],[Player 3 Club]])</f>
        <v/>
      </c>
      <c r="BL30" s="6" t="str">
        <f>UPPER(MergeNamesTable[[#This Row],[Player 4 Club]])</f>
        <v/>
      </c>
      <c r="BM30" s="344" t="str">
        <f>UPPER(MergeNamesTable[[#This Row],[Player 5 Club]])</f>
        <v/>
      </c>
      <c r="BN30" s="212"/>
      <c r="BO30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0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0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0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0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0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0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0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0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0" s="70" t="str">
        <f>IF(MergeNamesTable[[#This Row],[Player 1 Tees]]="","",VLOOKUP(MergeNamesTable[[#This Row],[Player 1 Tees]],TeeMarkerTable,23,FALSE))</f>
        <v/>
      </c>
      <c r="BY30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0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0" s="218"/>
      <c r="CB30" s="219"/>
      <c r="CC30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0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0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0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0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0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0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0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0" s="214" t="str">
        <f>IF(MergeNamesTable[[#This Row],[Player 2 Male]]="Female",'Defaults and Lookup Lists'!$B$4,IF(MergeNamesTable[[#This Row],[Tee Markers]]="","",MergeNamesTable[[#This Row],[Tee Markers]]))</f>
        <v/>
      </c>
      <c r="CL30" s="7" t="str">
        <f>IF(MergeNamesTable[[#This Row],[Player 2 Tees]]="","",VLOOKUP(MergeNamesTable[[#This Row],[Player 2 Tees]],TeeMarkerTable,23,FALSE))</f>
        <v/>
      </c>
      <c r="CM30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0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0" s="218"/>
      <c r="CP30" s="219"/>
      <c r="CQ30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0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0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0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0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0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0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0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0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0" s="7" t="str">
        <f>IF(MergeNamesTable[[#This Row],[Player 3 Tees]]="","",VLOOKUP(MergeNamesTable[[#This Row],[Player 3 Tees]],TeeMarkerTable,23,FALSE))</f>
        <v/>
      </c>
      <c r="DA30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0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0" s="218"/>
      <c r="DD30" s="212"/>
      <c r="DE30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0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0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0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0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0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0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0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0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0" s="7" t="str">
        <f>IF(MergeNamesTable[[#This Row],[Player 4 Tees]]="","",VLOOKUP(MergeNamesTable[[#This Row],[Player 4 Tees]],TeeMarkerTable,23,FALSE))</f>
        <v/>
      </c>
      <c r="DO30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0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0" s="225"/>
      <c r="DR30" s="226"/>
      <c r="DS30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0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0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0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0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0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0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0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0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0" s="161" t="str">
        <f>IF(MergeNamesTable[[#This Row],[Player 5 Tees]]="","",VLOOKUP(MergeNamesTable[[#This Row],[Player 5 Tees]],TeeMarkerTable,23,FALSE))</f>
        <v/>
      </c>
      <c r="EC30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0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0" s="230"/>
      <c r="EF30" s="73"/>
      <c r="EG30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0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0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0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0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0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0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0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0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0" s="107"/>
      <c r="EQ30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0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0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0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0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0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0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0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0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0" s="77"/>
      <c r="FA30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0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0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0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0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0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0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0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0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0" s="110"/>
      <c r="FK30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0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0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0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0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0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0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0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0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0" s="77"/>
      <c r="FU30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0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0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0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0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0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0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0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0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0" s="107"/>
      <c r="GE30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0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0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0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0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0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0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0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0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0" s="77"/>
      <c r="GO30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0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0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0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0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0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0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0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0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0" s="79"/>
      <c r="GY30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0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0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0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0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0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0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0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0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0" s="78"/>
      <c r="HI30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0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0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0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0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0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0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0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0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0" s="78"/>
      <c r="HS30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0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0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0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0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0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0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0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0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0" s="78"/>
    </row>
    <row r="31" spans="1:236" ht="21" customHeight="1">
      <c r="A31" s="365">
        <v>30</v>
      </c>
      <c r="B31" s="362" t="str">
        <f>MergeNamesTable[[#This Row],[Team Name Concat]]</f>
        <v/>
      </c>
      <c r="C31" s="59" t="str">
        <f>UPPER(MergeNamesTable[[#This Row],[Team Name]])</f>
        <v/>
      </c>
      <c r="D31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1" s="60" t="str">
        <f>UPPER(MergeNamesTable[[#This Row],[Team Name Concat]])</f>
        <v/>
      </c>
      <c r="F31" s="61">
        <f>MergeNamesTable[[#This Row],[Player 1 Handicap]]+MergeNamesTable[[#This Row],[Player 2 Handicap]]+MergeNamesTable[[#This Row],[Player 3 Handicap]]+MergeNamesTable[[#This Row],[Player 4 Handicap]]</f>
        <v>0</v>
      </c>
      <c r="G31" s="62">
        <f>IF(ISERROR(MergeNamesTable[[#This Row],[Handicap Team Total]]/4),0,ROUND(MergeNamesTable[[#This Row],[Handicap Team Total]]/4,0))</f>
        <v>0</v>
      </c>
      <c r="H31" s="62">
        <f>ROUND(((MergeNamesTable[[#This Row],[Player 1 Handicap]]+MergeNamesTable[[#This Row],[Player 2 Handicap]])*0.25)*0.335,0)</f>
        <v>0</v>
      </c>
      <c r="I31" s="62">
        <f>ROUND(((MergeNamesTable[[#This Row],[Player 1 Handicap]]+MergeNamesTable[[#This Row],[Player 2 Handicap]])*0.5)*0.335,0)</f>
        <v>0</v>
      </c>
      <c r="J31" s="63"/>
      <c r="K31" s="64" t="str">
        <f>IF(OR(MergeNamesTable[[#This Row],[Team Name]]&lt;&gt;"",MergeNamesTable[[#This Row],[Player 1 First Last]]&lt;&gt;""),'Defaults and Lookup Lists'!$B$2,"")</f>
        <v/>
      </c>
      <c r="L31" s="201"/>
      <c r="M31" s="65" t="str">
        <f>IF(OR(MergeNamesTable[[#This Row],[Team Name]]&lt;&gt;"",MergeNamesTable[[#This Row],[Player 1 First Last]]&lt;&gt;""),TEXT('Defaults and Lookup Lists'!$B$7,"ddd, mmm d, yyyy"),"")</f>
        <v/>
      </c>
      <c r="N31" s="311" t="str">
        <f>IF(OR(MergeNamesTable[[#This Row],[Team Name]]&lt;&gt;"",MergeNamesTable[[#This Row],[Player 1 First Last]]&lt;&gt;""),IF('Defaults and Lookup Lists'!$D$3="","",'Defaults and Lookup Lists'!$D$3),"")</f>
        <v/>
      </c>
      <c r="O31" s="247" t="str">
        <f>IF(OR(MergeNamesTable[[#This Row],[Team Name]]&lt;&gt;"",MergeNamesTable[[#This Row],[Player 1 First Last]]&lt;&gt;""),IF('Defaults and Lookup Lists'!$D$4="","",'Defaults and Lookup Lists'!$D$4),"")</f>
        <v/>
      </c>
      <c r="P31" s="247" t="str">
        <f>IF(OR(MergeNamesTable[[#This Row],[Team Name]]&lt;&gt;"",MergeNamesTable[[#This Row],[Player 1 First Last]]&lt;&gt;""),IF('Defaults and Lookup Lists'!$D$2="Shotgun","A",""),"")</f>
        <v/>
      </c>
      <c r="Q31" s="220" t="str">
        <f>IF(OR(MergeNamesTable[[#This Row],[Team Name]]&lt;&gt;"",MergeNamesTable[[#This Row],[Player 1 First Last]]&lt;&gt;""),IF('Defaults and Lookup Lists'!$B$6="","",'Defaults and Lookup Lists'!$B$6),"")</f>
        <v/>
      </c>
      <c r="R31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1" s="312" t="str">
        <f>IF(MergeNamesTable[[#This Row],[Entry Fee Team]]="","",MergeNamesTable[[#This Row],[Entry Fee Team]]-MergeNamesTable[[#This Row],[Entry Fee Paid]])</f>
        <v/>
      </c>
      <c r="T31" s="201"/>
      <c r="U31" s="201"/>
      <c r="V31" s="201"/>
      <c r="W31" s="201" t="str">
        <f>IF(OR(MergeNamesTable[[#This Row],[Team Name]]&lt;&gt;"",MergeNamesTable[[#This Row],[Player 1 First Last]]&lt;&gt;""),'Defaults and Lookup Lists'!$B$3,"")</f>
        <v/>
      </c>
      <c r="X31" s="67" t="str">
        <f>IF(MergeNamesTable[[#This Row],[Tee Markers]]="","",VLOOKUP(MergeNamesTable[[#This Row],[Tee Markers]],TeeMarkerTable,23,FALSE))</f>
        <v/>
      </c>
      <c r="Y31" s="59" t="str">
        <f>UPPER(MergeNamesTable[[#This Row],[Tournament]])</f>
        <v/>
      </c>
      <c r="Z31" s="6" t="str">
        <f>UPPER(MergeNamesTable[[#This Row],[Flight]])</f>
        <v/>
      </c>
      <c r="AA31" s="6" t="str">
        <f>UPPER(MergeNamesTable[[#This Row],[Tee Markers]])</f>
        <v/>
      </c>
      <c r="AB31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1" s="68" t="str">
        <f>IF(MergeNamesTable[[#This Row],[Start Time Day 2]]="","",TEXT(MergeNamesTable[[#This Row],[Start Time Day 2]],"HH:MM AM/PM"))</f>
        <v/>
      </c>
      <c r="AD31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1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1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1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1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1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1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1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1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1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1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1" s="72" t="str">
        <f>TEXT(MergeNamesTable[[#This Row],[Player 1 Handicap]],"##;+##;")</f>
        <v/>
      </c>
      <c r="AP31" s="7" t="str">
        <f>TEXT(MergeNamesTable[[#This Row],[Player 2 Handicap]],"##;+##;")</f>
        <v/>
      </c>
      <c r="AQ31" s="7" t="str">
        <f>TEXT(MergeNamesTable[[#This Row],[Player 3 Handicap]],"##;+##;")</f>
        <v/>
      </c>
      <c r="AR31" s="67" t="str">
        <f>TEXT(MergeNamesTable[[#This Row],[Player 4 Handicap]],"##;+##;")</f>
        <v/>
      </c>
      <c r="AS31" s="131" t="str">
        <f>TEXT(MergeNamesTable[[#This Row],[Player 5 Handicap]],"##;+##;")</f>
        <v/>
      </c>
      <c r="AT31" s="59" t="str">
        <f>UPPER(MergeNamesTable[[#This Row],[Player 1 First Last]])</f>
        <v/>
      </c>
      <c r="AU31" s="6" t="str">
        <f>UPPER(MergeNamesTable[[#This Row],[Player 2 First Last]])</f>
        <v/>
      </c>
      <c r="AV31" s="6" t="str">
        <f>UPPER(MergeNamesTable[[#This Row],[Player 3 First Last]])</f>
        <v/>
      </c>
      <c r="AW31" s="6" t="str">
        <f>UPPER(MergeNamesTable[[#This Row],[Player 4 First Last]])</f>
        <v/>
      </c>
      <c r="AX31" s="344" t="str">
        <f>UPPER(MergeNamesTable[[#This Row],[Player 5 First Last]])</f>
        <v/>
      </c>
      <c r="AY31" s="59" t="str">
        <f>UPPER(MergeNamesTable[[#This Row],[Player 1 First]])</f>
        <v/>
      </c>
      <c r="AZ31" s="6" t="str">
        <f>UPPER(MergeNamesTable[[#This Row],[Player 2 First]])</f>
        <v/>
      </c>
      <c r="BA31" s="6" t="str">
        <f>UPPER(MergeNamesTable[[#This Row],[Player 3 First]])</f>
        <v/>
      </c>
      <c r="BB31" s="6" t="str">
        <f>UPPER(MergeNamesTable[[#This Row],[Player 4 First]])</f>
        <v/>
      </c>
      <c r="BC31" s="344" t="str">
        <f>UPPER(MergeNamesTable[[#This Row],[Player 5 First]])</f>
        <v/>
      </c>
      <c r="BD31" s="59" t="str">
        <f>UPPER(MergeNamesTable[[#This Row],[Player 1 Last]])</f>
        <v/>
      </c>
      <c r="BE31" s="6" t="str">
        <f>UPPER(MergeNamesTable[[#This Row],[Player 2 Last]])</f>
        <v/>
      </c>
      <c r="BF31" s="6" t="str">
        <f>UPPER(MergeNamesTable[[#This Row],[Player 3 Last]])</f>
        <v/>
      </c>
      <c r="BG31" s="6" t="str">
        <f>UPPER(MergeNamesTable[[#This Row],[Player 4 Last]])</f>
        <v/>
      </c>
      <c r="BH31" s="344" t="str">
        <f>UPPER(MergeNamesTable[[#This Row],[Player 5 Last]])</f>
        <v/>
      </c>
      <c r="BI31" s="59" t="str">
        <f>UPPER(MergeNamesTable[[#This Row],[Player 1 Club]])</f>
        <v/>
      </c>
      <c r="BJ31" s="6" t="str">
        <f>UPPER(MergeNamesTable[[#This Row],[Player 2 Club]])</f>
        <v/>
      </c>
      <c r="BK31" s="6" t="str">
        <f>UPPER(MergeNamesTable[[#This Row],[Player 3 Club]])</f>
        <v/>
      </c>
      <c r="BL31" s="6" t="str">
        <f>UPPER(MergeNamesTable[[#This Row],[Player 4 Club]])</f>
        <v/>
      </c>
      <c r="BM31" s="344" t="str">
        <f>UPPER(MergeNamesTable[[#This Row],[Player 5 Club]])</f>
        <v/>
      </c>
      <c r="BN31" s="212"/>
      <c r="BO31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1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1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1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1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1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1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1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1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1" s="70" t="str">
        <f>IF(MergeNamesTable[[#This Row],[Player 1 Tees]]="","",VLOOKUP(MergeNamesTable[[#This Row],[Player 1 Tees]],TeeMarkerTable,23,FALSE))</f>
        <v/>
      </c>
      <c r="BY31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1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1" s="218"/>
      <c r="CB31" s="219"/>
      <c r="CC31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1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1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1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1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1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1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1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1" s="214" t="str">
        <f>IF(MergeNamesTable[[#This Row],[Player 2 Male]]="Female",'Defaults and Lookup Lists'!$B$4,IF(MergeNamesTable[[#This Row],[Tee Markers]]="","",MergeNamesTable[[#This Row],[Tee Markers]]))</f>
        <v/>
      </c>
      <c r="CL31" s="7" t="str">
        <f>IF(MergeNamesTable[[#This Row],[Player 2 Tees]]="","",VLOOKUP(MergeNamesTable[[#This Row],[Player 2 Tees]],TeeMarkerTable,23,FALSE))</f>
        <v/>
      </c>
      <c r="CM31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1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1" s="218"/>
      <c r="CP31" s="219"/>
      <c r="CQ31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1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1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1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1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1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1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1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1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1" s="7" t="str">
        <f>IF(MergeNamesTable[[#This Row],[Player 3 Tees]]="","",VLOOKUP(MergeNamesTable[[#This Row],[Player 3 Tees]],TeeMarkerTable,23,FALSE))</f>
        <v/>
      </c>
      <c r="DA31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1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1" s="218"/>
      <c r="DD31" s="212"/>
      <c r="DE31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1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1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1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1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1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1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1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1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1" s="7" t="str">
        <f>IF(MergeNamesTable[[#This Row],[Player 4 Tees]]="","",VLOOKUP(MergeNamesTable[[#This Row],[Player 4 Tees]],TeeMarkerTable,23,FALSE))</f>
        <v/>
      </c>
      <c r="DO31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1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1" s="225"/>
      <c r="DR31" s="226"/>
      <c r="DS31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1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1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1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1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1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1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1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1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1" s="161" t="str">
        <f>IF(MergeNamesTable[[#This Row],[Player 5 Tees]]="","",VLOOKUP(MergeNamesTable[[#This Row],[Player 5 Tees]],TeeMarkerTable,23,FALSE))</f>
        <v/>
      </c>
      <c r="EC31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1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1" s="230"/>
      <c r="EF31" s="73"/>
      <c r="EG31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1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1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1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1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1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1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1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1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1" s="107"/>
      <c r="EQ31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1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1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1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1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1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1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1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1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1" s="77"/>
      <c r="FA31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1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1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1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1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1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1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1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1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1" s="110"/>
      <c r="FK31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1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1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1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1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1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1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1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1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1" s="77"/>
      <c r="FU31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1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1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1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1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1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1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1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1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1" s="107"/>
      <c r="GE31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1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1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1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1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1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1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1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1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1" s="77"/>
      <c r="GO31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1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1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1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1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1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1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1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1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1" s="79"/>
      <c r="GY31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1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1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1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1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1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1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1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1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1" s="78"/>
      <c r="HI31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1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1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1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1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1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1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1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1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1" s="78"/>
      <c r="HS31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1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1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1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1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1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1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1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1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1" s="78"/>
    </row>
    <row r="32" spans="1:236" ht="21" customHeight="1">
      <c r="A32" s="365">
        <v>31</v>
      </c>
      <c r="B32" s="362" t="str">
        <f>MergeNamesTable[[#This Row],[Team Name Concat]]</f>
        <v/>
      </c>
      <c r="C32" s="59" t="str">
        <f>UPPER(MergeNamesTable[[#This Row],[Team Name]])</f>
        <v/>
      </c>
      <c r="D32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2" s="60" t="str">
        <f>UPPER(MergeNamesTable[[#This Row],[Team Name Concat]])</f>
        <v/>
      </c>
      <c r="F32" s="61">
        <f>MergeNamesTable[[#This Row],[Player 1 Handicap]]+MergeNamesTable[[#This Row],[Player 2 Handicap]]+MergeNamesTable[[#This Row],[Player 3 Handicap]]+MergeNamesTable[[#This Row],[Player 4 Handicap]]</f>
        <v>0</v>
      </c>
      <c r="G32" s="62">
        <f>IF(ISERROR(MergeNamesTable[[#This Row],[Handicap Team Total]]/4),0,ROUND(MergeNamesTable[[#This Row],[Handicap Team Total]]/4,0))</f>
        <v>0</v>
      </c>
      <c r="H32" s="62">
        <f>ROUND(((MergeNamesTable[[#This Row],[Player 1 Handicap]]+MergeNamesTable[[#This Row],[Player 2 Handicap]])*0.25)*0.335,0)</f>
        <v>0</v>
      </c>
      <c r="I32" s="62">
        <f>ROUND(((MergeNamesTable[[#This Row],[Player 1 Handicap]]+MergeNamesTable[[#This Row],[Player 2 Handicap]])*0.5)*0.335,0)</f>
        <v>0</v>
      </c>
      <c r="J32" s="63"/>
      <c r="K32" s="64" t="str">
        <f>IF(OR(MergeNamesTable[[#This Row],[Team Name]]&lt;&gt;"",MergeNamesTable[[#This Row],[Player 1 First Last]]&lt;&gt;""),'Defaults and Lookup Lists'!$B$2,"")</f>
        <v/>
      </c>
      <c r="L32" s="201"/>
      <c r="M32" s="65" t="str">
        <f>IF(OR(MergeNamesTable[[#This Row],[Team Name]]&lt;&gt;"",MergeNamesTable[[#This Row],[Player 1 First Last]]&lt;&gt;""),TEXT('Defaults and Lookup Lists'!$B$7,"ddd, mmm d, yyyy"),"")</f>
        <v/>
      </c>
      <c r="N32" s="311" t="str">
        <f>IF(OR(MergeNamesTable[[#This Row],[Team Name]]&lt;&gt;"",MergeNamesTable[[#This Row],[Player 1 First Last]]&lt;&gt;""),IF('Defaults and Lookup Lists'!$D$3="","",'Defaults and Lookup Lists'!$D$3),"")</f>
        <v/>
      </c>
      <c r="O32" s="247" t="str">
        <f>IF(OR(MergeNamesTable[[#This Row],[Team Name]]&lt;&gt;"",MergeNamesTable[[#This Row],[Player 1 First Last]]&lt;&gt;""),IF('Defaults and Lookup Lists'!$D$4="","",'Defaults and Lookup Lists'!$D$4),"")</f>
        <v/>
      </c>
      <c r="P32" s="247" t="str">
        <f>IF(OR(MergeNamesTable[[#This Row],[Team Name]]&lt;&gt;"",MergeNamesTable[[#This Row],[Player 1 First Last]]&lt;&gt;""),IF('Defaults and Lookup Lists'!$D$2="Shotgun","A",""),"")</f>
        <v/>
      </c>
      <c r="Q32" s="220" t="str">
        <f>IF(OR(MergeNamesTable[[#This Row],[Team Name]]&lt;&gt;"",MergeNamesTable[[#This Row],[Player 1 First Last]]&lt;&gt;""),IF('Defaults and Lookup Lists'!$B$6="","",'Defaults and Lookup Lists'!$B$6),"")</f>
        <v/>
      </c>
      <c r="R32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2" s="312" t="str">
        <f>IF(MergeNamesTable[[#This Row],[Entry Fee Team]]="","",MergeNamesTable[[#This Row],[Entry Fee Team]]-MergeNamesTable[[#This Row],[Entry Fee Paid]])</f>
        <v/>
      </c>
      <c r="T32" s="201"/>
      <c r="U32" s="201"/>
      <c r="V32" s="201"/>
      <c r="W32" s="201" t="str">
        <f>IF(OR(MergeNamesTable[[#This Row],[Team Name]]&lt;&gt;"",MergeNamesTable[[#This Row],[Player 1 First Last]]&lt;&gt;""),'Defaults and Lookup Lists'!$B$3,"")</f>
        <v/>
      </c>
      <c r="X32" s="67" t="str">
        <f>IF(MergeNamesTable[[#This Row],[Tee Markers]]="","",VLOOKUP(MergeNamesTable[[#This Row],[Tee Markers]],TeeMarkerTable,23,FALSE))</f>
        <v/>
      </c>
      <c r="Y32" s="59" t="str">
        <f>UPPER(MergeNamesTable[[#This Row],[Tournament]])</f>
        <v/>
      </c>
      <c r="Z32" s="6" t="str">
        <f>UPPER(MergeNamesTable[[#This Row],[Flight]])</f>
        <v/>
      </c>
      <c r="AA32" s="6" t="str">
        <f>UPPER(MergeNamesTable[[#This Row],[Tee Markers]])</f>
        <v/>
      </c>
      <c r="AB32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2" s="68" t="str">
        <f>IF(MergeNamesTable[[#This Row],[Start Time Day 2]]="","",TEXT(MergeNamesTable[[#This Row],[Start Time Day 2]],"HH:MM AM/PM"))</f>
        <v/>
      </c>
      <c r="AD32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2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2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2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2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2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2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2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2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2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2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2" s="72" t="str">
        <f>TEXT(MergeNamesTable[[#This Row],[Player 1 Handicap]],"##;+##;")</f>
        <v/>
      </c>
      <c r="AP32" s="7" t="str">
        <f>TEXT(MergeNamesTable[[#This Row],[Player 2 Handicap]],"##;+##;")</f>
        <v/>
      </c>
      <c r="AQ32" s="7" t="str">
        <f>TEXT(MergeNamesTable[[#This Row],[Player 3 Handicap]],"##;+##;")</f>
        <v/>
      </c>
      <c r="AR32" s="67" t="str">
        <f>TEXT(MergeNamesTable[[#This Row],[Player 4 Handicap]],"##;+##;")</f>
        <v/>
      </c>
      <c r="AS32" s="131" t="str">
        <f>TEXT(MergeNamesTable[[#This Row],[Player 5 Handicap]],"##;+##;")</f>
        <v/>
      </c>
      <c r="AT32" s="59" t="str">
        <f>UPPER(MergeNamesTable[[#This Row],[Player 1 First Last]])</f>
        <v/>
      </c>
      <c r="AU32" s="6" t="str">
        <f>UPPER(MergeNamesTable[[#This Row],[Player 2 First Last]])</f>
        <v/>
      </c>
      <c r="AV32" s="6" t="str">
        <f>UPPER(MergeNamesTable[[#This Row],[Player 3 First Last]])</f>
        <v/>
      </c>
      <c r="AW32" s="6" t="str">
        <f>UPPER(MergeNamesTable[[#This Row],[Player 4 First Last]])</f>
        <v/>
      </c>
      <c r="AX32" s="344" t="str">
        <f>UPPER(MergeNamesTable[[#This Row],[Player 5 First Last]])</f>
        <v/>
      </c>
      <c r="AY32" s="59" t="str">
        <f>UPPER(MergeNamesTable[[#This Row],[Player 1 First]])</f>
        <v/>
      </c>
      <c r="AZ32" s="6" t="str">
        <f>UPPER(MergeNamesTable[[#This Row],[Player 2 First]])</f>
        <v/>
      </c>
      <c r="BA32" s="6" t="str">
        <f>UPPER(MergeNamesTable[[#This Row],[Player 3 First]])</f>
        <v/>
      </c>
      <c r="BB32" s="6" t="str">
        <f>UPPER(MergeNamesTable[[#This Row],[Player 4 First]])</f>
        <v/>
      </c>
      <c r="BC32" s="344" t="str">
        <f>UPPER(MergeNamesTable[[#This Row],[Player 5 First]])</f>
        <v/>
      </c>
      <c r="BD32" s="59" t="str">
        <f>UPPER(MergeNamesTable[[#This Row],[Player 1 Last]])</f>
        <v/>
      </c>
      <c r="BE32" s="6" t="str">
        <f>UPPER(MergeNamesTable[[#This Row],[Player 2 Last]])</f>
        <v/>
      </c>
      <c r="BF32" s="6" t="str">
        <f>UPPER(MergeNamesTable[[#This Row],[Player 3 Last]])</f>
        <v/>
      </c>
      <c r="BG32" s="6" t="str">
        <f>UPPER(MergeNamesTable[[#This Row],[Player 4 Last]])</f>
        <v/>
      </c>
      <c r="BH32" s="344" t="str">
        <f>UPPER(MergeNamesTable[[#This Row],[Player 5 Last]])</f>
        <v/>
      </c>
      <c r="BI32" s="59" t="str">
        <f>UPPER(MergeNamesTable[[#This Row],[Player 1 Club]])</f>
        <v/>
      </c>
      <c r="BJ32" s="6" t="str">
        <f>UPPER(MergeNamesTable[[#This Row],[Player 2 Club]])</f>
        <v/>
      </c>
      <c r="BK32" s="6" t="str">
        <f>UPPER(MergeNamesTable[[#This Row],[Player 3 Club]])</f>
        <v/>
      </c>
      <c r="BL32" s="6" t="str">
        <f>UPPER(MergeNamesTable[[#This Row],[Player 4 Club]])</f>
        <v/>
      </c>
      <c r="BM32" s="344" t="str">
        <f>UPPER(MergeNamesTable[[#This Row],[Player 5 Club]])</f>
        <v/>
      </c>
      <c r="BN32" s="212"/>
      <c r="BO32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2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2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2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2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2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2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2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2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2" s="70" t="str">
        <f>IF(MergeNamesTable[[#This Row],[Player 1 Tees]]="","",VLOOKUP(MergeNamesTable[[#This Row],[Player 1 Tees]],TeeMarkerTable,23,FALSE))</f>
        <v/>
      </c>
      <c r="BY32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2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2" s="218"/>
      <c r="CB32" s="219"/>
      <c r="CC32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2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2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2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2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2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2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2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2" s="214" t="str">
        <f>IF(MergeNamesTable[[#This Row],[Player 2 Male]]="Female",'Defaults and Lookup Lists'!$B$4,IF(MergeNamesTable[[#This Row],[Tee Markers]]="","",MergeNamesTable[[#This Row],[Tee Markers]]))</f>
        <v/>
      </c>
      <c r="CL32" s="7" t="str">
        <f>IF(MergeNamesTable[[#This Row],[Player 2 Tees]]="","",VLOOKUP(MergeNamesTable[[#This Row],[Player 2 Tees]],TeeMarkerTable,23,FALSE))</f>
        <v/>
      </c>
      <c r="CM32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2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2" s="218"/>
      <c r="CP32" s="219"/>
      <c r="CQ32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2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2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2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2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2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2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2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2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2" s="7" t="str">
        <f>IF(MergeNamesTable[[#This Row],[Player 3 Tees]]="","",VLOOKUP(MergeNamesTable[[#This Row],[Player 3 Tees]],TeeMarkerTable,23,FALSE))</f>
        <v/>
      </c>
      <c r="DA32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2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2" s="218"/>
      <c r="DD32" s="212"/>
      <c r="DE32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2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2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2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2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2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2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2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2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2" s="7" t="str">
        <f>IF(MergeNamesTable[[#This Row],[Player 4 Tees]]="","",VLOOKUP(MergeNamesTable[[#This Row],[Player 4 Tees]],TeeMarkerTable,23,FALSE))</f>
        <v/>
      </c>
      <c r="DO32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2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2" s="225"/>
      <c r="DR32" s="226"/>
      <c r="DS32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2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2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2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2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2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2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2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2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2" s="161" t="str">
        <f>IF(MergeNamesTable[[#This Row],[Player 5 Tees]]="","",VLOOKUP(MergeNamesTable[[#This Row],[Player 5 Tees]],TeeMarkerTable,23,FALSE))</f>
        <v/>
      </c>
      <c r="EC32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2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2" s="230"/>
      <c r="EF32" s="73"/>
      <c r="EG32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2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2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2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2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2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2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2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2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2" s="107"/>
      <c r="EQ32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2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2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2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2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2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2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2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2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2" s="77"/>
      <c r="FA32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2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2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2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2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2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2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2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2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2" s="110"/>
      <c r="FK32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2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2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2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2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2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2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2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2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2" s="77"/>
      <c r="FU32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2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2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2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2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2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2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2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2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2" s="107"/>
      <c r="GE32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2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2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2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2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2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2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2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2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2" s="77"/>
      <c r="GO32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2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2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2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2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2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2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2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2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2" s="79"/>
      <c r="GY32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2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2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2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2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2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2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2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2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2" s="78"/>
      <c r="HI32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2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2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2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2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2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2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2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2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2" s="78"/>
      <c r="HS32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2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2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2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2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2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2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2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2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2" s="78"/>
    </row>
    <row r="33" spans="1:236" ht="21" customHeight="1">
      <c r="A33" s="365">
        <v>32</v>
      </c>
      <c r="B33" s="362" t="str">
        <f>MergeNamesTable[[#This Row],[Team Name Concat]]</f>
        <v/>
      </c>
      <c r="C33" s="59" t="str">
        <f>UPPER(MergeNamesTable[[#This Row],[Team Name]])</f>
        <v/>
      </c>
      <c r="D33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3" s="60" t="str">
        <f>UPPER(MergeNamesTable[[#This Row],[Team Name Concat]])</f>
        <v/>
      </c>
      <c r="F33" s="61">
        <f>MergeNamesTable[[#This Row],[Player 1 Handicap]]+MergeNamesTable[[#This Row],[Player 2 Handicap]]+MergeNamesTable[[#This Row],[Player 3 Handicap]]+MergeNamesTable[[#This Row],[Player 4 Handicap]]</f>
        <v>0</v>
      </c>
      <c r="G33" s="62">
        <f>IF(ISERROR(MergeNamesTable[[#This Row],[Handicap Team Total]]/4),0,ROUND(MergeNamesTable[[#This Row],[Handicap Team Total]]/4,0))</f>
        <v>0</v>
      </c>
      <c r="H33" s="62">
        <f>ROUND(((MergeNamesTable[[#This Row],[Player 1 Handicap]]+MergeNamesTable[[#This Row],[Player 2 Handicap]])*0.25)*0.335,0)</f>
        <v>0</v>
      </c>
      <c r="I33" s="62">
        <f>ROUND(((MergeNamesTable[[#This Row],[Player 1 Handicap]]+MergeNamesTable[[#This Row],[Player 2 Handicap]])*0.5)*0.335,0)</f>
        <v>0</v>
      </c>
      <c r="J33" s="63"/>
      <c r="K33" s="64" t="str">
        <f>IF(OR(MergeNamesTable[[#This Row],[Team Name]]&lt;&gt;"",MergeNamesTable[[#This Row],[Player 1 First Last]]&lt;&gt;""),'Defaults and Lookup Lists'!$B$2,"")</f>
        <v/>
      </c>
      <c r="L33" s="201"/>
      <c r="M33" s="65" t="str">
        <f>IF(OR(MergeNamesTable[[#This Row],[Team Name]]&lt;&gt;"",MergeNamesTable[[#This Row],[Player 1 First Last]]&lt;&gt;""),TEXT('Defaults and Lookup Lists'!$B$7,"ddd, mmm d, yyyy"),"")</f>
        <v/>
      </c>
      <c r="N33" s="311" t="str">
        <f>IF(OR(MergeNamesTable[[#This Row],[Team Name]]&lt;&gt;"",MergeNamesTable[[#This Row],[Player 1 First Last]]&lt;&gt;""),IF('Defaults and Lookup Lists'!$D$3="","",'Defaults and Lookup Lists'!$D$3),"")</f>
        <v/>
      </c>
      <c r="O33" s="247" t="str">
        <f>IF(OR(MergeNamesTable[[#This Row],[Team Name]]&lt;&gt;"",MergeNamesTable[[#This Row],[Player 1 First Last]]&lt;&gt;""),IF('Defaults and Lookup Lists'!$D$4="","",'Defaults and Lookup Lists'!$D$4),"")</f>
        <v/>
      </c>
      <c r="P33" s="247" t="str">
        <f>IF(OR(MergeNamesTable[[#This Row],[Team Name]]&lt;&gt;"",MergeNamesTable[[#This Row],[Player 1 First Last]]&lt;&gt;""),IF('Defaults and Lookup Lists'!$D$2="Shotgun","A",""),"")</f>
        <v/>
      </c>
      <c r="Q33" s="220" t="str">
        <f>IF(OR(MergeNamesTable[[#This Row],[Team Name]]&lt;&gt;"",MergeNamesTable[[#This Row],[Player 1 First Last]]&lt;&gt;""),IF('Defaults and Lookup Lists'!$B$6="","",'Defaults and Lookup Lists'!$B$6),"")</f>
        <v/>
      </c>
      <c r="R33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3" s="312" t="str">
        <f>IF(MergeNamesTable[[#This Row],[Entry Fee Team]]="","",MergeNamesTable[[#This Row],[Entry Fee Team]]-MergeNamesTable[[#This Row],[Entry Fee Paid]])</f>
        <v/>
      </c>
      <c r="T33" s="201"/>
      <c r="U33" s="201"/>
      <c r="V33" s="201"/>
      <c r="W33" s="201" t="str">
        <f>IF(OR(MergeNamesTable[[#This Row],[Team Name]]&lt;&gt;"",MergeNamesTable[[#This Row],[Player 1 First Last]]&lt;&gt;""),'Defaults and Lookup Lists'!$B$3,"")</f>
        <v/>
      </c>
      <c r="X33" s="67" t="str">
        <f>IF(MergeNamesTable[[#This Row],[Tee Markers]]="","",VLOOKUP(MergeNamesTable[[#This Row],[Tee Markers]],TeeMarkerTable,23,FALSE))</f>
        <v/>
      </c>
      <c r="Y33" s="59" t="str">
        <f>UPPER(MergeNamesTable[[#This Row],[Tournament]])</f>
        <v/>
      </c>
      <c r="Z33" s="6" t="str">
        <f>UPPER(MergeNamesTable[[#This Row],[Flight]])</f>
        <v/>
      </c>
      <c r="AA33" s="6" t="str">
        <f>UPPER(MergeNamesTable[[#This Row],[Tee Markers]])</f>
        <v/>
      </c>
      <c r="AB33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3" s="68" t="str">
        <f>IF(MergeNamesTable[[#This Row],[Start Time Day 2]]="","",TEXT(MergeNamesTable[[#This Row],[Start Time Day 2]],"HH:MM AM/PM"))</f>
        <v/>
      </c>
      <c r="AD33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3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3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3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3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3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3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3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3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3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3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3" s="72" t="str">
        <f>TEXT(MergeNamesTable[[#This Row],[Player 1 Handicap]],"##;+##;")</f>
        <v/>
      </c>
      <c r="AP33" s="7" t="str">
        <f>TEXT(MergeNamesTable[[#This Row],[Player 2 Handicap]],"##;+##;")</f>
        <v/>
      </c>
      <c r="AQ33" s="7" t="str">
        <f>TEXT(MergeNamesTable[[#This Row],[Player 3 Handicap]],"##;+##;")</f>
        <v/>
      </c>
      <c r="AR33" s="67" t="str">
        <f>TEXT(MergeNamesTable[[#This Row],[Player 4 Handicap]],"##;+##;")</f>
        <v/>
      </c>
      <c r="AS33" s="131" t="str">
        <f>TEXT(MergeNamesTable[[#This Row],[Player 5 Handicap]],"##;+##;")</f>
        <v/>
      </c>
      <c r="AT33" s="59" t="str">
        <f>UPPER(MergeNamesTable[[#This Row],[Player 1 First Last]])</f>
        <v/>
      </c>
      <c r="AU33" s="6" t="str">
        <f>UPPER(MergeNamesTable[[#This Row],[Player 2 First Last]])</f>
        <v/>
      </c>
      <c r="AV33" s="6" t="str">
        <f>UPPER(MergeNamesTable[[#This Row],[Player 3 First Last]])</f>
        <v/>
      </c>
      <c r="AW33" s="6" t="str">
        <f>UPPER(MergeNamesTable[[#This Row],[Player 4 First Last]])</f>
        <v/>
      </c>
      <c r="AX33" s="344" t="str">
        <f>UPPER(MergeNamesTable[[#This Row],[Player 5 First Last]])</f>
        <v/>
      </c>
      <c r="AY33" s="59" t="str">
        <f>UPPER(MergeNamesTable[[#This Row],[Player 1 First]])</f>
        <v/>
      </c>
      <c r="AZ33" s="6" t="str">
        <f>UPPER(MergeNamesTable[[#This Row],[Player 2 First]])</f>
        <v/>
      </c>
      <c r="BA33" s="6" t="str">
        <f>UPPER(MergeNamesTable[[#This Row],[Player 3 First]])</f>
        <v/>
      </c>
      <c r="BB33" s="6" t="str">
        <f>UPPER(MergeNamesTable[[#This Row],[Player 4 First]])</f>
        <v/>
      </c>
      <c r="BC33" s="344" t="str">
        <f>UPPER(MergeNamesTable[[#This Row],[Player 5 First]])</f>
        <v/>
      </c>
      <c r="BD33" s="59" t="str">
        <f>UPPER(MergeNamesTable[[#This Row],[Player 1 Last]])</f>
        <v/>
      </c>
      <c r="BE33" s="6" t="str">
        <f>UPPER(MergeNamesTable[[#This Row],[Player 2 Last]])</f>
        <v/>
      </c>
      <c r="BF33" s="6" t="str">
        <f>UPPER(MergeNamesTable[[#This Row],[Player 3 Last]])</f>
        <v/>
      </c>
      <c r="BG33" s="6" t="str">
        <f>UPPER(MergeNamesTable[[#This Row],[Player 4 Last]])</f>
        <v/>
      </c>
      <c r="BH33" s="344" t="str">
        <f>UPPER(MergeNamesTable[[#This Row],[Player 5 Last]])</f>
        <v/>
      </c>
      <c r="BI33" s="59" t="str">
        <f>UPPER(MergeNamesTable[[#This Row],[Player 1 Club]])</f>
        <v/>
      </c>
      <c r="BJ33" s="6" t="str">
        <f>UPPER(MergeNamesTable[[#This Row],[Player 2 Club]])</f>
        <v/>
      </c>
      <c r="BK33" s="6" t="str">
        <f>UPPER(MergeNamesTable[[#This Row],[Player 3 Club]])</f>
        <v/>
      </c>
      <c r="BL33" s="6" t="str">
        <f>UPPER(MergeNamesTable[[#This Row],[Player 4 Club]])</f>
        <v/>
      </c>
      <c r="BM33" s="344" t="str">
        <f>UPPER(MergeNamesTable[[#This Row],[Player 5 Club]])</f>
        <v/>
      </c>
      <c r="BN33" s="212"/>
      <c r="BO33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3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3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3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3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3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3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3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3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3" s="70" t="str">
        <f>IF(MergeNamesTable[[#This Row],[Player 1 Tees]]="","",VLOOKUP(MergeNamesTable[[#This Row],[Player 1 Tees]],TeeMarkerTable,23,FALSE))</f>
        <v/>
      </c>
      <c r="BY33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3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3" s="218"/>
      <c r="CB33" s="219"/>
      <c r="CC33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3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3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3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3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3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3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3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3" s="214" t="str">
        <f>IF(MergeNamesTable[[#This Row],[Player 2 Male]]="Female",'Defaults and Lookup Lists'!$B$4,IF(MergeNamesTable[[#This Row],[Tee Markers]]="","",MergeNamesTable[[#This Row],[Tee Markers]]))</f>
        <v/>
      </c>
      <c r="CL33" s="7" t="str">
        <f>IF(MergeNamesTable[[#This Row],[Player 2 Tees]]="","",VLOOKUP(MergeNamesTable[[#This Row],[Player 2 Tees]],TeeMarkerTable,23,FALSE))</f>
        <v/>
      </c>
      <c r="CM33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3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3" s="218"/>
      <c r="CP33" s="219"/>
      <c r="CQ33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3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3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3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3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3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3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3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3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3" s="7" t="str">
        <f>IF(MergeNamesTable[[#This Row],[Player 3 Tees]]="","",VLOOKUP(MergeNamesTable[[#This Row],[Player 3 Tees]],TeeMarkerTable,23,FALSE))</f>
        <v/>
      </c>
      <c r="DA33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3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3" s="218"/>
      <c r="DD33" s="212"/>
      <c r="DE33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3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3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3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3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3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3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3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3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3" s="7" t="str">
        <f>IF(MergeNamesTable[[#This Row],[Player 4 Tees]]="","",VLOOKUP(MergeNamesTable[[#This Row],[Player 4 Tees]],TeeMarkerTable,23,FALSE))</f>
        <v/>
      </c>
      <c r="DO33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3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3" s="225"/>
      <c r="DR33" s="226"/>
      <c r="DS33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3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3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3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3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3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3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3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3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3" s="161" t="str">
        <f>IF(MergeNamesTable[[#This Row],[Player 5 Tees]]="","",VLOOKUP(MergeNamesTable[[#This Row],[Player 5 Tees]],TeeMarkerTable,23,FALSE))</f>
        <v/>
      </c>
      <c r="EC33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3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3" s="230"/>
      <c r="EF33" s="73"/>
      <c r="EG33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3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3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3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3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3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3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3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3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3" s="107"/>
      <c r="EQ33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3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3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3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3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3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3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3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3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3" s="77"/>
      <c r="FA33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3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3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3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3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3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3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3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3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3" s="110"/>
      <c r="FK33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3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3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3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3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3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3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3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3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3" s="77"/>
      <c r="FU33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3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3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3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3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3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3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3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3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3" s="107"/>
      <c r="GE33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3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3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3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3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3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3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3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3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3" s="77"/>
      <c r="GO33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3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3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3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3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3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3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3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3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3" s="79"/>
      <c r="GY33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3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3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3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3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3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3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3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3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3" s="78"/>
      <c r="HI33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3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3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3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3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3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3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3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3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3" s="78"/>
      <c r="HS33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3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3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3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3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3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3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3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3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3" s="78"/>
    </row>
    <row r="34" spans="1:236" ht="21" customHeight="1">
      <c r="A34" s="365">
        <v>33</v>
      </c>
      <c r="B34" s="362" t="str">
        <f>MergeNamesTable[[#This Row],[Team Name Concat]]</f>
        <v/>
      </c>
      <c r="C34" s="59" t="str">
        <f>UPPER(MergeNamesTable[[#This Row],[Team Name]])</f>
        <v/>
      </c>
      <c r="D34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4" s="60" t="str">
        <f>UPPER(MergeNamesTable[[#This Row],[Team Name Concat]])</f>
        <v/>
      </c>
      <c r="F34" s="61">
        <f>MergeNamesTable[[#This Row],[Player 1 Handicap]]+MergeNamesTable[[#This Row],[Player 2 Handicap]]+MergeNamesTable[[#This Row],[Player 3 Handicap]]+MergeNamesTable[[#This Row],[Player 4 Handicap]]</f>
        <v>0</v>
      </c>
      <c r="G34" s="62">
        <f>IF(ISERROR(MergeNamesTable[[#This Row],[Handicap Team Total]]/4),0,ROUND(MergeNamesTable[[#This Row],[Handicap Team Total]]/4,0))</f>
        <v>0</v>
      </c>
      <c r="H34" s="62">
        <f>ROUND(((MergeNamesTable[[#This Row],[Player 1 Handicap]]+MergeNamesTable[[#This Row],[Player 2 Handicap]])*0.25)*0.335,0)</f>
        <v>0</v>
      </c>
      <c r="I34" s="62">
        <f>ROUND(((MergeNamesTable[[#This Row],[Player 1 Handicap]]+MergeNamesTable[[#This Row],[Player 2 Handicap]])*0.5)*0.335,0)</f>
        <v>0</v>
      </c>
      <c r="J34" s="63"/>
      <c r="K34" s="64" t="str">
        <f>IF(OR(MergeNamesTable[[#This Row],[Team Name]]&lt;&gt;"",MergeNamesTable[[#This Row],[Player 1 First Last]]&lt;&gt;""),'Defaults and Lookup Lists'!$B$2,"")</f>
        <v/>
      </c>
      <c r="L34" s="201"/>
      <c r="M34" s="65" t="str">
        <f>IF(OR(MergeNamesTable[[#This Row],[Team Name]]&lt;&gt;"",MergeNamesTable[[#This Row],[Player 1 First Last]]&lt;&gt;""),TEXT('Defaults and Lookup Lists'!$B$7,"ddd, mmm d, yyyy"),"")</f>
        <v/>
      </c>
      <c r="N34" s="311" t="str">
        <f>IF(OR(MergeNamesTable[[#This Row],[Team Name]]&lt;&gt;"",MergeNamesTable[[#This Row],[Player 1 First Last]]&lt;&gt;""),IF('Defaults and Lookup Lists'!$D$3="","",'Defaults and Lookup Lists'!$D$3),"")</f>
        <v/>
      </c>
      <c r="O34" s="247" t="str">
        <f>IF(OR(MergeNamesTable[[#This Row],[Team Name]]&lt;&gt;"",MergeNamesTable[[#This Row],[Player 1 First Last]]&lt;&gt;""),IF('Defaults and Lookup Lists'!$D$4="","",'Defaults and Lookup Lists'!$D$4),"")</f>
        <v/>
      </c>
      <c r="P34" s="247" t="str">
        <f>IF(OR(MergeNamesTable[[#This Row],[Team Name]]&lt;&gt;"",MergeNamesTable[[#This Row],[Player 1 First Last]]&lt;&gt;""),IF('Defaults and Lookup Lists'!$D$2="Shotgun","A",""),"")</f>
        <v/>
      </c>
      <c r="Q34" s="220" t="str">
        <f>IF(OR(MergeNamesTable[[#This Row],[Team Name]]&lt;&gt;"",MergeNamesTable[[#This Row],[Player 1 First Last]]&lt;&gt;""),IF('Defaults and Lookup Lists'!$B$6="","",'Defaults and Lookup Lists'!$B$6),"")</f>
        <v/>
      </c>
      <c r="R34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4" s="312" t="str">
        <f>IF(MergeNamesTable[[#This Row],[Entry Fee Team]]="","",MergeNamesTable[[#This Row],[Entry Fee Team]]-MergeNamesTable[[#This Row],[Entry Fee Paid]])</f>
        <v/>
      </c>
      <c r="T34" s="201"/>
      <c r="U34" s="201"/>
      <c r="V34" s="201"/>
      <c r="W34" s="201" t="str">
        <f>IF(OR(MergeNamesTable[[#This Row],[Team Name]]&lt;&gt;"",MergeNamesTable[[#This Row],[Player 1 First Last]]&lt;&gt;""),'Defaults and Lookup Lists'!$B$3,"")</f>
        <v/>
      </c>
      <c r="X34" s="67" t="str">
        <f>IF(MergeNamesTable[[#This Row],[Tee Markers]]="","",VLOOKUP(MergeNamesTable[[#This Row],[Tee Markers]],TeeMarkerTable,23,FALSE))</f>
        <v/>
      </c>
      <c r="Y34" s="59" t="str">
        <f>UPPER(MergeNamesTable[[#This Row],[Tournament]])</f>
        <v/>
      </c>
      <c r="Z34" s="6" t="str">
        <f>UPPER(MergeNamesTable[[#This Row],[Flight]])</f>
        <v/>
      </c>
      <c r="AA34" s="6" t="str">
        <f>UPPER(MergeNamesTable[[#This Row],[Tee Markers]])</f>
        <v/>
      </c>
      <c r="AB34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4" s="68" t="str">
        <f>IF(MergeNamesTable[[#This Row],[Start Time Day 2]]="","",TEXT(MergeNamesTable[[#This Row],[Start Time Day 2]],"HH:MM AM/PM"))</f>
        <v/>
      </c>
      <c r="AD34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4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4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4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4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4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4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4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4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4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4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4" s="72" t="str">
        <f>TEXT(MergeNamesTable[[#This Row],[Player 1 Handicap]],"##;+##;")</f>
        <v/>
      </c>
      <c r="AP34" s="7" t="str">
        <f>TEXT(MergeNamesTable[[#This Row],[Player 2 Handicap]],"##;+##;")</f>
        <v/>
      </c>
      <c r="AQ34" s="7" t="str">
        <f>TEXT(MergeNamesTable[[#This Row],[Player 3 Handicap]],"##;+##;")</f>
        <v/>
      </c>
      <c r="AR34" s="67" t="str">
        <f>TEXT(MergeNamesTable[[#This Row],[Player 4 Handicap]],"##;+##;")</f>
        <v/>
      </c>
      <c r="AS34" s="131" t="str">
        <f>TEXT(MergeNamesTable[[#This Row],[Player 5 Handicap]],"##;+##;")</f>
        <v/>
      </c>
      <c r="AT34" s="59" t="str">
        <f>UPPER(MergeNamesTable[[#This Row],[Player 1 First Last]])</f>
        <v/>
      </c>
      <c r="AU34" s="6" t="str">
        <f>UPPER(MergeNamesTable[[#This Row],[Player 2 First Last]])</f>
        <v/>
      </c>
      <c r="AV34" s="6" t="str">
        <f>UPPER(MergeNamesTable[[#This Row],[Player 3 First Last]])</f>
        <v/>
      </c>
      <c r="AW34" s="6" t="str">
        <f>UPPER(MergeNamesTable[[#This Row],[Player 4 First Last]])</f>
        <v/>
      </c>
      <c r="AX34" s="344" t="str">
        <f>UPPER(MergeNamesTable[[#This Row],[Player 5 First Last]])</f>
        <v/>
      </c>
      <c r="AY34" s="59" t="str">
        <f>UPPER(MergeNamesTable[[#This Row],[Player 1 First]])</f>
        <v/>
      </c>
      <c r="AZ34" s="6" t="str">
        <f>UPPER(MergeNamesTable[[#This Row],[Player 2 First]])</f>
        <v/>
      </c>
      <c r="BA34" s="6" t="str">
        <f>UPPER(MergeNamesTable[[#This Row],[Player 3 First]])</f>
        <v/>
      </c>
      <c r="BB34" s="6" t="str">
        <f>UPPER(MergeNamesTable[[#This Row],[Player 4 First]])</f>
        <v/>
      </c>
      <c r="BC34" s="344" t="str">
        <f>UPPER(MergeNamesTable[[#This Row],[Player 5 First]])</f>
        <v/>
      </c>
      <c r="BD34" s="59" t="str">
        <f>UPPER(MergeNamesTable[[#This Row],[Player 1 Last]])</f>
        <v/>
      </c>
      <c r="BE34" s="6" t="str">
        <f>UPPER(MergeNamesTable[[#This Row],[Player 2 Last]])</f>
        <v/>
      </c>
      <c r="BF34" s="6" t="str">
        <f>UPPER(MergeNamesTable[[#This Row],[Player 3 Last]])</f>
        <v/>
      </c>
      <c r="BG34" s="6" t="str">
        <f>UPPER(MergeNamesTable[[#This Row],[Player 4 Last]])</f>
        <v/>
      </c>
      <c r="BH34" s="344" t="str">
        <f>UPPER(MergeNamesTable[[#This Row],[Player 5 Last]])</f>
        <v/>
      </c>
      <c r="BI34" s="59" t="str">
        <f>UPPER(MergeNamesTable[[#This Row],[Player 1 Club]])</f>
        <v/>
      </c>
      <c r="BJ34" s="6" t="str">
        <f>UPPER(MergeNamesTable[[#This Row],[Player 2 Club]])</f>
        <v/>
      </c>
      <c r="BK34" s="6" t="str">
        <f>UPPER(MergeNamesTable[[#This Row],[Player 3 Club]])</f>
        <v/>
      </c>
      <c r="BL34" s="6" t="str">
        <f>UPPER(MergeNamesTable[[#This Row],[Player 4 Club]])</f>
        <v/>
      </c>
      <c r="BM34" s="344" t="str">
        <f>UPPER(MergeNamesTable[[#This Row],[Player 5 Club]])</f>
        <v/>
      </c>
      <c r="BN34" s="212"/>
      <c r="BO34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4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4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4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4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4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4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4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4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4" s="70" t="str">
        <f>IF(MergeNamesTable[[#This Row],[Player 1 Tees]]="","",VLOOKUP(MergeNamesTable[[#This Row],[Player 1 Tees]],TeeMarkerTable,23,FALSE))</f>
        <v/>
      </c>
      <c r="BY34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4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4" s="218"/>
      <c r="CB34" s="219"/>
      <c r="CC34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4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4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4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4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4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4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4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4" s="214" t="str">
        <f>IF(MergeNamesTable[[#This Row],[Player 2 Male]]="Female",'Defaults and Lookup Lists'!$B$4,IF(MergeNamesTable[[#This Row],[Tee Markers]]="","",MergeNamesTable[[#This Row],[Tee Markers]]))</f>
        <v/>
      </c>
      <c r="CL34" s="7" t="str">
        <f>IF(MergeNamesTable[[#This Row],[Player 2 Tees]]="","",VLOOKUP(MergeNamesTable[[#This Row],[Player 2 Tees]],TeeMarkerTable,23,FALSE))</f>
        <v/>
      </c>
      <c r="CM34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4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4" s="218"/>
      <c r="CP34" s="219"/>
      <c r="CQ34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4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4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4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4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4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4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4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4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4" s="7" t="str">
        <f>IF(MergeNamesTable[[#This Row],[Player 3 Tees]]="","",VLOOKUP(MergeNamesTable[[#This Row],[Player 3 Tees]],TeeMarkerTable,23,FALSE))</f>
        <v/>
      </c>
      <c r="DA34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4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4" s="218"/>
      <c r="DD34" s="212"/>
      <c r="DE34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4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4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4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4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4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4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4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4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4" s="7" t="str">
        <f>IF(MergeNamesTable[[#This Row],[Player 4 Tees]]="","",VLOOKUP(MergeNamesTable[[#This Row],[Player 4 Tees]],TeeMarkerTable,23,FALSE))</f>
        <v/>
      </c>
      <c r="DO34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4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4" s="225"/>
      <c r="DR34" s="226"/>
      <c r="DS34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4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4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4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4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4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4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4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4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4" s="161" t="str">
        <f>IF(MergeNamesTable[[#This Row],[Player 5 Tees]]="","",VLOOKUP(MergeNamesTable[[#This Row],[Player 5 Tees]],TeeMarkerTable,23,FALSE))</f>
        <v/>
      </c>
      <c r="EC34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4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4" s="230"/>
      <c r="EF34" s="73"/>
      <c r="EG34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4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4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4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4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4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4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4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4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4" s="107"/>
      <c r="EQ34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4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4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4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4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4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4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4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4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4" s="77"/>
      <c r="FA34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4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4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4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4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4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4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4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4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4" s="110"/>
      <c r="FK34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4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4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4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4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4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4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4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4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4" s="77"/>
      <c r="FU34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4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4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4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4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4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4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4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4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4" s="107"/>
      <c r="GE34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4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4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4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4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4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4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4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4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4" s="77"/>
      <c r="GO34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4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4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4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4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4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4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4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4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4" s="79"/>
      <c r="GY34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4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4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4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4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4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4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4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4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4" s="78"/>
      <c r="HI34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4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4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4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4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4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4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4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4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4" s="78"/>
      <c r="HS34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4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4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4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4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4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4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4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4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4" s="78"/>
    </row>
    <row r="35" spans="1:236" ht="21" customHeight="1">
      <c r="A35" s="365">
        <v>34</v>
      </c>
      <c r="B35" s="362" t="str">
        <f>MergeNamesTable[[#This Row],[Team Name Concat]]</f>
        <v/>
      </c>
      <c r="C35" s="59" t="str">
        <f>UPPER(MergeNamesTable[[#This Row],[Team Name]])</f>
        <v/>
      </c>
      <c r="D35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5" s="60" t="str">
        <f>UPPER(MergeNamesTable[[#This Row],[Team Name Concat]])</f>
        <v/>
      </c>
      <c r="F35" s="61">
        <f>MergeNamesTable[[#This Row],[Player 1 Handicap]]+MergeNamesTable[[#This Row],[Player 2 Handicap]]+MergeNamesTable[[#This Row],[Player 3 Handicap]]+MergeNamesTable[[#This Row],[Player 4 Handicap]]</f>
        <v>0</v>
      </c>
      <c r="G35" s="62">
        <f>IF(ISERROR(MergeNamesTable[[#This Row],[Handicap Team Total]]/4),0,ROUND(MergeNamesTable[[#This Row],[Handicap Team Total]]/4,0))</f>
        <v>0</v>
      </c>
      <c r="H35" s="62">
        <f>ROUND(((MergeNamesTable[[#This Row],[Player 1 Handicap]]+MergeNamesTable[[#This Row],[Player 2 Handicap]])*0.25)*0.335,0)</f>
        <v>0</v>
      </c>
      <c r="I35" s="62">
        <f>ROUND(((MergeNamesTable[[#This Row],[Player 1 Handicap]]+MergeNamesTable[[#This Row],[Player 2 Handicap]])*0.5)*0.335,0)</f>
        <v>0</v>
      </c>
      <c r="J35" s="63"/>
      <c r="K35" s="64" t="str">
        <f>IF(OR(MergeNamesTable[[#This Row],[Team Name]]&lt;&gt;"",MergeNamesTable[[#This Row],[Player 1 First Last]]&lt;&gt;""),'Defaults and Lookup Lists'!$B$2,"")</f>
        <v/>
      </c>
      <c r="L35" s="201"/>
      <c r="M35" s="65" t="str">
        <f>IF(OR(MergeNamesTable[[#This Row],[Team Name]]&lt;&gt;"",MergeNamesTable[[#This Row],[Player 1 First Last]]&lt;&gt;""),TEXT('Defaults and Lookup Lists'!$B$7,"ddd, mmm d, yyyy"),"")</f>
        <v/>
      </c>
      <c r="N35" s="311" t="str">
        <f>IF(OR(MergeNamesTable[[#This Row],[Team Name]]&lt;&gt;"",MergeNamesTable[[#This Row],[Player 1 First Last]]&lt;&gt;""),IF('Defaults and Lookup Lists'!$D$3="","",'Defaults and Lookup Lists'!$D$3),"")</f>
        <v/>
      </c>
      <c r="O35" s="247" t="str">
        <f>IF(OR(MergeNamesTable[[#This Row],[Team Name]]&lt;&gt;"",MergeNamesTable[[#This Row],[Player 1 First Last]]&lt;&gt;""),IF('Defaults and Lookup Lists'!$D$4="","",'Defaults and Lookup Lists'!$D$4),"")</f>
        <v/>
      </c>
      <c r="P35" s="247" t="str">
        <f>IF(OR(MergeNamesTable[[#This Row],[Team Name]]&lt;&gt;"",MergeNamesTable[[#This Row],[Player 1 First Last]]&lt;&gt;""),IF('Defaults and Lookup Lists'!$D$2="Shotgun","A",""),"")</f>
        <v/>
      </c>
      <c r="Q35" s="220" t="str">
        <f>IF(OR(MergeNamesTable[[#This Row],[Team Name]]&lt;&gt;"",MergeNamesTable[[#This Row],[Player 1 First Last]]&lt;&gt;""),IF('Defaults and Lookup Lists'!$B$6="","",'Defaults and Lookup Lists'!$B$6),"")</f>
        <v/>
      </c>
      <c r="R35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5" s="312" t="str">
        <f>IF(MergeNamesTable[[#This Row],[Entry Fee Team]]="","",MergeNamesTable[[#This Row],[Entry Fee Team]]-MergeNamesTable[[#This Row],[Entry Fee Paid]])</f>
        <v/>
      </c>
      <c r="T35" s="201"/>
      <c r="U35" s="201"/>
      <c r="V35" s="201"/>
      <c r="W35" s="201" t="str">
        <f>IF(OR(MergeNamesTable[[#This Row],[Team Name]]&lt;&gt;"",MergeNamesTable[[#This Row],[Player 1 First Last]]&lt;&gt;""),'Defaults and Lookup Lists'!$B$3,"")</f>
        <v/>
      </c>
      <c r="X35" s="67" t="str">
        <f>IF(MergeNamesTable[[#This Row],[Tee Markers]]="","",VLOOKUP(MergeNamesTable[[#This Row],[Tee Markers]],TeeMarkerTable,23,FALSE))</f>
        <v/>
      </c>
      <c r="Y35" s="59" t="str">
        <f>UPPER(MergeNamesTable[[#This Row],[Tournament]])</f>
        <v/>
      </c>
      <c r="Z35" s="6" t="str">
        <f>UPPER(MergeNamesTable[[#This Row],[Flight]])</f>
        <v/>
      </c>
      <c r="AA35" s="6" t="str">
        <f>UPPER(MergeNamesTable[[#This Row],[Tee Markers]])</f>
        <v/>
      </c>
      <c r="AB35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5" s="68" t="str">
        <f>IF(MergeNamesTable[[#This Row],[Start Time Day 2]]="","",TEXT(MergeNamesTable[[#This Row],[Start Time Day 2]],"HH:MM AM/PM"))</f>
        <v/>
      </c>
      <c r="AD35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5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5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5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5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5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5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5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5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5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5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5" s="72" t="str">
        <f>TEXT(MergeNamesTable[[#This Row],[Player 1 Handicap]],"##;+##;")</f>
        <v/>
      </c>
      <c r="AP35" s="7" t="str">
        <f>TEXT(MergeNamesTable[[#This Row],[Player 2 Handicap]],"##;+##;")</f>
        <v/>
      </c>
      <c r="AQ35" s="7" t="str">
        <f>TEXT(MergeNamesTable[[#This Row],[Player 3 Handicap]],"##;+##;")</f>
        <v/>
      </c>
      <c r="AR35" s="67" t="str">
        <f>TEXT(MergeNamesTable[[#This Row],[Player 4 Handicap]],"##;+##;")</f>
        <v/>
      </c>
      <c r="AS35" s="131" t="str">
        <f>TEXT(MergeNamesTable[[#This Row],[Player 5 Handicap]],"##;+##;")</f>
        <v/>
      </c>
      <c r="AT35" s="59" t="str">
        <f>UPPER(MergeNamesTable[[#This Row],[Player 1 First Last]])</f>
        <v/>
      </c>
      <c r="AU35" s="6" t="str">
        <f>UPPER(MergeNamesTable[[#This Row],[Player 2 First Last]])</f>
        <v/>
      </c>
      <c r="AV35" s="6" t="str">
        <f>UPPER(MergeNamesTable[[#This Row],[Player 3 First Last]])</f>
        <v/>
      </c>
      <c r="AW35" s="6" t="str">
        <f>UPPER(MergeNamesTable[[#This Row],[Player 4 First Last]])</f>
        <v/>
      </c>
      <c r="AX35" s="344" t="str">
        <f>UPPER(MergeNamesTable[[#This Row],[Player 5 First Last]])</f>
        <v/>
      </c>
      <c r="AY35" s="59" t="str">
        <f>UPPER(MergeNamesTable[[#This Row],[Player 1 First]])</f>
        <v/>
      </c>
      <c r="AZ35" s="6" t="str">
        <f>UPPER(MergeNamesTable[[#This Row],[Player 2 First]])</f>
        <v/>
      </c>
      <c r="BA35" s="6" t="str">
        <f>UPPER(MergeNamesTable[[#This Row],[Player 3 First]])</f>
        <v/>
      </c>
      <c r="BB35" s="6" t="str">
        <f>UPPER(MergeNamesTable[[#This Row],[Player 4 First]])</f>
        <v/>
      </c>
      <c r="BC35" s="344" t="str">
        <f>UPPER(MergeNamesTable[[#This Row],[Player 5 First]])</f>
        <v/>
      </c>
      <c r="BD35" s="59" t="str">
        <f>UPPER(MergeNamesTable[[#This Row],[Player 1 Last]])</f>
        <v/>
      </c>
      <c r="BE35" s="6" t="str">
        <f>UPPER(MergeNamesTable[[#This Row],[Player 2 Last]])</f>
        <v/>
      </c>
      <c r="BF35" s="6" t="str">
        <f>UPPER(MergeNamesTable[[#This Row],[Player 3 Last]])</f>
        <v/>
      </c>
      <c r="BG35" s="6" t="str">
        <f>UPPER(MergeNamesTable[[#This Row],[Player 4 Last]])</f>
        <v/>
      </c>
      <c r="BH35" s="344" t="str">
        <f>UPPER(MergeNamesTable[[#This Row],[Player 5 Last]])</f>
        <v/>
      </c>
      <c r="BI35" s="59" t="str">
        <f>UPPER(MergeNamesTable[[#This Row],[Player 1 Club]])</f>
        <v/>
      </c>
      <c r="BJ35" s="6" t="str">
        <f>UPPER(MergeNamesTable[[#This Row],[Player 2 Club]])</f>
        <v/>
      </c>
      <c r="BK35" s="6" t="str">
        <f>UPPER(MergeNamesTable[[#This Row],[Player 3 Club]])</f>
        <v/>
      </c>
      <c r="BL35" s="6" t="str">
        <f>UPPER(MergeNamesTable[[#This Row],[Player 4 Club]])</f>
        <v/>
      </c>
      <c r="BM35" s="344" t="str">
        <f>UPPER(MergeNamesTable[[#This Row],[Player 5 Club]])</f>
        <v/>
      </c>
      <c r="BN35" s="212"/>
      <c r="BO35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5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5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5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5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5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5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5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5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5" s="70" t="str">
        <f>IF(MergeNamesTable[[#This Row],[Player 1 Tees]]="","",VLOOKUP(MergeNamesTable[[#This Row],[Player 1 Tees]],TeeMarkerTable,23,FALSE))</f>
        <v/>
      </c>
      <c r="BY35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5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5" s="218"/>
      <c r="CB35" s="219"/>
      <c r="CC35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5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5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5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5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5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5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5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5" s="214" t="str">
        <f>IF(MergeNamesTable[[#This Row],[Player 2 Male]]="Female",'Defaults and Lookup Lists'!$B$4,IF(MergeNamesTable[[#This Row],[Tee Markers]]="","",MergeNamesTable[[#This Row],[Tee Markers]]))</f>
        <v/>
      </c>
      <c r="CL35" s="7" t="str">
        <f>IF(MergeNamesTable[[#This Row],[Player 2 Tees]]="","",VLOOKUP(MergeNamesTable[[#This Row],[Player 2 Tees]],TeeMarkerTable,23,FALSE))</f>
        <v/>
      </c>
      <c r="CM35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5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5" s="218"/>
      <c r="CP35" s="219"/>
      <c r="CQ35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5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5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5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5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5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5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5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5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5" s="7" t="str">
        <f>IF(MergeNamesTable[[#This Row],[Player 3 Tees]]="","",VLOOKUP(MergeNamesTable[[#This Row],[Player 3 Tees]],TeeMarkerTable,23,FALSE))</f>
        <v/>
      </c>
      <c r="DA35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5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5" s="218"/>
      <c r="DD35" s="212"/>
      <c r="DE35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5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5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5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5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5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5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5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5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5" s="7" t="str">
        <f>IF(MergeNamesTable[[#This Row],[Player 4 Tees]]="","",VLOOKUP(MergeNamesTable[[#This Row],[Player 4 Tees]],TeeMarkerTable,23,FALSE))</f>
        <v/>
      </c>
      <c r="DO35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5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5" s="225"/>
      <c r="DR35" s="226"/>
      <c r="DS35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5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5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5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5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5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5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5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5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5" s="161" t="str">
        <f>IF(MergeNamesTable[[#This Row],[Player 5 Tees]]="","",VLOOKUP(MergeNamesTable[[#This Row],[Player 5 Tees]],TeeMarkerTable,23,FALSE))</f>
        <v/>
      </c>
      <c r="EC35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5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5" s="230"/>
      <c r="EF35" s="73"/>
      <c r="EG35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5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5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5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5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5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5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5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5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5" s="107"/>
      <c r="EQ35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5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5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5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5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5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5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5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5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5" s="77"/>
      <c r="FA35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5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5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5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5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5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5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5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5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5" s="110"/>
      <c r="FK35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5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5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5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5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5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5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5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5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5" s="77"/>
      <c r="FU35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5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5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5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5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5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5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5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5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5" s="107"/>
      <c r="GE35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5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5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5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5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5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5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5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5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5" s="77"/>
      <c r="GO35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5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5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5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5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5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5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5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5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5" s="79"/>
      <c r="GY35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5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5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5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5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5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5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5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5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5" s="78"/>
      <c r="HI35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5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5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5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5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5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5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5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5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5" s="78"/>
      <c r="HS35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5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5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5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5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5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5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5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5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5" s="78"/>
    </row>
    <row r="36" spans="1:236" ht="21" customHeight="1">
      <c r="A36" s="365">
        <v>35</v>
      </c>
      <c r="B36" s="362" t="str">
        <f>MergeNamesTable[[#This Row],[Team Name Concat]]</f>
        <v/>
      </c>
      <c r="C36" s="59" t="str">
        <f>UPPER(MergeNamesTable[[#This Row],[Team Name]])</f>
        <v/>
      </c>
      <c r="D36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6" s="60" t="str">
        <f>UPPER(MergeNamesTable[[#This Row],[Team Name Concat]])</f>
        <v/>
      </c>
      <c r="F36" s="61">
        <f>MergeNamesTable[[#This Row],[Player 1 Handicap]]+MergeNamesTable[[#This Row],[Player 2 Handicap]]+MergeNamesTable[[#This Row],[Player 3 Handicap]]+MergeNamesTable[[#This Row],[Player 4 Handicap]]</f>
        <v>0</v>
      </c>
      <c r="G36" s="62">
        <f>IF(ISERROR(MergeNamesTable[[#This Row],[Handicap Team Total]]/4),0,ROUND(MergeNamesTable[[#This Row],[Handicap Team Total]]/4,0))</f>
        <v>0</v>
      </c>
      <c r="H36" s="62">
        <f>ROUND(((MergeNamesTable[[#This Row],[Player 1 Handicap]]+MergeNamesTable[[#This Row],[Player 2 Handicap]])*0.25)*0.335,0)</f>
        <v>0</v>
      </c>
      <c r="I36" s="62">
        <f>ROUND(((MergeNamesTable[[#This Row],[Player 1 Handicap]]+MergeNamesTable[[#This Row],[Player 2 Handicap]])*0.5)*0.335,0)</f>
        <v>0</v>
      </c>
      <c r="J36" s="63"/>
      <c r="K36" s="64" t="str">
        <f>IF(OR(MergeNamesTable[[#This Row],[Team Name]]&lt;&gt;"",MergeNamesTable[[#This Row],[Player 1 First Last]]&lt;&gt;""),'Defaults and Lookup Lists'!$B$2,"")</f>
        <v/>
      </c>
      <c r="L36" s="201"/>
      <c r="M36" s="65" t="str">
        <f>IF(OR(MergeNamesTable[[#This Row],[Team Name]]&lt;&gt;"",MergeNamesTable[[#This Row],[Player 1 First Last]]&lt;&gt;""),TEXT('Defaults and Lookup Lists'!$B$7,"ddd, mmm d, yyyy"),"")</f>
        <v/>
      </c>
      <c r="N36" s="311" t="str">
        <f>IF(OR(MergeNamesTable[[#This Row],[Team Name]]&lt;&gt;"",MergeNamesTable[[#This Row],[Player 1 First Last]]&lt;&gt;""),IF('Defaults and Lookup Lists'!$D$3="","",'Defaults and Lookup Lists'!$D$3),"")</f>
        <v/>
      </c>
      <c r="O36" s="247" t="str">
        <f>IF(OR(MergeNamesTable[[#This Row],[Team Name]]&lt;&gt;"",MergeNamesTable[[#This Row],[Player 1 First Last]]&lt;&gt;""),IF('Defaults and Lookup Lists'!$D$4="","",'Defaults and Lookup Lists'!$D$4),"")</f>
        <v/>
      </c>
      <c r="P36" s="247" t="str">
        <f>IF(OR(MergeNamesTable[[#This Row],[Team Name]]&lt;&gt;"",MergeNamesTable[[#This Row],[Player 1 First Last]]&lt;&gt;""),IF('Defaults and Lookup Lists'!$D$2="Shotgun","A",""),"")</f>
        <v/>
      </c>
      <c r="Q36" s="220" t="str">
        <f>IF(OR(MergeNamesTable[[#This Row],[Team Name]]&lt;&gt;"",MergeNamesTable[[#This Row],[Player 1 First Last]]&lt;&gt;""),IF('Defaults and Lookup Lists'!$B$6="","",'Defaults and Lookup Lists'!$B$6),"")</f>
        <v/>
      </c>
      <c r="R36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6" s="312" t="str">
        <f>IF(MergeNamesTable[[#This Row],[Entry Fee Team]]="","",MergeNamesTable[[#This Row],[Entry Fee Team]]-MergeNamesTable[[#This Row],[Entry Fee Paid]])</f>
        <v/>
      </c>
      <c r="T36" s="201"/>
      <c r="U36" s="201"/>
      <c r="V36" s="201"/>
      <c r="W36" s="201" t="str">
        <f>IF(OR(MergeNamesTable[[#This Row],[Team Name]]&lt;&gt;"",MergeNamesTable[[#This Row],[Player 1 First Last]]&lt;&gt;""),'Defaults and Lookup Lists'!$B$3,"")</f>
        <v/>
      </c>
      <c r="X36" s="67" t="str">
        <f>IF(MergeNamesTable[[#This Row],[Tee Markers]]="","",VLOOKUP(MergeNamesTable[[#This Row],[Tee Markers]],TeeMarkerTable,23,FALSE))</f>
        <v/>
      </c>
      <c r="Y36" s="59" t="str">
        <f>UPPER(MergeNamesTable[[#This Row],[Tournament]])</f>
        <v/>
      </c>
      <c r="Z36" s="6" t="str">
        <f>UPPER(MergeNamesTable[[#This Row],[Flight]])</f>
        <v/>
      </c>
      <c r="AA36" s="6" t="str">
        <f>UPPER(MergeNamesTable[[#This Row],[Tee Markers]])</f>
        <v/>
      </c>
      <c r="AB36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6" s="68" t="str">
        <f>IF(MergeNamesTable[[#This Row],[Start Time Day 2]]="","",TEXT(MergeNamesTable[[#This Row],[Start Time Day 2]],"HH:MM AM/PM"))</f>
        <v/>
      </c>
      <c r="AD36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6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6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6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6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6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6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6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6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6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6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6" s="72" t="str">
        <f>TEXT(MergeNamesTable[[#This Row],[Player 1 Handicap]],"##;+##;")</f>
        <v/>
      </c>
      <c r="AP36" s="7" t="str">
        <f>TEXT(MergeNamesTable[[#This Row],[Player 2 Handicap]],"##;+##;")</f>
        <v/>
      </c>
      <c r="AQ36" s="7" t="str">
        <f>TEXT(MergeNamesTable[[#This Row],[Player 3 Handicap]],"##;+##;")</f>
        <v/>
      </c>
      <c r="AR36" s="67" t="str">
        <f>TEXT(MergeNamesTable[[#This Row],[Player 4 Handicap]],"##;+##;")</f>
        <v/>
      </c>
      <c r="AS36" s="131" t="str">
        <f>TEXT(MergeNamesTable[[#This Row],[Player 5 Handicap]],"##;+##;")</f>
        <v/>
      </c>
      <c r="AT36" s="59" t="str">
        <f>UPPER(MergeNamesTable[[#This Row],[Player 1 First Last]])</f>
        <v/>
      </c>
      <c r="AU36" s="6" t="str">
        <f>UPPER(MergeNamesTable[[#This Row],[Player 2 First Last]])</f>
        <v/>
      </c>
      <c r="AV36" s="6" t="str">
        <f>UPPER(MergeNamesTable[[#This Row],[Player 3 First Last]])</f>
        <v/>
      </c>
      <c r="AW36" s="6" t="str">
        <f>UPPER(MergeNamesTable[[#This Row],[Player 4 First Last]])</f>
        <v/>
      </c>
      <c r="AX36" s="344" t="str">
        <f>UPPER(MergeNamesTable[[#This Row],[Player 5 First Last]])</f>
        <v/>
      </c>
      <c r="AY36" s="59" t="str">
        <f>UPPER(MergeNamesTable[[#This Row],[Player 1 First]])</f>
        <v/>
      </c>
      <c r="AZ36" s="6" t="str">
        <f>UPPER(MergeNamesTable[[#This Row],[Player 2 First]])</f>
        <v/>
      </c>
      <c r="BA36" s="6" t="str">
        <f>UPPER(MergeNamesTable[[#This Row],[Player 3 First]])</f>
        <v/>
      </c>
      <c r="BB36" s="6" t="str">
        <f>UPPER(MergeNamesTable[[#This Row],[Player 4 First]])</f>
        <v/>
      </c>
      <c r="BC36" s="344" t="str">
        <f>UPPER(MergeNamesTable[[#This Row],[Player 5 First]])</f>
        <v/>
      </c>
      <c r="BD36" s="59" t="str">
        <f>UPPER(MergeNamesTable[[#This Row],[Player 1 Last]])</f>
        <v/>
      </c>
      <c r="BE36" s="6" t="str">
        <f>UPPER(MergeNamesTable[[#This Row],[Player 2 Last]])</f>
        <v/>
      </c>
      <c r="BF36" s="6" t="str">
        <f>UPPER(MergeNamesTable[[#This Row],[Player 3 Last]])</f>
        <v/>
      </c>
      <c r="BG36" s="6" t="str">
        <f>UPPER(MergeNamesTable[[#This Row],[Player 4 Last]])</f>
        <v/>
      </c>
      <c r="BH36" s="344" t="str">
        <f>UPPER(MergeNamesTable[[#This Row],[Player 5 Last]])</f>
        <v/>
      </c>
      <c r="BI36" s="59" t="str">
        <f>UPPER(MergeNamesTable[[#This Row],[Player 1 Club]])</f>
        <v/>
      </c>
      <c r="BJ36" s="6" t="str">
        <f>UPPER(MergeNamesTable[[#This Row],[Player 2 Club]])</f>
        <v/>
      </c>
      <c r="BK36" s="6" t="str">
        <f>UPPER(MergeNamesTable[[#This Row],[Player 3 Club]])</f>
        <v/>
      </c>
      <c r="BL36" s="6" t="str">
        <f>UPPER(MergeNamesTable[[#This Row],[Player 4 Club]])</f>
        <v/>
      </c>
      <c r="BM36" s="344" t="str">
        <f>UPPER(MergeNamesTable[[#This Row],[Player 5 Club]])</f>
        <v/>
      </c>
      <c r="BN36" s="212"/>
      <c r="BO36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6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6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6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6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6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6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6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6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6" s="70" t="str">
        <f>IF(MergeNamesTable[[#This Row],[Player 1 Tees]]="","",VLOOKUP(MergeNamesTable[[#This Row],[Player 1 Tees]],TeeMarkerTable,23,FALSE))</f>
        <v/>
      </c>
      <c r="BY36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6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6" s="218"/>
      <c r="CB36" s="219"/>
      <c r="CC36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6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6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6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6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6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6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6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6" s="214" t="str">
        <f>IF(MergeNamesTable[[#This Row],[Player 2 Male]]="Female",'Defaults and Lookup Lists'!$B$4,IF(MergeNamesTable[[#This Row],[Tee Markers]]="","",MergeNamesTable[[#This Row],[Tee Markers]]))</f>
        <v/>
      </c>
      <c r="CL36" s="7" t="str">
        <f>IF(MergeNamesTable[[#This Row],[Player 2 Tees]]="","",VLOOKUP(MergeNamesTable[[#This Row],[Player 2 Tees]],TeeMarkerTable,23,FALSE))</f>
        <v/>
      </c>
      <c r="CM36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6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6" s="218"/>
      <c r="CP36" s="219"/>
      <c r="CQ36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6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6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6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6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6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6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6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6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6" s="7" t="str">
        <f>IF(MergeNamesTable[[#This Row],[Player 3 Tees]]="","",VLOOKUP(MergeNamesTable[[#This Row],[Player 3 Tees]],TeeMarkerTable,23,FALSE))</f>
        <v/>
      </c>
      <c r="DA36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6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6" s="218"/>
      <c r="DD36" s="212"/>
      <c r="DE36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6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6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6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6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6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6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6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6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6" s="7" t="str">
        <f>IF(MergeNamesTable[[#This Row],[Player 4 Tees]]="","",VLOOKUP(MergeNamesTable[[#This Row],[Player 4 Tees]],TeeMarkerTable,23,FALSE))</f>
        <v/>
      </c>
      <c r="DO36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6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6" s="225"/>
      <c r="DR36" s="226"/>
      <c r="DS36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6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6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6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6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6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6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6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6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6" s="161" t="str">
        <f>IF(MergeNamesTable[[#This Row],[Player 5 Tees]]="","",VLOOKUP(MergeNamesTable[[#This Row],[Player 5 Tees]],TeeMarkerTable,23,FALSE))</f>
        <v/>
      </c>
      <c r="EC36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6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6" s="230"/>
      <c r="EF36" s="73"/>
      <c r="EG36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6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6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6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6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6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6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6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6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6" s="107"/>
      <c r="EQ36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6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6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6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6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6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6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6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6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6" s="77"/>
      <c r="FA36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6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6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6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6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6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6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6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6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6" s="110"/>
      <c r="FK36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6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6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6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6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6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6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6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6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6" s="77"/>
      <c r="FU36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6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6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6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6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6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6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6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6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6" s="107"/>
      <c r="GE36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6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6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6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6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6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6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6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6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6" s="77"/>
      <c r="GO36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6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6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6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6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6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6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6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6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6" s="79"/>
      <c r="GY36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6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6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6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6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6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6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6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6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6" s="78"/>
      <c r="HI36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6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6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6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6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6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6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6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6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6" s="78"/>
      <c r="HS36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6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6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6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6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6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6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6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6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6" s="78"/>
    </row>
    <row r="37" spans="1:236" ht="21" customHeight="1">
      <c r="A37" s="365">
        <v>36</v>
      </c>
      <c r="B37" s="362" t="str">
        <f>MergeNamesTable[[#This Row],[Team Name Concat]]</f>
        <v/>
      </c>
      <c r="C37" s="59" t="str">
        <f>UPPER(MergeNamesTable[[#This Row],[Team Name]])</f>
        <v/>
      </c>
      <c r="D37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7" s="60" t="str">
        <f>UPPER(MergeNamesTable[[#This Row],[Team Name Concat]])</f>
        <v/>
      </c>
      <c r="F37" s="61">
        <f>MergeNamesTable[[#This Row],[Player 1 Handicap]]+MergeNamesTable[[#This Row],[Player 2 Handicap]]+MergeNamesTable[[#This Row],[Player 3 Handicap]]+MergeNamesTable[[#This Row],[Player 4 Handicap]]</f>
        <v>0</v>
      </c>
      <c r="G37" s="62">
        <f>IF(ISERROR(MergeNamesTable[[#This Row],[Handicap Team Total]]/4),0,ROUND(MergeNamesTable[[#This Row],[Handicap Team Total]]/4,0))</f>
        <v>0</v>
      </c>
      <c r="H37" s="62">
        <f>ROUND(((MergeNamesTable[[#This Row],[Player 1 Handicap]]+MergeNamesTable[[#This Row],[Player 2 Handicap]])*0.25)*0.335,0)</f>
        <v>0</v>
      </c>
      <c r="I37" s="62">
        <f>ROUND(((MergeNamesTable[[#This Row],[Player 1 Handicap]]+MergeNamesTable[[#This Row],[Player 2 Handicap]])*0.5)*0.335,0)</f>
        <v>0</v>
      </c>
      <c r="J37" s="63"/>
      <c r="K37" s="64" t="str">
        <f>IF(OR(MergeNamesTable[[#This Row],[Team Name]]&lt;&gt;"",MergeNamesTable[[#This Row],[Player 1 First Last]]&lt;&gt;""),'Defaults and Lookup Lists'!$B$2,"")</f>
        <v/>
      </c>
      <c r="L37" s="201"/>
      <c r="M37" s="65" t="str">
        <f>IF(OR(MergeNamesTable[[#This Row],[Team Name]]&lt;&gt;"",MergeNamesTable[[#This Row],[Player 1 First Last]]&lt;&gt;""),TEXT('Defaults and Lookup Lists'!$B$7,"ddd, mmm d, yyyy"),"")</f>
        <v/>
      </c>
      <c r="N37" s="311" t="str">
        <f>IF(OR(MergeNamesTable[[#This Row],[Team Name]]&lt;&gt;"",MergeNamesTable[[#This Row],[Player 1 First Last]]&lt;&gt;""),IF('Defaults and Lookup Lists'!$D$3="","",'Defaults and Lookup Lists'!$D$3),"")</f>
        <v/>
      </c>
      <c r="O37" s="247" t="str">
        <f>IF(OR(MergeNamesTable[[#This Row],[Team Name]]&lt;&gt;"",MergeNamesTable[[#This Row],[Player 1 First Last]]&lt;&gt;""),IF('Defaults and Lookup Lists'!$D$4="","",'Defaults and Lookup Lists'!$D$4),"")</f>
        <v/>
      </c>
      <c r="P37" s="247" t="str">
        <f>IF(OR(MergeNamesTable[[#This Row],[Team Name]]&lt;&gt;"",MergeNamesTable[[#This Row],[Player 1 First Last]]&lt;&gt;""),IF('Defaults and Lookup Lists'!$D$2="Shotgun","A",""),"")</f>
        <v/>
      </c>
      <c r="Q37" s="220" t="str">
        <f>IF(OR(MergeNamesTable[[#This Row],[Team Name]]&lt;&gt;"",MergeNamesTable[[#This Row],[Player 1 First Last]]&lt;&gt;""),IF('Defaults and Lookup Lists'!$B$6="","",'Defaults and Lookup Lists'!$B$6),"")</f>
        <v/>
      </c>
      <c r="R37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7" s="312" t="str">
        <f>IF(MergeNamesTable[[#This Row],[Entry Fee Team]]="","",MergeNamesTable[[#This Row],[Entry Fee Team]]-MergeNamesTable[[#This Row],[Entry Fee Paid]])</f>
        <v/>
      </c>
      <c r="T37" s="201"/>
      <c r="U37" s="201"/>
      <c r="V37" s="201"/>
      <c r="W37" s="201" t="str">
        <f>IF(OR(MergeNamesTable[[#This Row],[Team Name]]&lt;&gt;"",MergeNamesTable[[#This Row],[Player 1 First Last]]&lt;&gt;""),'Defaults and Lookup Lists'!$B$3,"")</f>
        <v/>
      </c>
      <c r="X37" s="67" t="str">
        <f>IF(MergeNamesTable[[#This Row],[Tee Markers]]="","",VLOOKUP(MergeNamesTable[[#This Row],[Tee Markers]],TeeMarkerTable,23,FALSE))</f>
        <v/>
      </c>
      <c r="Y37" s="59" t="str">
        <f>UPPER(MergeNamesTable[[#This Row],[Tournament]])</f>
        <v/>
      </c>
      <c r="Z37" s="6" t="str">
        <f>UPPER(MergeNamesTable[[#This Row],[Flight]])</f>
        <v/>
      </c>
      <c r="AA37" s="6" t="str">
        <f>UPPER(MergeNamesTable[[#This Row],[Tee Markers]])</f>
        <v/>
      </c>
      <c r="AB37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7" s="68" t="str">
        <f>IF(MergeNamesTable[[#This Row],[Start Time Day 2]]="","",TEXT(MergeNamesTable[[#This Row],[Start Time Day 2]],"HH:MM AM/PM"))</f>
        <v/>
      </c>
      <c r="AD37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7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7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7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7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7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7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7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7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7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7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7" s="72" t="str">
        <f>TEXT(MergeNamesTable[[#This Row],[Player 1 Handicap]],"##;+##;")</f>
        <v/>
      </c>
      <c r="AP37" s="7" t="str">
        <f>TEXT(MergeNamesTable[[#This Row],[Player 2 Handicap]],"##;+##;")</f>
        <v/>
      </c>
      <c r="AQ37" s="7" t="str">
        <f>TEXT(MergeNamesTable[[#This Row],[Player 3 Handicap]],"##;+##;")</f>
        <v/>
      </c>
      <c r="AR37" s="67" t="str">
        <f>TEXT(MergeNamesTable[[#This Row],[Player 4 Handicap]],"##;+##;")</f>
        <v/>
      </c>
      <c r="AS37" s="131" t="str">
        <f>TEXT(MergeNamesTable[[#This Row],[Player 5 Handicap]],"##;+##;")</f>
        <v/>
      </c>
      <c r="AT37" s="59" t="str">
        <f>UPPER(MergeNamesTable[[#This Row],[Player 1 First Last]])</f>
        <v/>
      </c>
      <c r="AU37" s="6" t="str">
        <f>UPPER(MergeNamesTable[[#This Row],[Player 2 First Last]])</f>
        <v/>
      </c>
      <c r="AV37" s="6" t="str">
        <f>UPPER(MergeNamesTable[[#This Row],[Player 3 First Last]])</f>
        <v/>
      </c>
      <c r="AW37" s="6" t="str">
        <f>UPPER(MergeNamesTable[[#This Row],[Player 4 First Last]])</f>
        <v/>
      </c>
      <c r="AX37" s="344" t="str">
        <f>UPPER(MergeNamesTable[[#This Row],[Player 5 First Last]])</f>
        <v/>
      </c>
      <c r="AY37" s="59" t="str">
        <f>UPPER(MergeNamesTable[[#This Row],[Player 1 First]])</f>
        <v/>
      </c>
      <c r="AZ37" s="6" t="str">
        <f>UPPER(MergeNamesTable[[#This Row],[Player 2 First]])</f>
        <v/>
      </c>
      <c r="BA37" s="6" t="str">
        <f>UPPER(MergeNamesTable[[#This Row],[Player 3 First]])</f>
        <v/>
      </c>
      <c r="BB37" s="6" t="str">
        <f>UPPER(MergeNamesTable[[#This Row],[Player 4 First]])</f>
        <v/>
      </c>
      <c r="BC37" s="344" t="str">
        <f>UPPER(MergeNamesTable[[#This Row],[Player 5 First]])</f>
        <v/>
      </c>
      <c r="BD37" s="59" t="str">
        <f>UPPER(MergeNamesTable[[#This Row],[Player 1 Last]])</f>
        <v/>
      </c>
      <c r="BE37" s="6" t="str">
        <f>UPPER(MergeNamesTable[[#This Row],[Player 2 Last]])</f>
        <v/>
      </c>
      <c r="BF37" s="6" t="str">
        <f>UPPER(MergeNamesTable[[#This Row],[Player 3 Last]])</f>
        <v/>
      </c>
      <c r="BG37" s="6" t="str">
        <f>UPPER(MergeNamesTable[[#This Row],[Player 4 Last]])</f>
        <v/>
      </c>
      <c r="BH37" s="344" t="str">
        <f>UPPER(MergeNamesTable[[#This Row],[Player 5 Last]])</f>
        <v/>
      </c>
      <c r="BI37" s="59" t="str">
        <f>UPPER(MergeNamesTable[[#This Row],[Player 1 Club]])</f>
        <v/>
      </c>
      <c r="BJ37" s="6" t="str">
        <f>UPPER(MergeNamesTable[[#This Row],[Player 2 Club]])</f>
        <v/>
      </c>
      <c r="BK37" s="6" t="str">
        <f>UPPER(MergeNamesTable[[#This Row],[Player 3 Club]])</f>
        <v/>
      </c>
      <c r="BL37" s="6" t="str">
        <f>UPPER(MergeNamesTable[[#This Row],[Player 4 Club]])</f>
        <v/>
      </c>
      <c r="BM37" s="344" t="str">
        <f>UPPER(MergeNamesTable[[#This Row],[Player 5 Club]])</f>
        <v/>
      </c>
      <c r="BN37" s="212"/>
      <c r="BO37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7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7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7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7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7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7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7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7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7" s="70" t="str">
        <f>IF(MergeNamesTable[[#This Row],[Player 1 Tees]]="","",VLOOKUP(MergeNamesTable[[#This Row],[Player 1 Tees]],TeeMarkerTable,23,FALSE))</f>
        <v/>
      </c>
      <c r="BY37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7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7" s="218"/>
      <c r="CB37" s="219"/>
      <c r="CC37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7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7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7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7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7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7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7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7" s="214" t="str">
        <f>IF(MergeNamesTable[[#This Row],[Player 2 Male]]="Female",'Defaults and Lookup Lists'!$B$4,IF(MergeNamesTable[[#This Row],[Tee Markers]]="","",MergeNamesTable[[#This Row],[Tee Markers]]))</f>
        <v/>
      </c>
      <c r="CL37" s="7" t="str">
        <f>IF(MergeNamesTable[[#This Row],[Player 2 Tees]]="","",VLOOKUP(MergeNamesTable[[#This Row],[Player 2 Tees]],TeeMarkerTable,23,FALSE))</f>
        <v/>
      </c>
      <c r="CM37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7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7" s="218"/>
      <c r="CP37" s="219"/>
      <c r="CQ37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7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7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7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7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7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7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7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7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7" s="7" t="str">
        <f>IF(MergeNamesTable[[#This Row],[Player 3 Tees]]="","",VLOOKUP(MergeNamesTable[[#This Row],[Player 3 Tees]],TeeMarkerTable,23,FALSE))</f>
        <v/>
      </c>
      <c r="DA37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7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7" s="218"/>
      <c r="DD37" s="212"/>
      <c r="DE37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7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7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7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7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7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7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7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7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7" s="7" t="str">
        <f>IF(MergeNamesTable[[#This Row],[Player 4 Tees]]="","",VLOOKUP(MergeNamesTable[[#This Row],[Player 4 Tees]],TeeMarkerTable,23,FALSE))</f>
        <v/>
      </c>
      <c r="DO37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7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7" s="225"/>
      <c r="DR37" s="226"/>
      <c r="DS37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7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7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7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7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7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7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7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7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7" s="161" t="str">
        <f>IF(MergeNamesTable[[#This Row],[Player 5 Tees]]="","",VLOOKUP(MergeNamesTable[[#This Row],[Player 5 Tees]],TeeMarkerTable,23,FALSE))</f>
        <v/>
      </c>
      <c r="EC37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7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7" s="230"/>
      <c r="EF37" s="73"/>
      <c r="EG37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7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7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7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7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7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7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7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7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7" s="107"/>
      <c r="EQ37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7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7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7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7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7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7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7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7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7" s="77"/>
      <c r="FA37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7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7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7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7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7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7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7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7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7" s="110"/>
      <c r="FK37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7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7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7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7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7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7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7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7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7" s="77"/>
      <c r="FU37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7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7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7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7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7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7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7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7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7" s="107"/>
      <c r="GE37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7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7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7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7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7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7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7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7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7" s="77"/>
      <c r="GO37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7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7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7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7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7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7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7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7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7" s="79"/>
      <c r="GY37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7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7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7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7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7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7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7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7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7" s="78"/>
      <c r="HI37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7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7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7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7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7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7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7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7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7" s="78"/>
      <c r="HS37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7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7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7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7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7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7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7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7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7" s="78"/>
    </row>
    <row r="38" spans="1:236" ht="21" customHeight="1">
      <c r="A38" s="365">
        <v>37</v>
      </c>
      <c r="B38" s="362" t="str">
        <f>MergeNamesTable[[#This Row],[Team Name Concat]]</f>
        <v/>
      </c>
      <c r="C38" s="59" t="str">
        <f>UPPER(MergeNamesTable[[#This Row],[Team Name]])</f>
        <v/>
      </c>
      <c r="D38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8" s="60" t="str">
        <f>UPPER(MergeNamesTable[[#This Row],[Team Name Concat]])</f>
        <v/>
      </c>
      <c r="F38" s="61">
        <f>MergeNamesTable[[#This Row],[Player 1 Handicap]]+MergeNamesTable[[#This Row],[Player 2 Handicap]]+MergeNamesTable[[#This Row],[Player 3 Handicap]]+MergeNamesTable[[#This Row],[Player 4 Handicap]]</f>
        <v>0</v>
      </c>
      <c r="G38" s="62">
        <f>IF(ISERROR(MergeNamesTable[[#This Row],[Handicap Team Total]]/4),0,ROUND(MergeNamesTable[[#This Row],[Handicap Team Total]]/4,0))</f>
        <v>0</v>
      </c>
      <c r="H38" s="62">
        <f>ROUND(((MergeNamesTable[[#This Row],[Player 1 Handicap]]+MergeNamesTable[[#This Row],[Player 2 Handicap]])*0.25)*0.335,0)</f>
        <v>0</v>
      </c>
      <c r="I38" s="62">
        <f>ROUND(((MergeNamesTable[[#This Row],[Player 1 Handicap]]+MergeNamesTable[[#This Row],[Player 2 Handicap]])*0.5)*0.335,0)</f>
        <v>0</v>
      </c>
      <c r="J38" s="63"/>
      <c r="K38" s="64" t="str">
        <f>IF(OR(MergeNamesTable[[#This Row],[Team Name]]&lt;&gt;"",MergeNamesTable[[#This Row],[Player 1 First Last]]&lt;&gt;""),'Defaults and Lookup Lists'!$B$2,"")</f>
        <v/>
      </c>
      <c r="L38" s="201"/>
      <c r="M38" s="65" t="str">
        <f>IF(OR(MergeNamesTable[[#This Row],[Team Name]]&lt;&gt;"",MergeNamesTable[[#This Row],[Player 1 First Last]]&lt;&gt;""),TEXT('Defaults and Lookup Lists'!$B$7,"ddd, mmm d, yyyy"),"")</f>
        <v/>
      </c>
      <c r="N38" s="311" t="str">
        <f>IF(OR(MergeNamesTable[[#This Row],[Team Name]]&lt;&gt;"",MergeNamesTable[[#This Row],[Player 1 First Last]]&lt;&gt;""),IF('Defaults and Lookup Lists'!$D$3="","",'Defaults and Lookup Lists'!$D$3),"")</f>
        <v/>
      </c>
      <c r="O38" s="247" t="str">
        <f>IF(OR(MergeNamesTable[[#This Row],[Team Name]]&lt;&gt;"",MergeNamesTable[[#This Row],[Player 1 First Last]]&lt;&gt;""),IF('Defaults and Lookup Lists'!$D$4="","",'Defaults and Lookup Lists'!$D$4),"")</f>
        <v/>
      </c>
      <c r="P38" s="247" t="str">
        <f>IF(OR(MergeNamesTable[[#This Row],[Team Name]]&lt;&gt;"",MergeNamesTable[[#This Row],[Player 1 First Last]]&lt;&gt;""),IF('Defaults and Lookup Lists'!$D$2="Shotgun","A",""),"")</f>
        <v/>
      </c>
      <c r="Q38" s="220" t="str">
        <f>IF(OR(MergeNamesTable[[#This Row],[Team Name]]&lt;&gt;"",MergeNamesTable[[#This Row],[Player 1 First Last]]&lt;&gt;""),IF('Defaults and Lookup Lists'!$B$6="","",'Defaults and Lookup Lists'!$B$6),"")</f>
        <v/>
      </c>
      <c r="R38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8" s="312" t="str">
        <f>IF(MergeNamesTable[[#This Row],[Entry Fee Team]]="","",MergeNamesTable[[#This Row],[Entry Fee Team]]-MergeNamesTable[[#This Row],[Entry Fee Paid]])</f>
        <v/>
      </c>
      <c r="T38" s="201"/>
      <c r="U38" s="201"/>
      <c r="V38" s="201"/>
      <c r="W38" s="201" t="str">
        <f>IF(OR(MergeNamesTable[[#This Row],[Team Name]]&lt;&gt;"",MergeNamesTable[[#This Row],[Player 1 First Last]]&lt;&gt;""),'Defaults and Lookup Lists'!$B$3,"")</f>
        <v/>
      </c>
      <c r="X38" s="67" t="str">
        <f>IF(MergeNamesTable[[#This Row],[Tee Markers]]="","",VLOOKUP(MergeNamesTable[[#This Row],[Tee Markers]],TeeMarkerTable,23,FALSE))</f>
        <v/>
      </c>
      <c r="Y38" s="59" t="str">
        <f>UPPER(MergeNamesTable[[#This Row],[Tournament]])</f>
        <v/>
      </c>
      <c r="Z38" s="6" t="str">
        <f>UPPER(MergeNamesTable[[#This Row],[Flight]])</f>
        <v/>
      </c>
      <c r="AA38" s="6" t="str">
        <f>UPPER(MergeNamesTable[[#This Row],[Tee Markers]])</f>
        <v/>
      </c>
      <c r="AB38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8" s="68" t="str">
        <f>IF(MergeNamesTable[[#This Row],[Start Time Day 2]]="","",TEXT(MergeNamesTable[[#This Row],[Start Time Day 2]],"HH:MM AM/PM"))</f>
        <v/>
      </c>
      <c r="AD38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8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8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8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8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8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8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8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8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8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8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8" s="72" t="str">
        <f>TEXT(MergeNamesTable[[#This Row],[Player 1 Handicap]],"##;+##;")</f>
        <v/>
      </c>
      <c r="AP38" s="7" t="str">
        <f>TEXT(MergeNamesTable[[#This Row],[Player 2 Handicap]],"##;+##;")</f>
        <v/>
      </c>
      <c r="AQ38" s="7" t="str">
        <f>TEXT(MergeNamesTable[[#This Row],[Player 3 Handicap]],"##;+##;")</f>
        <v/>
      </c>
      <c r="AR38" s="67" t="str">
        <f>TEXT(MergeNamesTable[[#This Row],[Player 4 Handicap]],"##;+##;")</f>
        <v/>
      </c>
      <c r="AS38" s="131" t="str">
        <f>TEXT(MergeNamesTable[[#This Row],[Player 5 Handicap]],"##;+##;")</f>
        <v/>
      </c>
      <c r="AT38" s="59" t="str">
        <f>UPPER(MergeNamesTable[[#This Row],[Player 1 First Last]])</f>
        <v/>
      </c>
      <c r="AU38" s="6" t="str">
        <f>UPPER(MergeNamesTable[[#This Row],[Player 2 First Last]])</f>
        <v/>
      </c>
      <c r="AV38" s="6" t="str">
        <f>UPPER(MergeNamesTable[[#This Row],[Player 3 First Last]])</f>
        <v/>
      </c>
      <c r="AW38" s="6" t="str">
        <f>UPPER(MergeNamesTable[[#This Row],[Player 4 First Last]])</f>
        <v/>
      </c>
      <c r="AX38" s="344" t="str">
        <f>UPPER(MergeNamesTable[[#This Row],[Player 5 First Last]])</f>
        <v/>
      </c>
      <c r="AY38" s="59" t="str">
        <f>UPPER(MergeNamesTable[[#This Row],[Player 1 First]])</f>
        <v/>
      </c>
      <c r="AZ38" s="6" t="str">
        <f>UPPER(MergeNamesTable[[#This Row],[Player 2 First]])</f>
        <v/>
      </c>
      <c r="BA38" s="6" t="str">
        <f>UPPER(MergeNamesTable[[#This Row],[Player 3 First]])</f>
        <v/>
      </c>
      <c r="BB38" s="6" t="str">
        <f>UPPER(MergeNamesTable[[#This Row],[Player 4 First]])</f>
        <v/>
      </c>
      <c r="BC38" s="344" t="str">
        <f>UPPER(MergeNamesTable[[#This Row],[Player 5 First]])</f>
        <v/>
      </c>
      <c r="BD38" s="59" t="str">
        <f>UPPER(MergeNamesTable[[#This Row],[Player 1 Last]])</f>
        <v/>
      </c>
      <c r="BE38" s="6" t="str">
        <f>UPPER(MergeNamesTable[[#This Row],[Player 2 Last]])</f>
        <v/>
      </c>
      <c r="BF38" s="6" t="str">
        <f>UPPER(MergeNamesTable[[#This Row],[Player 3 Last]])</f>
        <v/>
      </c>
      <c r="BG38" s="6" t="str">
        <f>UPPER(MergeNamesTable[[#This Row],[Player 4 Last]])</f>
        <v/>
      </c>
      <c r="BH38" s="344" t="str">
        <f>UPPER(MergeNamesTable[[#This Row],[Player 5 Last]])</f>
        <v/>
      </c>
      <c r="BI38" s="59" t="str">
        <f>UPPER(MergeNamesTable[[#This Row],[Player 1 Club]])</f>
        <v/>
      </c>
      <c r="BJ38" s="6" t="str">
        <f>UPPER(MergeNamesTable[[#This Row],[Player 2 Club]])</f>
        <v/>
      </c>
      <c r="BK38" s="6" t="str">
        <f>UPPER(MergeNamesTable[[#This Row],[Player 3 Club]])</f>
        <v/>
      </c>
      <c r="BL38" s="6" t="str">
        <f>UPPER(MergeNamesTable[[#This Row],[Player 4 Club]])</f>
        <v/>
      </c>
      <c r="BM38" s="344" t="str">
        <f>UPPER(MergeNamesTable[[#This Row],[Player 5 Club]])</f>
        <v/>
      </c>
      <c r="BN38" s="212"/>
      <c r="BO38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8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8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8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8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8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8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8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8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8" s="70" t="str">
        <f>IF(MergeNamesTable[[#This Row],[Player 1 Tees]]="","",VLOOKUP(MergeNamesTable[[#This Row],[Player 1 Tees]],TeeMarkerTable,23,FALSE))</f>
        <v/>
      </c>
      <c r="BY38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8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8" s="218"/>
      <c r="CB38" s="219"/>
      <c r="CC38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8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8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8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8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8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8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8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8" s="214" t="str">
        <f>IF(MergeNamesTable[[#This Row],[Player 2 Male]]="Female",'Defaults and Lookup Lists'!$B$4,IF(MergeNamesTable[[#This Row],[Tee Markers]]="","",MergeNamesTable[[#This Row],[Tee Markers]]))</f>
        <v/>
      </c>
      <c r="CL38" s="7" t="str">
        <f>IF(MergeNamesTable[[#This Row],[Player 2 Tees]]="","",VLOOKUP(MergeNamesTable[[#This Row],[Player 2 Tees]],TeeMarkerTable,23,FALSE))</f>
        <v/>
      </c>
      <c r="CM38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8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8" s="218"/>
      <c r="CP38" s="219"/>
      <c r="CQ38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8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8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8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8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8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8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8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8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8" s="7" t="str">
        <f>IF(MergeNamesTable[[#This Row],[Player 3 Tees]]="","",VLOOKUP(MergeNamesTable[[#This Row],[Player 3 Tees]],TeeMarkerTable,23,FALSE))</f>
        <v/>
      </c>
      <c r="DA38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8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8" s="218"/>
      <c r="DD38" s="212"/>
      <c r="DE38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8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8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8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8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8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8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8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8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8" s="7" t="str">
        <f>IF(MergeNamesTable[[#This Row],[Player 4 Tees]]="","",VLOOKUP(MergeNamesTable[[#This Row],[Player 4 Tees]],TeeMarkerTable,23,FALSE))</f>
        <v/>
      </c>
      <c r="DO38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8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8" s="225"/>
      <c r="DR38" s="226"/>
      <c r="DS38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8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8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8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8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8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8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8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8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8" s="161" t="str">
        <f>IF(MergeNamesTable[[#This Row],[Player 5 Tees]]="","",VLOOKUP(MergeNamesTable[[#This Row],[Player 5 Tees]],TeeMarkerTable,23,FALSE))</f>
        <v/>
      </c>
      <c r="EC38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8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8" s="230"/>
      <c r="EF38" s="73"/>
      <c r="EG38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8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8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8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8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8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8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8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8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8" s="107"/>
      <c r="EQ38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8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8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8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8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8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8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8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8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8" s="77"/>
      <c r="FA38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8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8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8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8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8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8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8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8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8" s="110"/>
      <c r="FK38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8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8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8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8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8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8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8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8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8" s="77"/>
      <c r="FU38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8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8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8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8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8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8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8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8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8" s="107"/>
      <c r="GE38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8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8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8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8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8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8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8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8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8" s="77"/>
      <c r="GO38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8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8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8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8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8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8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8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8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8" s="79"/>
      <c r="GY38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8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8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8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8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8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8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8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8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8" s="78"/>
      <c r="HI38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8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8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8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8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8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8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8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8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8" s="78"/>
      <c r="HS38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8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8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8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8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8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8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8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8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8" s="78"/>
    </row>
    <row r="39" spans="1:236" ht="21" customHeight="1">
      <c r="A39" s="365">
        <v>38</v>
      </c>
      <c r="B39" s="362" t="str">
        <f>MergeNamesTable[[#This Row],[Team Name Concat]]</f>
        <v/>
      </c>
      <c r="C39" s="59" t="str">
        <f>UPPER(MergeNamesTable[[#This Row],[Team Name]])</f>
        <v/>
      </c>
      <c r="D39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39" s="60" t="str">
        <f>UPPER(MergeNamesTable[[#This Row],[Team Name Concat]])</f>
        <v/>
      </c>
      <c r="F39" s="61">
        <f>MergeNamesTable[[#This Row],[Player 1 Handicap]]+MergeNamesTable[[#This Row],[Player 2 Handicap]]+MergeNamesTable[[#This Row],[Player 3 Handicap]]+MergeNamesTable[[#This Row],[Player 4 Handicap]]</f>
        <v>0</v>
      </c>
      <c r="G39" s="62">
        <f>IF(ISERROR(MergeNamesTable[[#This Row],[Handicap Team Total]]/4),0,ROUND(MergeNamesTable[[#This Row],[Handicap Team Total]]/4,0))</f>
        <v>0</v>
      </c>
      <c r="H39" s="62">
        <f>ROUND(((MergeNamesTable[[#This Row],[Player 1 Handicap]]+MergeNamesTable[[#This Row],[Player 2 Handicap]])*0.25)*0.335,0)</f>
        <v>0</v>
      </c>
      <c r="I39" s="62">
        <f>ROUND(((MergeNamesTable[[#This Row],[Player 1 Handicap]]+MergeNamesTable[[#This Row],[Player 2 Handicap]])*0.5)*0.335,0)</f>
        <v>0</v>
      </c>
      <c r="J39" s="63"/>
      <c r="K39" s="64" t="str">
        <f>IF(OR(MergeNamesTable[[#This Row],[Team Name]]&lt;&gt;"",MergeNamesTable[[#This Row],[Player 1 First Last]]&lt;&gt;""),'Defaults and Lookup Lists'!$B$2,"")</f>
        <v/>
      </c>
      <c r="L39" s="201"/>
      <c r="M39" s="65" t="str">
        <f>IF(OR(MergeNamesTable[[#This Row],[Team Name]]&lt;&gt;"",MergeNamesTable[[#This Row],[Player 1 First Last]]&lt;&gt;""),TEXT('Defaults and Lookup Lists'!$B$7,"ddd, mmm d, yyyy"),"")</f>
        <v/>
      </c>
      <c r="N39" s="311" t="str">
        <f>IF(OR(MergeNamesTable[[#This Row],[Team Name]]&lt;&gt;"",MergeNamesTable[[#This Row],[Player 1 First Last]]&lt;&gt;""),IF('Defaults and Lookup Lists'!$D$3="","",'Defaults and Lookup Lists'!$D$3),"")</f>
        <v/>
      </c>
      <c r="O39" s="247" t="str">
        <f>IF(OR(MergeNamesTable[[#This Row],[Team Name]]&lt;&gt;"",MergeNamesTable[[#This Row],[Player 1 First Last]]&lt;&gt;""),IF('Defaults and Lookup Lists'!$D$4="","",'Defaults and Lookup Lists'!$D$4),"")</f>
        <v/>
      </c>
      <c r="P39" s="247" t="str">
        <f>IF(OR(MergeNamesTable[[#This Row],[Team Name]]&lt;&gt;"",MergeNamesTable[[#This Row],[Player 1 First Last]]&lt;&gt;""),IF('Defaults and Lookup Lists'!$D$2="Shotgun","A",""),"")</f>
        <v/>
      </c>
      <c r="Q39" s="220" t="str">
        <f>IF(OR(MergeNamesTable[[#This Row],[Team Name]]&lt;&gt;"",MergeNamesTable[[#This Row],[Player 1 First Last]]&lt;&gt;""),IF('Defaults and Lookup Lists'!$B$6="","",'Defaults and Lookup Lists'!$B$6),"")</f>
        <v/>
      </c>
      <c r="R39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39" s="312" t="str">
        <f>IF(MergeNamesTable[[#This Row],[Entry Fee Team]]="","",MergeNamesTable[[#This Row],[Entry Fee Team]]-MergeNamesTable[[#This Row],[Entry Fee Paid]])</f>
        <v/>
      </c>
      <c r="T39" s="201"/>
      <c r="U39" s="201"/>
      <c r="V39" s="201"/>
      <c r="W39" s="201" t="str">
        <f>IF(OR(MergeNamesTable[[#This Row],[Team Name]]&lt;&gt;"",MergeNamesTable[[#This Row],[Player 1 First Last]]&lt;&gt;""),'Defaults and Lookup Lists'!$B$3,"")</f>
        <v/>
      </c>
      <c r="X39" s="67" t="str">
        <f>IF(MergeNamesTable[[#This Row],[Tee Markers]]="","",VLOOKUP(MergeNamesTable[[#This Row],[Tee Markers]],TeeMarkerTable,23,FALSE))</f>
        <v/>
      </c>
      <c r="Y39" s="59" t="str">
        <f>UPPER(MergeNamesTable[[#This Row],[Tournament]])</f>
        <v/>
      </c>
      <c r="Z39" s="6" t="str">
        <f>UPPER(MergeNamesTable[[#This Row],[Flight]])</f>
        <v/>
      </c>
      <c r="AA39" s="6" t="str">
        <f>UPPER(MergeNamesTable[[#This Row],[Tee Markers]])</f>
        <v/>
      </c>
      <c r="AB39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39" s="68" t="str">
        <f>IF(MergeNamesTable[[#This Row],[Start Time Day 2]]="","",TEXT(MergeNamesTable[[#This Row],[Start Time Day 2]],"HH:MM AM/PM"))</f>
        <v/>
      </c>
      <c r="AD39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39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39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39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39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39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39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39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39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39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39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39" s="72" t="str">
        <f>TEXT(MergeNamesTable[[#This Row],[Player 1 Handicap]],"##;+##;")</f>
        <v/>
      </c>
      <c r="AP39" s="7" t="str">
        <f>TEXT(MergeNamesTable[[#This Row],[Player 2 Handicap]],"##;+##;")</f>
        <v/>
      </c>
      <c r="AQ39" s="7" t="str">
        <f>TEXT(MergeNamesTable[[#This Row],[Player 3 Handicap]],"##;+##;")</f>
        <v/>
      </c>
      <c r="AR39" s="67" t="str">
        <f>TEXT(MergeNamesTable[[#This Row],[Player 4 Handicap]],"##;+##;")</f>
        <v/>
      </c>
      <c r="AS39" s="131" t="str">
        <f>TEXT(MergeNamesTable[[#This Row],[Player 5 Handicap]],"##;+##;")</f>
        <v/>
      </c>
      <c r="AT39" s="59" t="str">
        <f>UPPER(MergeNamesTable[[#This Row],[Player 1 First Last]])</f>
        <v/>
      </c>
      <c r="AU39" s="6" t="str">
        <f>UPPER(MergeNamesTable[[#This Row],[Player 2 First Last]])</f>
        <v/>
      </c>
      <c r="AV39" s="6" t="str">
        <f>UPPER(MergeNamesTable[[#This Row],[Player 3 First Last]])</f>
        <v/>
      </c>
      <c r="AW39" s="6" t="str">
        <f>UPPER(MergeNamesTable[[#This Row],[Player 4 First Last]])</f>
        <v/>
      </c>
      <c r="AX39" s="344" t="str">
        <f>UPPER(MergeNamesTable[[#This Row],[Player 5 First Last]])</f>
        <v/>
      </c>
      <c r="AY39" s="59" t="str">
        <f>UPPER(MergeNamesTable[[#This Row],[Player 1 First]])</f>
        <v/>
      </c>
      <c r="AZ39" s="6" t="str">
        <f>UPPER(MergeNamesTable[[#This Row],[Player 2 First]])</f>
        <v/>
      </c>
      <c r="BA39" s="6" t="str">
        <f>UPPER(MergeNamesTable[[#This Row],[Player 3 First]])</f>
        <v/>
      </c>
      <c r="BB39" s="6" t="str">
        <f>UPPER(MergeNamesTable[[#This Row],[Player 4 First]])</f>
        <v/>
      </c>
      <c r="BC39" s="344" t="str">
        <f>UPPER(MergeNamesTable[[#This Row],[Player 5 First]])</f>
        <v/>
      </c>
      <c r="BD39" s="59" t="str">
        <f>UPPER(MergeNamesTable[[#This Row],[Player 1 Last]])</f>
        <v/>
      </c>
      <c r="BE39" s="6" t="str">
        <f>UPPER(MergeNamesTable[[#This Row],[Player 2 Last]])</f>
        <v/>
      </c>
      <c r="BF39" s="6" t="str">
        <f>UPPER(MergeNamesTable[[#This Row],[Player 3 Last]])</f>
        <v/>
      </c>
      <c r="BG39" s="6" t="str">
        <f>UPPER(MergeNamesTable[[#This Row],[Player 4 Last]])</f>
        <v/>
      </c>
      <c r="BH39" s="344" t="str">
        <f>UPPER(MergeNamesTable[[#This Row],[Player 5 Last]])</f>
        <v/>
      </c>
      <c r="BI39" s="59" t="str">
        <f>UPPER(MergeNamesTable[[#This Row],[Player 1 Club]])</f>
        <v/>
      </c>
      <c r="BJ39" s="6" t="str">
        <f>UPPER(MergeNamesTable[[#This Row],[Player 2 Club]])</f>
        <v/>
      </c>
      <c r="BK39" s="6" t="str">
        <f>UPPER(MergeNamesTable[[#This Row],[Player 3 Club]])</f>
        <v/>
      </c>
      <c r="BL39" s="6" t="str">
        <f>UPPER(MergeNamesTable[[#This Row],[Player 4 Club]])</f>
        <v/>
      </c>
      <c r="BM39" s="344" t="str">
        <f>UPPER(MergeNamesTable[[#This Row],[Player 5 Club]])</f>
        <v/>
      </c>
      <c r="BN39" s="212"/>
      <c r="BO39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39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39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39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39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39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39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39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39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39" s="70" t="str">
        <f>IF(MergeNamesTable[[#This Row],[Player 1 Tees]]="","",VLOOKUP(MergeNamesTable[[#This Row],[Player 1 Tees]],TeeMarkerTable,23,FALSE))</f>
        <v/>
      </c>
      <c r="BY39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39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39" s="218"/>
      <c r="CB39" s="219"/>
      <c r="CC39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39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39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39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39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39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39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39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39" s="214" t="str">
        <f>IF(MergeNamesTable[[#This Row],[Player 2 Male]]="Female",'Defaults and Lookup Lists'!$B$4,IF(MergeNamesTable[[#This Row],[Tee Markers]]="","",MergeNamesTable[[#This Row],[Tee Markers]]))</f>
        <v/>
      </c>
      <c r="CL39" s="7" t="str">
        <f>IF(MergeNamesTable[[#This Row],[Player 2 Tees]]="","",VLOOKUP(MergeNamesTable[[#This Row],[Player 2 Tees]],TeeMarkerTable,23,FALSE))</f>
        <v/>
      </c>
      <c r="CM39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39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39" s="218"/>
      <c r="CP39" s="219"/>
      <c r="CQ39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39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39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39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39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39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39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39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39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39" s="7" t="str">
        <f>IF(MergeNamesTable[[#This Row],[Player 3 Tees]]="","",VLOOKUP(MergeNamesTable[[#This Row],[Player 3 Tees]],TeeMarkerTable,23,FALSE))</f>
        <v/>
      </c>
      <c r="DA39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39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39" s="218"/>
      <c r="DD39" s="212"/>
      <c r="DE39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39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39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39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39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39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39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39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39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39" s="7" t="str">
        <f>IF(MergeNamesTable[[#This Row],[Player 4 Tees]]="","",VLOOKUP(MergeNamesTable[[#This Row],[Player 4 Tees]],TeeMarkerTable,23,FALSE))</f>
        <v/>
      </c>
      <c r="DO39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39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39" s="225"/>
      <c r="DR39" s="226"/>
      <c r="DS39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39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39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39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39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39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39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39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39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39" s="161" t="str">
        <f>IF(MergeNamesTable[[#This Row],[Player 5 Tees]]="","",VLOOKUP(MergeNamesTable[[#This Row],[Player 5 Tees]],TeeMarkerTable,23,FALSE))</f>
        <v/>
      </c>
      <c r="EC39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39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39" s="230"/>
      <c r="EF39" s="73"/>
      <c r="EG39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39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39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39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39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39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39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39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39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39" s="107"/>
      <c r="EQ39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39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39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39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39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39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39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39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39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39" s="77"/>
      <c r="FA39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39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39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39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39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39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39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39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39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39" s="110"/>
      <c r="FK39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39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39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39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39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39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39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39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39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39" s="77"/>
      <c r="FU39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39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39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39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39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39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39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39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39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39" s="107"/>
      <c r="GE39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39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39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39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39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39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39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39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39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39" s="77"/>
      <c r="GO39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39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39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39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39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39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39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39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39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39" s="79"/>
      <c r="GY39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39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39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39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39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39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39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39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39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39" s="78"/>
      <c r="HI39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39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39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39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39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39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39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39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39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39" s="78"/>
      <c r="HS39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39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39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39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39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39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39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39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39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39" s="78"/>
    </row>
    <row r="40" spans="1:236" ht="21" customHeight="1">
      <c r="A40" s="365">
        <v>39</v>
      </c>
      <c r="B40" s="362" t="str">
        <f>MergeNamesTable[[#This Row],[Team Name Concat]]</f>
        <v/>
      </c>
      <c r="C40" s="59" t="str">
        <f>UPPER(MergeNamesTable[[#This Row],[Team Name]])</f>
        <v/>
      </c>
      <c r="D40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0" s="60" t="str">
        <f>UPPER(MergeNamesTable[[#This Row],[Team Name Concat]])</f>
        <v/>
      </c>
      <c r="F40" s="61">
        <f>MergeNamesTable[[#This Row],[Player 1 Handicap]]+MergeNamesTable[[#This Row],[Player 2 Handicap]]+MergeNamesTable[[#This Row],[Player 3 Handicap]]+MergeNamesTable[[#This Row],[Player 4 Handicap]]</f>
        <v>0</v>
      </c>
      <c r="G40" s="62">
        <f>IF(ISERROR(MergeNamesTable[[#This Row],[Handicap Team Total]]/4),0,ROUND(MergeNamesTable[[#This Row],[Handicap Team Total]]/4,0))</f>
        <v>0</v>
      </c>
      <c r="H40" s="62">
        <f>ROUND(((MergeNamesTable[[#This Row],[Player 1 Handicap]]+MergeNamesTable[[#This Row],[Player 2 Handicap]])*0.25)*0.335,0)</f>
        <v>0</v>
      </c>
      <c r="I40" s="62">
        <f>ROUND(((MergeNamesTable[[#This Row],[Player 1 Handicap]]+MergeNamesTable[[#This Row],[Player 2 Handicap]])*0.5)*0.335,0)</f>
        <v>0</v>
      </c>
      <c r="J40" s="63"/>
      <c r="K40" s="64" t="str">
        <f>IF(OR(MergeNamesTable[[#This Row],[Team Name]]&lt;&gt;"",MergeNamesTable[[#This Row],[Player 1 First Last]]&lt;&gt;""),'Defaults and Lookup Lists'!$B$2,"")</f>
        <v/>
      </c>
      <c r="L40" s="201"/>
      <c r="M40" s="65" t="str">
        <f>IF(OR(MergeNamesTable[[#This Row],[Team Name]]&lt;&gt;"",MergeNamesTable[[#This Row],[Player 1 First Last]]&lt;&gt;""),TEXT('Defaults and Lookup Lists'!$B$7,"ddd, mmm d, yyyy"),"")</f>
        <v/>
      </c>
      <c r="N40" s="311" t="str">
        <f>IF(OR(MergeNamesTable[[#This Row],[Team Name]]&lt;&gt;"",MergeNamesTable[[#This Row],[Player 1 First Last]]&lt;&gt;""),IF('Defaults and Lookup Lists'!$D$3="","",'Defaults and Lookup Lists'!$D$3),"")</f>
        <v/>
      </c>
      <c r="O40" s="247" t="str">
        <f>IF(OR(MergeNamesTable[[#This Row],[Team Name]]&lt;&gt;"",MergeNamesTable[[#This Row],[Player 1 First Last]]&lt;&gt;""),IF('Defaults and Lookup Lists'!$D$4="","",'Defaults and Lookup Lists'!$D$4),"")</f>
        <v/>
      </c>
      <c r="P40" s="247" t="str">
        <f>IF(OR(MergeNamesTable[[#This Row],[Team Name]]&lt;&gt;"",MergeNamesTable[[#This Row],[Player 1 First Last]]&lt;&gt;""),IF('Defaults and Lookup Lists'!$D$2="Shotgun","A",""),"")</f>
        <v/>
      </c>
      <c r="Q40" s="220" t="str">
        <f>IF(OR(MergeNamesTable[[#This Row],[Team Name]]&lt;&gt;"",MergeNamesTable[[#This Row],[Player 1 First Last]]&lt;&gt;""),IF('Defaults and Lookup Lists'!$B$6="","",'Defaults and Lookup Lists'!$B$6),"")</f>
        <v/>
      </c>
      <c r="R40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0" s="312" t="str">
        <f>IF(MergeNamesTable[[#This Row],[Entry Fee Team]]="","",MergeNamesTable[[#This Row],[Entry Fee Team]]-MergeNamesTable[[#This Row],[Entry Fee Paid]])</f>
        <v/>
      </c>
      <c r="T40" s="201"/>
      <c r="U40" s="201"/>
      <c r="V40" s="201"/>
      <c r="W40" s="201" t="str">
        <f>IF(OR(MergeNamesTable[[#This Row],[Team Name]]&lt;&gt;"",MergeNamesTable[[#This Row],[Player 1 First Last]]&lt;&gt;""),'Defaults and Lookup Lists'!$B$3,"")</f>
        <v/>
      </c>
      <c r="X40" s="67" t="str">
        <f>IF(MergeNamesTable[[#This Row],[Tee Markers]]="","",VLOOKUP(MergeNamesTable[[#This Row],[Tee Markers]],TeeMarkerTable,23,FALSE))</f>
        <v/>
      </c>
      <c r="Y40" s="59" t="str">
        <f>UPPER(MergeNamesTable[[#This Row],[Tournament]])</f>
        <v/>
      </c>
      <c r="Z40" s="6" t="str">
        <f>UPPER(MergeNamesTable[[#This Row],[Flight]])</f>
        <v/>
      </c>
      <c r="AA40" s="6" t="str">
        <f>UPPER(MergeNamesTable[[#This Row],[Tee Markers]])</f>
        <v/>
      </c>
      <c r="AB40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0" s="68" t="str">
        <f>IF(MergeNamesTable[[#This Row],[Start Time Day 2]]="","",TEXT(MergeNamesTable[[#This Row],[Start Time Day 2]],"HH:MM AM/PM"))</f>
        <v/>
      </c>
      <c r="AD40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0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0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0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0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0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0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0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0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0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0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0" s="72" t="str">
        <f>TEXT(MergeNamesTable[[#This Row],[Player 1 Handicap]],"##;+##;")</f>
        <v/>
      </c>
      <c r="AP40" s="7" t="str">
        <f>TEXT(MergeNamesTable[[#This Row],[Player 2 Handicap]],"##;+##;")</f>
        <v/>
      </c>
      <c r="AQ40" s="7" t="str">
        <f>TEXT(MergeNamesTable[[#This Row],[Player 3 Handicap]],"##;+##;")</f>
        <v/>
      </c>
      <c r="AR40" s="67" t="str">
        <f>TEXT(MergeNamesTable[[#This Row],[Player 4 Handicap]],"##;+##;")</f>
        <v/>
      </c>
      <c r="AS40" s="131" t="str">
        <f>TEXT(MergeNamesTable[[#This Row],[Player 5 Handicap]],"##;+##;")</f>
        <v/>
      </c>
      <c r="AT40" s="59" t="str">
        <f>UPPER(MergeNamesTable[[#This Row],[Player 1 First Last]])</f>
        <v/>
      </c>
      <c r="AU40" s="6" t="str">
        <f>UPPER(MergeNamesTable[[#This Row],[Player 2 First Last]])</f>
        <v/>
      </c>
      <c r="AV40" s="6" t="str">
        <f>UPPER(MergeNamesTable[[#This Row],[Player 3 First Last]])</f>
        <v/>
      </c>
      <c r="AW40" s="6" t="str">
        <f>UPPER(MergeNamesTable[[#This Row],[Player 4 First Last]])</f>
        <v/>
      </c>
      <c r="AX40" s="344" t="str">
        <f>UPPER(MergeNamesTable[[#This Row],[Player 5 First Last]])</f>
        <v/>
      </c>
      <c r="AY40" s="59" t="str">
        <f>UPPER(MergeNamesTable[[#This Row],[Player 1 First]])</f>
        <v/>
      </c>
      <c r="AZ40" s="6" t="str">
        <f>UPPER(MergeNamesTable[[#This Row],[Player 2 First]])</f>
        <v/>
      </c>
      <c r="BA40" s="6" t="str">
        <f>UPPER(MergeNamesTable[[#This Row],[Player 3 First]])</f>
        <v/>
      </c>
      <c r="BB40" s="6" t="str">
        <f>UPPER(MergeNamesTable[[#This Row],[Player 4 First]])</f>
        <v/>
      </c>
      <c r="BC40" s="344" t="str">
        <f>UPPER(MergeNamesTable[[#This Row],[Player 5 First]])</f>
        <v/>
      </c>
      <c r="BD40" s="59" t="str">
        <f>UPPER(MergeNamesTable[[#This Row],[Player 1 Last]])</f>
        <v/>
      </c>
      <c r="BE40" s="6" t="str">
        <f>UPPER(MergeNamesTable[[#This Row],[Player 2 Last]])</f>
        <v/>
      </c>
      <c r="BF40" s="6" t="str">
        <f>UPPER(MergeNamesTable[[#This Row],[Player 3 Last]])</f>
        <v/>
      </c>
      <c r="BG40" s="6" t="str">
        <f>UPPER(MergeNamesTable[[#This Row],[Player 4 Last]])</f>
        <v/>
      </c>
      <c r="BH40" s="344" t="str">
        <f>UPPER(MergeNamesTable[[#This Row],[Player 5 Last]])</f>
        <v/>
      </c>
      <c r="BI40" s="59" t="str">
        <f>UPPER(MergeNamesTable[[#This Row],[Player 1 Club]])</f>
        <v/>
      </c>
      <c r="BJ40" s="6" t="str">
        <f>UPPER(MergeNamesTable[[#This Row],[Player 2 Club]])</f>
        <v/>
      </c>
      <c r="BK40" s="6" t="str">
        <f>UPPER(MergeNamesTable[[#This Row],[Player 3 Club]])</f>
        <v/>
      </c>
      <c r="BL40" s="6" t="str">
        <f>UPPER(MergeNamesTable[[#This Row],[Player 4 Club]])</f>
        <v/>
      </c>
      <c r="BM40" s="344" t="str">
        <f>UPPER(MergeNamesTable[[#This Row],[Player 5 Club]])</f>
        <v/>
      </c>
      <c r="BN40" s="212"/>
      <c r="BO40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0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0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0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0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0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0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0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0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0" s="70" t="str">
        <f>IF(MergeNamesTable[[#This Row],[Player 1 Tees]]="","",VLOOKUP(MergeNamesTable[[#This Row],[Player 1 Tees]],TeeMarkerTable,23,FALSE))</f>
        <v/>
      </c>
      <c r="BY40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0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0" s="218"/>
      <c r="CB40" s="219"/>
      <c r="CC40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0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0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0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0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0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0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0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0" s="214" t="str">
        <f>IF(MergeNamesTable[[#This Row],[Player 2 Male]]="Female",'Defaults and Lookup Lists'!$B$4,IF(MergeNamesTable[[#This Row],[Tee Markers]]="","",MergeNamesTable[[#This Row],[Tee Markers]]))</f>
        <v/>
      </c>
      <c r="CL40" s="7" t="str">
        <f>IF(MergeNamesTable[[#This Row],[Player 2 Tees]]="","",VLOOKUP(MergeNamesTable[[#This Row],[Player 2 Tees]],TeeMarkerTable,23,FALSE))</f>
        <v/>
      </c>
      <c r="CM40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0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0" s="218"/>
      <c r="CP40" s="219"/>
      <c r="CQ40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0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0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0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0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0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0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0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0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0" s="7" t="str">
        <f>IF(MergeNamesTable[[#This Row],[Player 3 Tees]]="","",VLOOKUP(MergeNamesTable[[#This Row],[Player 3 Tees]],TeeMarkerTable,23,FALSE))</f>
        <v/>
      </c>
      <c r="DA40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0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0" s="218"/>
      <c r="DD40" s="212"/>
      <c r="DE40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0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0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0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0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0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0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0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0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0" s="7" t="str">
        <f>IF(MergeNamesTable[[#This Row],[Player 4 Tees]]="","",VLOOKUP(MergeNamesTable[[#This Row],[Player 4 Tees]],TeeMarkerTable,23,FALSE))</f>
        <v/>
      </c>
      <c r="DO40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0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0" s="225"/>
      <c r="DR40" s="226"/>
      <c r="DS40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0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0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0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0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0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0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0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0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0" s="161" t="str">
        <f>IF(MergeNamesTable[[#This Row],[Player 5 Tees]]="","",VLOOKUP(MergeNamesTable[[#This Row],[Player 5 Tees]],TeeMarkerTable,23,FALSE))</f>
        <v/>
      </c>
      <c r="EC40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0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0" s="230"/>
      <c r="EF40" s="73"/>
      <c r="EG40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0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0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0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0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0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0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0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0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0" s="107"/>
      <c r="EQ40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0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0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0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0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0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0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0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0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0" s="77"/>
      <c r="FA40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0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0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0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0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0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0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0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0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0" s="110"/>
      <c r="FK40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0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0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0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0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0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0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0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0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0" s="77"/>
      <c r="FU40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0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0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0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0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0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0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0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0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0" s="107"/>
      <c r="GE40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0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0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0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0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0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0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0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0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0" s="77"/>
      <c r="GO40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0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0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0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0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0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0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0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0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0" s="79"/>
      <c r="GY40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0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0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0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0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0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0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0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0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0" s="78"/>
      <c r="HI40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0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0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0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0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0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0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0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0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0" s="78"/>
      <c r="HS40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0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0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0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0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0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0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0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0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0" s="78"/>
    </row>
    <row r="41" spans="1:236" ht="21" customHeight="1">
      <c r="A41" s="365">
        <v>40</v>
      </c>
      <c r="B41" s="362" t="str">
        <f>MergeNamesTable[[#This Row],[Team Name Concat]]</f>
        <v/>
      </c>
      <c r="C41" s="59" t="str">
        <f>UPPER(MergeNamesTable[[#This Row],[Team Name]])</f>
        <v/>
      </c>
      <c r="D41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1" s="60" t="str">
        <f>UPPER(MergeNamesTable[[#This Row],[Team Name Concat]])</f>
        <v/>
      </c>
      <c r="F41" s="61">
        <f>MergeNamesTable[[#This Row],[Player 1 Handicap]]+MergeNamesTable[[#This Row],[Player 2 Handicap]]+MergeNamesTable[[#This Row],[Player 3 Handicap]]+MergeNamesTable[[#This Row],[Player 4 Handicap]]</f>
        <v>0</v>
      </c>
      <c r="G41" s="62">
        <f>IF(ISERROR(MergeNamesTable[[#This Row],[Handicap Team Total]]/4),0,ROUND(MergeNamesTable[[#This Row],[Handicap Team Total]]/4,0))</f>
        <v>0</v>
      </c>
      <c r="H41" s="62">
        <f>ROUND(((MergeNamesTable[[#This Row],[Player 1 Handicap]]+MergeNamesTable[[#This Row],[Player 2 Handicap]])*0.25)*0.335,0)</f>
        <v>0</v>
      </c>
      <c r="I41" s="62">
        <f>ROUND(((MergeNamesTable[[#This Row],[Player 1 Handicap]]+MergeNamesTable[[#This Row],[Player 2 Handicap]])*0.5)*0.335,0)</f>
        <v>0</v>
      </c>
      <c r="J41" s="63"/>
      <c r="K41" s="64" t="str">
        <f>IF(OR(MergeNamesTable[[#This Row],[Team Name]]&lt;&gt;"",MergeNamesTable[[#This Row],[Player 1 First Last]]&lt;&gt;""),'Defaults and Lookup Lists'!$B$2,"")</f>
        <v/>
      </c>
      <c r="L41" s="201"/>
      <c r="M41" s="65" t="str">
        <f>IF(OR(MergeNamesTable[[#This Row],[Team Name]]&lt;&gt;"",MergeNamesTable[[#This Row],[Player 1 First Last]]&lt;&gt;""),TEXT('Defaults and Lookup Lists'!$B$7,"ddd, mmm d, yyyy"),"")</f>
        <v/>
      </c>
      <c r="N41" s="311" t="str">
        <f>IF(OR(MergeNamesTable[[#This Row],[Team Name]]&lt;&gt;"",MergeNamesTable[[#This Row],[Player 1 First Last]]&lt;&gt;""),IF('Defaults and Lookup Lists'!$D$3="","",'Defaults and Lookup Lists'!$D$3),"")</f>
        <v/>
      </c>
      <c r="O41" s="247" t="str">
        <f>IF(OR(MergeNamesTable[[#This Row],[Team Name]]&lt;&gt;"",MergeNamesTable[[#This Row],[Player 1 First Last]]&lt;&gt;""),IF('Defaults and Lookup Lists'!$D$4="","",'Defaults and Lookup Lists'!$D$4),"")</f>
        <v/>
      </c>
      <c r="P41" s="247" t="str">
        <f>IF(OR(MergeNamesTable[[#This Row],[Team Name]]&lt;&gt;"",MergeNamesTable[[#This Row],[Player 1 First Last]]&lt;&gt;""),IF('Defaults and Lookup Lists'!$D$2="Shotgun","A",""),"")</f>
        <v/>
      </c>
      <c r="Q41" s="220" t="str">
        <f>IF(OR(MergeNamesTable[[#This Row],[Team Name]]&lt;&gt;"",MergeNamesTable[[#This Row],[Player 1 First Last]]&lt;&gt;""),IF('Defaults and Lookup Lists'!$B$6="","",'Defaults and Lookup Lists'!$B$6),"")</f>
        <v/>
      </c>
      <c r="R41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1" s="312" t="str">
        <f>IF(MergeNamesTable[[#This Row],[Entry Fee Team]]="","",MergeNamesTable[[#This Row],[Entry Fee Team]]-MergeNamesTable[[#This Row],[Entry Fee Paid]])</f>
        <v/>
      </c>
      <c r="T41" s="201"/>
      <c r="U41" s="201"/>
      <c r="V41" s="201"/>
      <c r="W41" s="201" t="str">
        <f>IF(OR(MergeNamesTable[[#This Row],[Team Name]]&lt;&gt;"",MergeNamesTable[[#This Row],[Player 1 First Last]]&lt;&gt;""),'Defaults and Lookup Lists'!$B$3,"")</f>
        <v/>
      </c>
      <c r="X41" s="67" t="str">
        <f>IF(MergeNamesTable[[#This Row],[Tee Markers]]="","",VLOOKUP(MergeNamesTable[[#This Row],[Tee Markers]],TeeMarkerTable,23,FALSE))</f>
        <v/>
      </c>
      <c r="Y41" s="59" t="str">
        <f>UPPER(MergeNamesTable[[#This Row],[Tournament]])</f>
        <v/>
      </c>
      <c r="Z41" s="6" t="str">
        <f>UPPER(MergeNamesTable[[#This Row],[Flight]])</f>
        <v/>
      </c>
      <c r="AA41" s="6" t="str">
        <f>UPPER(MergeNamesTable[[#This Row],[Tee Markers]])</f>
        <v/>
      </c>
      <c r="AB41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1" s="68" t="str">
        <f>IF(MergeNamesTable[[#This Row],[Start Time Day 2]]="","",TEXT(MergeNamesTable[[#This Row],[Start Time Day 2]],"HH:MM AM/PM"))</f>
        <v/>
      </c>
      <c r="AD41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1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1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1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1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1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1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1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1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1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1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1" s="72" t="str">
        <f>TEXT(MergeNamesTable[[#This Row],[Player 1 Handicap]],"##;+##;")</f>
        <v/>
      </c>
      <c r="AP41" s="7" t="str">
        <f>TEXT(MergeNamesTable[[#This Row],[Player 2 Handicap]],"##;+##;")</f>
        <v/>
      </c>
      <c r="AQ41" s="7" t="str">
        <f>TEXT(MergeNamesTable[[#This Row],[Player 3 Handicap]],"##;+##;")</f>
        <v/>
      </c>
      <c r="AR41" s="67" t="str">
        <f>TEXT(MergeNamesTable[[#This Row],[Player 4 Handicap]],"##;+##;")</f>
        <v/>
      </c>
      <c r="AS41" s="131" t="str">
        <f>TEXT(MergeNamesTable[[#This Row],[Player 5 Handicap]],"##;+##;")</f>
        <v/>
      </c>
      <c r="AT41" s="59" t="str">
        <f>UPPER(MergeNamesTable[[#This Row],[Player 1 First Last]])</f>
        <v/>
      </c>
      <c r="AU41" s="6" t="str">
        <f>UPPER(MergeNamesTable[[#This Row],[Player 2 First Last]])</f>
        <v/>
      </c>
      <c r="AV41" s="6" t="str">
        <f>UPPER(MergeNamesTable[[#This Row],[Player 3 First Last]])</f>
        <v/>
      </c>
      <c r="AW41" s="6" t="str">
        <f>UPPER(MergeNamesTable[[#This Row],[Player 4 First Last]])</f>
        <v/>
      </c>
      <c r="AX41" s="344" t="str">
        <f>UPPER(MergeNamesTable[[#This Row],[Player 5 First Last]])</f>
        <v/>
      </c>
      <c r="AY41" s="59" t="str">
        <f>UPPER(MergeNamesTable[[#This Row],[Player 1 First]])</f>
        <v/>
      </c>
      <c r="AZ41" s="6" t="str">
        <f>UPPER(MergeNamesTable[[#This Row],[Player 2 First]])</f>
        <v/>
      </c>
      <c r="BA41" s="6" t="str">
        <f>UPPER(MergeNamesTable[[#This Row],[Player 3 First]])</f>
        <v/>
      </c>
      <c r="BB41" s="6" t="str">
        <f>UPPER(MergeNamesTable[[#This Row],[Player 4 First]])</f>
        <v/>
      </c>
      <c r="BC41" s="344" t="str">
        <f>UPPER(MergeNamesTable[[#This Row],[Player 5 First]])</f>
        <v/>
      </c>
      <c r="BD41" s="59" t="str">
        <f>UPPER(MergeNamesTable[[#This Row],[Player 1 Last]])</f>
        <v/>
      </c>
      <c r="BE41" s="6" t="str">
        <f>UPPER(MergeNamesTable[[#This Row],[Player 2 Last]])</f>
        <v/>
      </c>
      <c r="BF41" s="6" t="str">
        <f>UPPER(MergeNamesTable[[#This Row],[Player 3 Last]])</f>
        <v/>
      </c>
      <c r="BG41" s="6" t="str">
        <f>UPPER(MergeNamesTable[[#This Row],[Player 4 Last]])</f>
        <v/>
      </c>
      <c r="BH41" s="344" t="str">
        <f>UPPER(MergeNamesTable[[#This Row],[Player 5 Last]])</f>
        <v/>
      </c>
      <c r="BI41" s="59" t="str">
        <f>UPPER(MergeNamesTable[[#This Row],[Player 1 Club]])</f>
        <v/>
      </c>
      <c r="BJ41" s="6" t="str">
        <f>UPPER(MergeNamesTable[[#This Row],[Player 2 Club]])</f>
        <v/>
      </c>
      <c r="BK41" s="6" t="str">
        <f>UPPER(MergeNamesTable[[#This Row],[Player 3 Club]])</f>
        <v/>
      </c>
      <c r="BL41" s="6" t="str">
        <f>UPPER(MergeNamesTable[[#This Row],[Player 4 Club]])</f>
        <v/>
      </c>
      <c r="BM41" s="344" t="str">
        <f>UPPER(MergeNamesTable[[#This Row],[Player 5 Club]])</f>
        <v/>
      </c>
      <c r="BN41" s="212"/>
      <c r="BO41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1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1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1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1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1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1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1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1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1" s="70" t="str">
        <f>IF(MergeNamesTable[[#This Row],[Player 1 Tees]]="","",VLOOKUP(MergeNamesTable[[#This Row],[Player 1 Tees]],TeeMarkerTable,23,FALSE))</f>
        <v/>
      </c>
      <c r="BY41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1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1" s="218"/>
      <c r="CB41" s="219"/>
      <c r="CC41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1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1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1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1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1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1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1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1" s="214" t="str">
        <f>IF(MergeNamesTable[[#This Row],[Player 2 Male]]="Female",'Defaults and Lookup Lists'!$B$4,IF(MergeNamesTable[[#This Row],[Tee Markers]]="","",MergeNamesTable[[#This Row],[Tee Markers]]))</f>
        <v/>
      </c>
      <c r="CL41" s="7" t="str">
        <f>IF(MergeNamesTable[[#This Row],[Player 2 Tees]]="","",VLOOKUP(MergeNamesTable[[#This Row],[Player 2 Tees]],TeeMarkerTable,23,FALSE))</f>
        <v/>
      </c>
      <c r="CM41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1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1" s="218"/>
      <c r="CP41" s="219"/>
      <c r="CQ41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1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1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1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1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1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1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1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1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1" s="7" t="str">
        <f>IF(MergeNamesTable[[#This Row],[Player 3 Tees]]="","",VLOOKUP(MergeNamesTable[[#This Row],[Player 3 Tees]],TeeMarkerTable,23,FALSE))</f>
        <v/>
      </c>
      <c r="DA41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1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1" s="218"/>
      <c r="DD41" s="212"/>
      <c r="DE41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1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1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1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1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1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1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1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1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1" s="7" t="str">
        <f>IF(MergeNamesTable[[#This Row],[Player 4 Tees]]="","",VLOOKUP(MergeNamesTable[[#This Row],[Player 4 Tees]],TeeMarkerTable,23,FALSE))</f>
        <v/>
      </c>
      <c r="DO41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1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1" s="225"/>
      <c r="DR41" s="226"/>
      <c r="DS41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1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1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1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1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1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1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1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1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1" s="161" t="str">
        <f>IF(MergeNamesTable[[#This Row],[Player 5 Tees]]="","",VLOOKUP(MergeNamesTable[[#This Row],[Player 5 Tees]],TeeMarkerTable,23,FALSE))</f>
        <v/>
      </c>
      <c r="EC41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1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1" s="230"/>
      <c r="EF41" s="73"/>
      <c r="EG41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1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1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1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1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1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1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1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1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1" s="107"/>
      <c r="EQ41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1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1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1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1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1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1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1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1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1" s="77"/>
      <c r="FA41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1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1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1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1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1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1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1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1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1" s="110"/>
      <c r="FK41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1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1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1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1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1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1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1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1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1" s="77"/>
      <c r="FU41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1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1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1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1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1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1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1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1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1" s="107"/>
      <c r="GE41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1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1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1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1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1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1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1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1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1" s="77"/>
      <c r="GO41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1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1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1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1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1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1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1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1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1" s="79"/>
      <c r="GY41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1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1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1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1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1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1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1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1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1" s="78"/>
      <c r="HI41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1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1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1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1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1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1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1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1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1" s="78"/>
      <c r="HS41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1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1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1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1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1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1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1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1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1" s="78"/>
    </row>
    <row r="42" spans="1:236" ht="21" customHeight="1">
      <c r="A42" s="365">
        <v>41</v>
      </c>
      <c r="B42" s="362" t="str">
        <f>MergeNamesTable[[#This Row],[Team Name Concat]]</f>
        <v/>
      </c>
      <c r="C42" s="59" t="str">
        <f>UPPER(MergeNamesTable[[#This Row],[Team Name]])</f>
        <v/>
      </c>
      <c r="D42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2" s="60" t="str">
        <f>UPPER(MergeNamesTable[[#This Row],[Team Name Concat]])</f>
        <v/>
      </c>
      <c r="F42" s="61">
        <f>MergeNamesTable[[#This Row],[Player 1 Handicap]]+MergeNamesTable[[#This Row],[Player 2 Handicap]]+MergeNamesTable[[#This Row],[Player 3 Handicap]]+MergeNamesTable[[#This Row],[Player 4 Handicap]]</f>
        <v>0</v>
      </c>
      <c r="G42" s="62">
        <f>IF(ISERROR(MergeNamesTable[[#This Row],[Handicap Team Total]]/4),0,ROUND(MergeNamesTable[[#This Row],[Handicap Team Total]]/4,0))</f>
        <v>0</v>
      </c>
      <c r="H42" s="62">
        <f>ROUND(((MergeNamesTable[[#This Row],[Player 1 Handicap]]+MergeNamesTable[[#This Row],[Player 2 Handicap]])*0.25)*0.335,0)</f>
        <v>0</v>
      </c>
      <c r="I42" s="62">
        <f>ROUND(((MergeNamesTable[[#This Row],[Player 1 Handicap]]+MergeNamesTable[[#This Row],[Player 2 Handicap]])*0.5)*0.335,0)</f>
        <v>0</v>
      </c>
      <c r="J42" s="63"/>
      <c r="K42" s="64" t="str">
        <f>IF(OR(MergeNamesTable[[#This Row],[Team Name]]&lt;&gt;"",MergeNamesTable[[#This Row],[Player 1 First Last]]&lt;&gt;""),'Defaults and Lookup Lists'!$B$2,"")</f>
        <v/>
      </c>
      <c r="L42" s="201"/>
      <c r="M42" s="65" t="str">
        <f>IF(OR(MergeNamesTable[[#This Row],[Team Name]]&lt;&gt;"",MergeNamesTable[[#This Row],[Player 1 First Last]]&lt;&gt;""),TEXT('Defaults and Lookup Lists'!$B$7,"ddd, mmm d, yyyy"),"")</f>
        <v/>
      </c>
      <c r="N42" s="311" t="str">
        <f>IF(OR(MergeNamesTable[[#This Row],[Team Name]]&lt;&gt;"",MergeNamesTable[[#This Row],[Player 1 First Last]]&lt;&gt;""),IF('Defaults and Lookup Lists'!$D$3="","",'Defaults and Lookup Lists'!$D$3),"")</f>
        <v/>
      </c>
      <c r="O42" s="247" t="str">
        <f>IF(OR(MergeNamesTable[[#This Row],[Team Name]]&lt;&gt;"",MergeNamesTable[[#This Row],[Player 1 First Last]]&lt;&gt;""),IF('Defaults and Lookup Lists'!$D$4="","",'Defaults and Lookup Lists'!$D$4),"")</f>
        <v/>
      </c>
      <c r="P42" s="247" t="str">
        <f>IF(OR(MergeNamesTable[[#This Row],[Team Name]]&lt;&gt;"",MergeNamesTable[[#This Row],[Player 1 First Last]]&lt;&gt;""),IF('Defaults and Lookup Lists'!$D$2="Shotgun","A",""),"")</f>
        <v/>
      </c>
      <c r="Q42" s="220" t="str">
        <f>IF(OR(MergeNamesTable[[#This Row],[Team Name]]&lt;&gt;"",MergeNamesTable[[#This Row],[Player 1 First Last]]&lt;&gt;""),IF('Defaults and Lookup Lists'!$B$6="","",'Defaults and Lookup Lists'!$B$6),"")</f>
        <v/>
      </c>
      <c r="R42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2" s="312" t="str">
        <f>IF(MergeNamesTable[[#This Row],[Entry Fee Team]]="","",MergeNamesTable[[#This Row],[Entry Fee Team]]-MergeNamesTable[[#This Row],[Entry Fee Paid]])</f>
        <v/>
      </c>
      <c r="T42" s="201"/>
      <c r="U42" s="201"/>
      <c r="V42" s="201"/>
      <c r="W42" s="201" t="str">
        <f>IF(OR(MergeNamesTable[[#This Row],[Team Name]]&lt;&gt;"",MergeNamesTable[[#This Row],[Player 1 First Last]]&lt;&gt;""),'Defaults and Lookup Lists'!$B$3,"")</f>
        <v/>
      </c>
      <c r="X42" s="67" t="str">
        <f>IF(MergeNamesTable[[#This Row],[Tee Markers]]="","",VLOOKUP(MergeNamesTable[[#This Row],[Tee Markers]],TeeMarkerTable,23,FALSE))</f>
        <v/>
      </c>
      <c r="Y42" s="59" t="str">
        <f>UPPER(MergeNamesTable[[#This Row],[Tournament]])</f>
        <v/>
      </c>
      <c r="Z42" s="6" t="str">
        <f>UPPER(MergeNamesTable[[#This Row],[Flight]])</f>
        <v/>
      </c>
      <c r="AA42" s="6" t="str">
        <f>UPPER(MergeNamesTable[[#This Row],[Tee Markers]])</f>
        <v/>
      </c>
      <c r="AB42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2" s="68" t="str">
        <f>IF(MergeNamesTable[[#This Row],[Start Time Day 2]]="","",TEXT(MergeNamesTable[[#This Row],[Start Time Day 2]],"HH:MM AM/PM"))</f>
        <v/>
      </c>
      <c r="AD42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2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2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2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2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2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2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2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2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2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2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2" s="72" t="str">
        <f>TEXT(MergeNamesTable[[#This Row],[Player 1 Handicap]],"##;+##;")</f>
        <v/>
      </c>
      <c r="AP42" s="7" t="str">
        <f>TEXT(MergeNamesTable[[#This Row],[Player 2 Handicap]],"##;+##;")</f>
        <v/>
      </c>
      <c r="AQ42" s="7" t="str">
        <f>TEXT(MergeNamesTable[[#This Row],[Player 3 Handicap]],"##;+##;")</f>
        <v/>
      </c>
      <c r="AR42" s="67" t="str">
        <f>TEXT(MergeNamesTable[[#This Row],[Player 4 Handicap]],"##;+##;")</f>
        <v/>
      </c>
      <c r="AS42" s="131" t="str">
        <f>TEXT(MergeNamesTable[[#This Row],[Player 5 Handicap]],"##;+##;")</f>
        <v/>
      </c>
      <c r="AT42" s="59" t="str">
        <f>UPPER(MergeNamesTable[[#This Row],[Player 1 First Last]])</f>
        <v/>
      </c>
      <c r="AU42" s="6" t="str">
        <f>UPPER(MergeNamesTable[[#This Row],[Player 2 First Last]])</f>
        <v/>
      </c>
      <c r="AV42" s="6" t="str">
        <f>UPPER(MergeNamesTable[[#This Row],[Player 3 First Last]])</f>
        <v/>
      </c>
      <c r="AW42" s="6" t="str">
        <f>UPPER(MergeNamesTable[[#This Row],[Player 4 First Last]])</f>
        <v/>
      </c>
      <c r="AX42" s="344" t="str">
        <f>UPPER(MergeNamesTable[[#This Row],[Player 5 First Last]])</f>
        <v/>
      </c>
      <c r="AY42" s="59" t="str">
        <f>UPPER(MergeNamesTable[[#This Row],[Player 1 First]])</f>
        <v/>
      </c>
      <c r="AZ42" s="6" t="str">
        <f>UPPER(MergeNamesTable[[#This Row],[Player 2 First]])</f>
        <v/>
      </c>
      <c r="BA42" s="6" t="str">
        <f>UPPER(MergeNamesTable[[#This Row],[Player 3 First]])</f>
        <v/>
      </c>
      <c r="BB42" s="6" t="str">
        <f>UPPER(MergeNamesTable[[#This Row],[Player 4 First]])</f>
        <v/>
      </c>
      <c r="BC42" s="344" t="str">
        <f>UPPER(MergeNamesTable[[#This Row],[Player 5 First]])</f>
        <v/>
      </c>
      <c r="BD42" s="59" t="str">
        <f>UPPER(MergeNamesTable[[#This Row],[Player 1 Last]])</f>
        <v/>
      </c>
      <c r="BE42" s="6" t="str">
        <f>UPPER(MergeNamesTable[[#This Row],[Player 2 Last]])</f>
        <v/>
      </c>
      <c r="BF42" s="6" t="str">
        <f>UPPER(MergeNamesTable[[#This Row],[Player 3 Last]])</f>
        <v/>
      </c>
      <c r="BG42" s="6" t="str">
        <f>UPPER(MergeNamesTable[[#This Row],[Player 4 Last]])</f>
        <v/>
      </c>
      <c r="BH42" s="344" t="str">
        <f>UPPER(MergeNamesTable[[#This Row],[Player 5 Last]])</f>
        <v/>
      </c>
      <c r="BI42" s="59" t="str">
        <f>UPPER(MergeNamesTable[[#This Row],[Player 1 Club]])</f>
        <v/>
      </c>
      <c r="BJ42" s="6" t="str">
        <f>UPPER(MergeNamesTable[[#This Row],[Player 2 Club]])</f>
        <v/>
      </c>
      <c r="BK42" s="6" t="str">
        <f>UPPER(MergeNamesTable[[#This Row],[Player 3 Club]])</f>
        <v/>
      </c>
      <c r="BL42" s="6" t="str">
        <f>UPPER(MergeNamesTable[[#This Row],[Player 4 Club]])</f>
        <v/>
      </c>
      <c r="BM42" s="344" t="str">
        <f>UPPER(MergeNamesTable[[#This Row],[Player 5 Club]])</f>
        <v/>
      </c>
      <c r="BN42" s="212"/>
      <c r="BO42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2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2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2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2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2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2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2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2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2" s="70" t="str">
        <f>IF(MergeNamesTable[[#This Row],[Player 1 Tees]]="","",VLOOKUP(MergeNamesTable[[#This Row],[Player 1 Tees]],TeeMarkerTable,23,FALSE))</f>
        <v/>
      </c>
      <c r="BY42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2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2" s="218"/>
      <c r="CB42" s="219"/>
      <c r="CC42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2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2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2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2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2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2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2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2" s="214" t="str">
        <f>IF(MergeNamesTable[[#This Row],[Player 2 Male]]="Female",'Defaults and Lookup Lists'!$B$4,IF(MergeNamesTable[[#This Row],[Tee Markers]]="","",MergeNamesTable[[#This Row],[Tee Markers]]))</f>
        <v/>
      </c>
      <c r="CL42" s="7" t="str">
        <f>IF(MergeNamesTable[[#This Row],[Player 2 Tees]]="","",VLOOKUP(MergeNamesTable[[#This Row],[Player 2 Tees]],TeeMarkerTable,23,FALSE))</f>
        <v/>
      </c>
      <c r="CM42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2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2" s="218"/>
      <c r="CP42" s="219"/>
      <c r="CQ42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2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2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2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2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2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2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2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2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2" s="7" t="str">
        <f>IF(MergeNamesTable[[#This Row],[Player 3 Tees]]="","",VLOOKUP(MergeNamesTable[[#This Row],[Player 3 Tees]],TeeMarkerTable,23,FALSE))</f>
        <v/>
      </c>
      <c r="DA42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2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2" s="218"/>
      <c r="DD42" s="212"/>
      <c r="DE42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2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2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2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2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2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2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2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2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2" s="7" t="str">
        <f>IF(MergeNamesTable[[#This Row],[Player 4 Tees]]="","",VLOOKUP(MergeNamesTable[[#This Row],[Player 4 Tees]],TeeMarkerTable,23,FALSE))</f>
        <v/>
      </c>
      <c r="DO42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2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2" s="225"/>
      <c r="DR42" s="226"/>
      <c r="DS42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2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2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2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2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2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2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2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2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2" s="161" t="str">
        <f>IF(MergeNamesTable[[#This Row],[Player 5 Tees]]="","",VLOOKUP(MergeNamesTable[[#This Row],[Player 5 Tees]],TeeMarkerTable,23,FALSE))</f>
        <v/>
      </c>
      <c r="EC42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2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2" s="230"/>
      <c r="EF42" s="73"/>
      <c r="EG42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2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2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2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2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2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2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2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2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2" s="107"/>
      <c r="EQ42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2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2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2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2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2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2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2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2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2" s="77"/>
      <c r="FA42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2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2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2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2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2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2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2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2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2" s="110"/>
      <c r="FK42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2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2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2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2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2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2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2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2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2" s="77"/>
      <c r="FU42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2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2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2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2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2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2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2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2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2" s="107"/>
      <c r="GE42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2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2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2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2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2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2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2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2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2" s="77"/>
      <c r="GO42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2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2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2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2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2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2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2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2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2" s="79"/>
      <c r="GY42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2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2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2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2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2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2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2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2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2" s="78"/>
      <c r="HI42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2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2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2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2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2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2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2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2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2" s="78"/>
      <c r="HS42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2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2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2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2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2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2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2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2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2" s="78"/>
    </row>
    <row r="43" spans="1:236" ht="21" customHeight="1">
      <c r="A43" s="365">
        <v>42</v>
      </c>
      <c r="B43" s="362" t="str">
        <f>MergeNamesTable[[#This Row],[Team Name Concat]]</f>
        <v/>
      </c>
      <c r="C43" s="59" t="str">
        <f>UPPER(MergeNamesTable[[#This Row],[Team Name]])</f>
        <v/>
      </c>
      <c r="D43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3" s="60" t="str">
        <f>UPPER(MergeNamesTable[[#This Row],[Team Name Concat]])</f>
        <v/>
      </c>
      <c r="F43" s="61">
        <f>MergeNamesTable[[#This Row],[Player 1 Handicap]]+MergeNamesTable[[#This Row],[Player 2 Handicap]]+MergeNamesTable[[#This Row],[Player 3 Handicap]]+MergeNamesTable[[#This Row],[Player 4 Handicap]]</f>
        <v>0</v>
      </c>
      <c r="G43" s="62">
        <f>IF(ISERROR(MergeNamesTable[[#This Row],[Handicap Team Total]]/4),0,ROUND(MergeNamesTable[[#This Row],[Handicap Team Total]]/4,0))</f>
        <v>0</v>
      </c>
      <c r="H43" s="62">
        <f>ROUND(((MergeNamesTable[[#This Row],[Player 1 Handicap]]+MergeNamesTable[[#This Row],[Player 2 Handicap]])*0.25)*0.335,0)</f>
        <v>0</v>
      </c>
      <c r="I43" s="62">
        <f>ROUND(((MergeNamesTable[[#This Row],[Player 1 Handicap]]+MergeNamesTable[[#This Row],[Player 2 Handicap]])*0.5)*0.335,0)</f>
        <v>0</v>
      </c>
      <c r="J43" s="63"/>
      <c r="K43" s="64" t="str">
        <f>IF(OR(MergeNamesTable[[#This Row],[Team Name]]&lt;&gt;"",MergeNamesTable[[#This Row],[Player 1 First Last]]&lt;&gt;""),'Defaults and Lookup Lists'!$B$2,"")</f>
        <v/>
      </c>
      <c r="L43" s="201"/>
      <c r="M43" s="65" t="str">
        <f>IF(OR(MergeNamesTable[[#This Row],[Team Name]]&lt;&gt;"",MergeNamesTable[[#This Row],[Player 1 First Last]]&lt;&gt;""),TEXT('Defaults and Lookup Lists'!$B$7,"ddd, mmm d, yyyy"),"")</f>
        <v/>
      </c>
      <c r="N43" s="311" t="str">
        <f>IF(OR(MergeNamesTable[[#This Row],[Team Name]]&lt;&gt;"",MergeNamesTable[[#This Row],[Player 1 First Last]]&lt;&gt;""),IF('Defaults and Lookup Lists'!$D$3="","",'Defaults and Lookup Lists'!$D$3),"")</f>
        <v/>
      </c>
      <c r="O43" s="247" t="str">
        <f>IF(OR(MergeNamesTable[[#This Row],[Team Name]]&lt;&gt;"",MergeNamesTable[[#This Row],[Player 1 First Last]]&lt;&gt;""),IF('Defaults and Lookup Lists'!$D$4="","",'Defaults and Lookup Lists'!$D$4),"")</f>
        <v/>
      </c>
      <c r="P43" s="247" t="str">
        <f>IF(OR(MergeNamesTable[[#This Row],[Team Name]]&lt;&gt;"",MergeNamesTable[[#This Row],[Player 1 First Last]]&lt;&gt;""),IF('Defaults and Lookup Lists'!$D$2="Shotgun","A",""),"")</f>
        <v/>
      </c>
      <c r="Q43" s="220" t="str">
        <f>IF(OR(MergeNamesTable[[#This Row],[Team Name]]&lt;&gt;"",MergeNamesTable[[#This Row],[Player 1 First Last]]&lt;&gt;""),IF('Defaults and Lookup Lists'!$B$6="","",'Defaults and Lookup Lists'!$B$6),"")</f>
        <v/>
      </c>
      <c r="R43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3" s="312" t="str">
        <f>IF(MergeNamesTable[[#This Row],[Entry Fee Team]]="","",MergeNamesTable[[#This Row],[Entry Fee Team]]-MergeNamesTable[[#This Row],[Entry Fee Paid]])</f>
        <v/>
      </c>
      <c r="T43" s="201"/>
      <c r="U43" s="201"/>
      <c r="V43" s="201"/>
      <c r="W43" s="201" t="str">
        <f>IF(OR(MergeNamesTable[[#This Row],[Team Name]]&lt;&gt;"",MergeNamesTable[[#This Row],[Player 1 First Last]]&lt;&gt;""),'Defaults and Lookup Lists'!$B$3,"")</f>
        <v/>
      </c>
      <c r="X43" s="67" t="str">
        <f>IF(MergeNamesTable[[#This Row],[Tee Markers]]="","",VLOOKUP(MergeNamesTable[[#This Row],[Tee Markers]],TeeMarkerTable,23,FALSE))</f>
        <v/>
      </c>
      <c r="Y43" s="59" t="str">
        <f>UPPER(MergeNamesTable[[#This Row],[Tournament]])</f>
        <v/>
      </c>
      <c r="Z43" s="6" t="str">
        <f>UPPER(MergeNamesTable[[#This Row],[Flight]])</f>
        <v/>
      </c>
      <c r="AA43" s="6" t="str">
        <f>UPPER(MergeNamesTable[[#This Row],[Tee Markers]])</f>
        <v/>
      </c>
      <c r="AB43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3" s="68" t="str">
        <f>IF(MergeNamesTable[[#This Row],[Start Time Day 2]]="","",TEXT(MergeNamesTable[[#This Row],[Start Time Day 2]],"HH:MM AM/PM"))</f>
        <v/>
      </c>
      <c r="AD43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3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3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3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3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3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3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3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3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3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3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3" s="72" t="str">
        <f>TEXT(MergeNamesTable[[#This Row],[Player 1 Handicap]],"##;+##;")</f>
        <v/>
      </c>
      <c r="AP43" s="7" t="str">
        <f>TEXT(MergeNamesTable[[#This Row],[Player 2 Handicap]],"##;+##;")</f>
        <v/>
      </c>
      <c r="AQ43" s="7" t="str">
        <f>TEXT(MergeNamesTable[[#This Row],[Player 3 Handicap]],"##;+##;")</f>
        <v/>
      </c>
      <c r="AR43" s="67" t="str">
        <f>TEXT(MergeNamesTable[[#This Row],[Player 4 Handicap]],"##;+##;")</f>
        <v/>
      </c>
      <c r="AS43" s="131" t="str">
        <f>TEXT(MergeNamesTable[[#This Row],[Player 5 Handicap]],"##;+##;")</f>
        <v/>
      </c>
      <c r="AT43" s="59" t="str">
        <f>UPPER(MergeNamesTable[[#This Row],[Player 1 First Last]])</f>
        <v/>
      </c>
      <c r="AU43" s="6" t="str">
        <f>UPPER(MergeNamesTable[[#This Row],[Player 2 First Last]])</f>
        <v/>
      </c>
      <c r="AV43" s="6" t="str">
        <f>UPPER(MergeNamesTable[[#This Row],[Player 3 First Last]])</f>
        <v/>
      </c>
      <c r="AW43" s="6" t="str">
        <f>UPPER(MergeNamesTable[[#This Row],[Player 4 First Last]])</f>
        <v/>
      </c>
      <c r="AX43" s="344" t="str">
        <f>UPPER(MergeNamesTable[[#This Row],[Player 5 First Last]])</f>
        <v/>
      </c>
      <c r="AY43" s="59" t="str">
        <f>UPPER(MergeNamesTable[[#This Row],[Player 1 First]])</f>
        <v/>
      </c>
      <c r="AZ43" s="6" t="str">
        <f>UPPER(MergeNamesTable[[#This Row],[Player 2 First]])</f>
        <v/>
      </c>
      <c r="BA43" s="6" t="str">
        <f>UPPER(MergeNamesTable[[#This Row],[Player 3 First]])</f>
        <v/>
      </c>
      <c r="BB43" s="6" t="str">
        <f>UPPER(MergeNamesTable[[#This Row],[Player 4 First]])</f>
        <v/>
      </c>
      <c r="BC43" s="344" t="str">
        <f>UPPER(MergeNamesTable[[#This Row],[Player 5 First]])</f>
        <v/>
      </c>
      <c r="BD43" s="59" t="str">
        <f>UPPER(MergeNamesTable[[#This Row],[Player 1 Last]])</f>
        <v/>
      </c>
      <c r="BE43" s="6" t="str">
        <f>UPPER(MergeNamesTable[[#This Row],[Player 2 Last]])</f>
        <v/>
      </c>
      <c r="BF43" s="6" t="str">
        <f>UPPER(MergeNamesTable[[#This Row],[Player 3 Last]])</f>
        <v/>
      </c>
      <c r="BG43" s="6" t="str">
        <f>UPPER(MergeNamesTable[[#This Row],[Player 4 Last]])</f>
        <v/>
      </c>
      <c r="BH43" s="344" t="str">
        <f>UPPER(MergeNamesTable[[#This Row],[Player 5 Last]])</f>
        <v/>
      </c>
      <c r="BI43" s="59" t="str">
        <f>UPPER(MergeNamesTable[[#This Row],[Player 1 Club]])</f>
        <v/>
      </c>
      <c r="BJ43" s="6" t="str">
        <f>UPPER(MergeNamesTable[[#This Row],[Player 2 Club]])</f>
        <v/>
      </c>
      <c r="BK43" s="6" t="str">
        <f>UPPER(MergeNamesTable[[#This Row],[Player 3 Club]])</f>
        <v/>
      </c>
      <c r="BL43" s="6" t="str">
        <f>UPPER(MergeNamesTable[[#This Row],[Player 4 Club]])</f>
        <v/>
      </c>
      <c r="BM43" s="344" t="str">
        <f>UPPER(MergeNamesTable[[#This Row],[Player 5 Club]])</f>
        <v/>
      </c>
      <c r="BN43" s="212"/>
      <c r="BO43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3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3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3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3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3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3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3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3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3" s="70" t="str">
        <f>IF(MergeNamesTable[[#This Row],[Player 1 Tees]]="","",VLOOKUP(MergeNamesTable[[#This Row],[Player 1 Tees]],TeeMarkerTable,23,FALSE))</f>
        <v/>
      </c>
      <c r="BY43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3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3" s="218"/>
      <c r="CB43" s="219"/>
      <c r="CC43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3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3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3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3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3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3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3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3" s="214" t="str">
        <f>IF(MergeNamesTable[[#This Row],[Player 2 Male]]="Female",'Defaults and Lookup Lists'!$B$4,IF(MergeNamesTable[[#This Row],[Tee Markers]]="","",MergeNamesTable[[#This Row],[Tee Markers]]))</f>
        <v/>
      </c>
      <c r="CL43" s="7" t="str">
        <f>IF(MergeNamesTable[[#This Row],[Player 2 Tees]]="","",VLOOKUP(MergeNamesTable[[#This Row],[Player 2 Tees]],TeeMarkerTable,23,FALSE))</f>
        <v/>
      </c>
      <c r="CM43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3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3" s="218"/>
      <c r="CP43" s="219"/>
      <c r="CQ43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3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3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3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3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3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3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3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3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3" s="7" t="str">
        <f>IF(MergeNamesTable[[#This Row],[Player 3 Tees]]="","",VLOOKUP(MergeNamesTable[[#This Row],[Player 3 Tees]],TeeMarkerTable,23,FALSE))</f>
        <v/>
      </c>
      <c r="DA43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3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3" s="218"/>
      <c r="DD43" s="212"/>
      <c r="DE43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3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3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3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3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3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3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3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3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3" s="7" t="str">
        <f>IF(MergeNamesTable[[#This Row],[Player 4 Tees]]="","",VLOOKUP(MergeNamesTable[[#This Row],[Player 4 Tees]],TeeMarkerTable,23,FALSE))</f>
        <v/>
      </c>
      <c r="DO43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3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3" s="225"/>
      <c r="DR43" s="226"/>
      <c r="DS43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3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3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3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3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3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3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3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3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3" s="161" t="str">
        <f>IF(MergeNamesTable[[#This Row],[Player 5 Tees]]="","",VLOOKUP(MergeNamesTable[[#This Row],[Player 5 Tees]],TeeMarkerTable,23,FALSE))</f>
        <v/>
      </c>
      <c r="EC43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3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3" s="230"/>
      <c r="EF43" s="73"/>
      <c r="EG43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3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3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3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3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3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3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3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3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3" s="107"/>
      <c r="EQ43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3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3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3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3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3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3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3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3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3" s="77"/>
      <c r="FA43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3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3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3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3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3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3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3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3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3" s="110"/>
      <c r="FK43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3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3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3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3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3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3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3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3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3" s="77"/>
      <c r="FU43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3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3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3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3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3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3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3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3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3" s="107"/>
      <c r="GE43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3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3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3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3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3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3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3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3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3" s="77"/>
      <c r="GO43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3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3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3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3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3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3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3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3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3" s="79"/>
      <c r="GY43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3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3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3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3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3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3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3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3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3" s="78"/>
      <c r="HI43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3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3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3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3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3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3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3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3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3" s="78"/>
      <c r="HS43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3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3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3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3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3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3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3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3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3" s="78"/>
    </row>
    <row r="44" spans="1:236" ht="21" customHeight="1">
      <c r="A44" s="365">
        <v>43</v>
      </c>
      <c r="B44" s="362" t="str">
        <f>MergeNamesTable[[#This Row],[Team Name Concat]]</f>
        <v/>
      </c>
      <c r="C44" s="59" t="str">
        <f>UPPER(MergeNamesTable[[#This Row],[Team Name]])</f>
        <v/>
      </c>
      <c r="D44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4" s="60" t="str">
        <f>UPPER(MergeNamesTable[[#This Row],[Team Name Concat]])</f>
        <v/>
      </c>
      <c r="F44" s="61">
        <f>MergeNamesTable[[#This Row],[Player 1 Handicap]]+MergeNamesTable[[#This Row],[Player 2 Handicap]]+MergeNamesTable[[#This Row],[Player 3 Handicap]]+MergeNamesTable[[#This Row],[Player 4 Handicap]]</f>
        <v>0</v>
      </c>
      <c r="G44" s="62">
        <f>IF(ISERROR(MergeNamesTable[[#This Row],[Handicap Team Total]]/4),0,ROUND(MergeNamesTable[[#This Row],[Handicap Team Total]]/4,0))</f>
        <v>0</v>
      </c>
      <c r="H44" s="62">
        <f>ROUND(((MergeNamesTable[[#This Row],[Player 1 Handicap]]+MergeNamesTable[[#This Row],[Player 2 Handicap]])*0.25)*0.335,0)</f>
        <v>0</v>
      </c>
      <c r="I44" s="62">
        <f>ROUND(((MergeNamesTable[[#This Row],[Player 1 Handicap]]+MergeNamesTable[[#This Row],[Player 2 Handicap]])*0.5)*0.335,0)</f>
        <v>0</v>
      </c>
      <c r="J44" s="63"/>
      <c r="K44" s="64" t="str">
        <f>IF(OR(MergeNamesTable[[#This Row],[Team Name]]&lt;&gt;"",MergeNamesTable[[#This Row],[Player 1 First Last]]&lt;&gt;""),'Defaults and Lookup Lists'!$B$2,"")</f>
        <v/>
      </c>
      <c r="L44" s="201"/>
      <c r="M44" s="65" t="str">
        <f>IF(OR(MergeNamesTable[[#This Row],[Team Name]]&lt;&gt;"",MergeNamesTable[[#This Row],[Player 1 First Last]]&lt;&gt;""),TEXT('Defaults and Lookup Lists'!$B$7,"ddd, mmm d, yyyy"),"")</f>
        <v/>
      </c>
      <c r="N44" s="311" t="str">
        <f>IF(OR(MergeNamesTable[[#This Row],[Team Name]]&lt;&gt;"",MergeNamesTable[[#This Row],[Player 1 First Last]]&lt;&gt;""),IF('Defaults and Lookup Lists'!$D$3="","",'Defaults and Lookup Lists'!$D$3),"")</f>
        <v/>
      </c>
      <c r="O44" s="247" t="str">
        <f>IF(OR(MergeNamesTable[[#This Row],[Team Name]]&lt;&gt;"",MergeNamesTable[[#This Row],[Player 1 First Last]]&lt;&gt;""),IF('Defaults and Lookup Lists'!$D$4="","",'Defaults and Lookup Lists'!$D$4),"")</f>
        <v/>
      </c>
      <c r="P44" s="247" t="str">
        <f>IF(OR(MergeNamesTable[[#This Row],[Team Name]]&lt;&gt;"",MergeNamesTable[[#This Row],[Player 1 First Last]]&lt;&gt;""),IF('Defaults and Lookup Lists'!$D$2="Shotgun","A",""),"")</f>
        <v/>
      </c>
      <c r="Q44" s="220" t="str">
        <f>IF(OR(MergeNamesTable[[#This Row],[Team Name]]&lt;&gt;"",MergeNamesTable[[#This Row],[Player 1 First Last]]&lt;&gt;""),IF('Defaults and Lookup Lists'!$B$6="","",'Defaults and Lookup Lists'!$B$6),"")</f>
        <v/>
      </c>
      <c r="R44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4" s="312" t="str">
        <f>IF(MergeNamesTable[[#This Row],[Entry Fee Team]]="","",MergeNamesTable[[#This Row],[Entry Fee Team]]-MergeNamesTable[[#This Row],[Entry Fee Paid]])</f>
        <v/>
      </c>
      <c r="T44" s="201"/>
      <c r="U44" s="201"/>
      <c r="V44" s="201"/>
      <c r="W44" s="201" t="str">
        <f>IF(OR(MergeNamesTable[[#This Row],[Team Name]]&lt;&gt;"",MergeNamesTable[[#This Row],[Player 1 First Last]]&lt;&gt;""),'Defaults and Lookup Lists'!$B$3,"")</f>
        <v/>
      </c>
      <c r="X44" s="67" t="str">
        <f>IF(MergeNamesTable[[#This Row],[Tee Markers]]="","",VLOOKUP(MergeNamesTable[[#This Row],[Tee Markers]],TeeMarkerTable,23,FALSE))</f>
        <v/>
      </c>
      <c r="Y44" s="59" t="str">
        <f>UPPER(MergeNamesTable[[#This Row],[Tournament]])</f>
        <v/>
      </c>
      <c r="Z44" s="6" t="str">
        <f>UPPER(MergeNamesTable[[#This Row],[Flight]])</f>
        <v/>
      </c>
      <c r="AA44" s="6" t="str">
        <f>UPPER(MergeNamesTable[[#This Row],[Tee Markers]])</f>
        <v/>
      </c>
      <c r="AB44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4" s="68" t="str">
        <f>IF(MergeNamesTable[[#This Row],[Start Time Day 2]]="","",TEXT(MergeNamesTable[[#This Row],[Start Time Day 2]],"HH:MM AM/PM"))</f>
        <v/>
      </c>
      <c r="AD44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4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4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4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4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4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4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4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4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4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4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4" s="72" t="str">
        <f>TEXT(MergeNamesTable[[#This Row],[Player 1 Handicap]],"##;+##;")</f>
        <v/>
      </c>
      <c r="AP44" s="7" t="str">
        <f>TEXT(MergeNamesTable[[#This Row],[Player 2 Handicap]],"##;+##;")</f>
        <v/>
      </c>
      <c r="AQ44" s="7" t="str">
        <f>TEXT(MergeNamesTable[[#This Row],[Player 3 Handicap]],"##;+##;")</f>
        <v/>
      </c>
      <c r="AR44" s="67" t="str">
        <f>TEXT(MergeNamesTable[[#This Row],[Player 4 Handicap]],"##;+##;")</f>
        <v/>
      </c>
      <c r="AS44" s="131" t="str">
        <f>TEXT(MergeNamesTable[[#This Row],[Player 5 Handicap]],"##;+##;")</f>
        <v/>
      </c>
      <c r="AT44" s="59" t="str">
        <f>UPPER(MergeNamesTable[[#This Row],[Player 1 First Last]])</f>
        <v/>
      </c>
      <c r="AU44" s="6" t="str">
        <f>UPPER(MergeNamesTable[[#This Row],[Player 2 First Last]])</f>
        <v/>
      </c>
      <c r="AV44" s="6" t="str">
        <f>UPPER(MergeNamesTable[[#This Row],[Player 3 First Last]])</f>
        <v/>
      </c>
      <c r="AW44" s="6" t="str">
        <f>UPPER(MergeNamesTable[[#This Row],[Player 4 First Last]])</f>
        <v/>
      </c>
      <c r="AX44" s="344" t="str">
        <f>UPPER(MergeNamesTable[[#This Row],[Player 5 First Last]])</f>
        <v/>
      </c>
      <c r="AY44" s="59" t="str">
        <f>UPPER(MergeNamesTable[[#This Row],[Player 1 First]])</f>
        <v/>
      </c>
      <c r="AZ44" s="6" t="str">
        <f>UPPER(MergeNamesTable[[#This Row],[Player 2 First]])</f>
        <v/>
      </c>
      <c r="BA44" s="6" t="str">
        <f>UPPER(MergeNamesTable[[#This Row],[Player 3 First]])</f>
        <v/>
      </c>
      <c r="BB44" s="6" t="str">
        <f>UPPER(MergeNamesTable[[#This Row],[Player 4 First]])</f>
        <v/>
      </c>
      <c r="BC44" s="344" t="str">
        <f>UPPER(MergeNamesTable[[#This Row],[Player 5 First]])</f>
        <v/>
      </c>
      <c r="BD44" s="59" t="str">
        <f>UPPER(MergeNamesTable[[#This Row],[Player 1 Last]])</f>
        <v/>
      </c>
      <c r="BE44" s="6" t="str">
        <f>UPPER(MergeNamesTable[[#This Row],[Player 2 Last]])</f>
        <v/>
      </c>
      <c r="BF44" s="6" t="str">
        <f>UPPER(MergeNamesTable[[#This Row],[Player 3 Last]])</f>
        <v/>
      </c>
      <c r="BG44" s="6" t="str">
        <f>UPPER(MergeNamesTable[[#This Row],[Player 4 Last]])</f>
        <v/>
      </c>
      <c r="BH44" s="344" t="str">
        <f>UPPER(MergeNamesTable[[#This Row],[Player 5 Last]])</f>
        <v/>
      </c>
      <c r="BI44" s="59" t="str">
        <f>UPPER(MergeNamesTable[[#This Row],[Player 1 Club]])</f>
        <v/>
      </c>
      <c r="BJ44" s="6" t="str">
        <f>UPPER(MergeNamesTable[[#This Row],[Player 2 Club]])</f>
        <v/>
      </c>
      <c r="BK44" s="6" t="str">
        <f>UPPER(MergeNamesTable[[#This Row],[Player 3 Club]])</f>
        <v/>
      </c>
      <c r="BL44" s="6" t="str">
        <f>UPPER(MergeNamesTable[[#This Row],[Player 4 Club]])</f>
        <v/>
      </c>
      <c r="BM44" s="344" t="str">
        <f>UPPER(MergeNamesTable[[#This Row],[Player 5 Club]])</f>
        <v/>
      </c>
      <c r="BN44" s="212"/>
      <c r="BO44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4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4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4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4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4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4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4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4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4" s="70" t="str">
        <f>IF(MergeNamesTable[[#This Row],[Player 1 Tees]]="","",VLOOKUP(MergeNamesTable[[#This Row],[Player 1 Tees]],TeeMarkerTable,23,FALSE))</f>
        <v/>
      </c>
      <c r="BY44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4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4" s="218"/>
      <c r="CB44" s="219"/>
      <c r="CC44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4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4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4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4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4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4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4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4" s="214" t="str">
        <f>IF(MergeNamesTable[[#This Row],[Player 2 Male]]="Female",'Defaults and Lookup Lists'!$B$4,IF(MergeNamesTable[[#This Row],[Tee Markers]]="","",MergeNamesTable[[#This Row],[Tee Markers]]))</f>
        <v/>
      </c>
      <c r="CL44" s="7" t="str">
        <f>IF(MergeNamesTable[[#This Row],[Player 2 Tees]]="","",VLOOKUP(MergeNamesTable[[#This Row],[Player 2 Tees]],TeeMarkerTable,23,FALSE))</f>
        <v/>
      </c>
      <c r="CM44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4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4" s="218"/>
      <c r="CP44" s="219"/>
      <c r="CQ44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4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4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4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4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4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4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4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4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4" s="7" t="str">
        <f>IF(MergeNamesTable[[#This Row],[Player 3 Tees]]="","",VLOOKUP(MergeNamesTable[[#This Row],[Player 3 Tees]],TeeMarkerTable,23,FALSE))</f>
        <v/>
      </c>
      <c r="DA44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4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4" s="218"/>
      <c r="DD44" s="212"/>
      <c r="DE44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4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4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4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4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4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4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4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4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4" s="7" t="str">
        <f>IF(MergeNamesTable[[#This Row],[Player 4 Tees]]="","",VLOOKUP(MergeNamesTable[[#This Row],[Player 4 Tees]],TeeMarkerTable,23,FALSE))</f>
        <v/>
      </c>
      <c r="DO44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4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4" s="225"/>
      <c r="DR44" s="226"/>
      <c r="DS44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4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4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4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4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4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4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4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4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4" s="161" t="str">
        <f>IF(MergeNamesTable[[#This Row],[Player 5 Tees]]="","",VLOOKUP(MergeNamesTable[[#This Row],[Player 5 Tees]],TeeMarkerTable,23,FALSE))</f>
        <v/>
      </c>
      <c r="EC44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4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4" s="230"/>
      <c r="EF44" s="73"/>
      <c r="EG44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4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4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4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4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4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4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4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4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4" s="107"/>
      <c r="EQ44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4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4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4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4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4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4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4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4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4" s="77"/>
      <c r="FA44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4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4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4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4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4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4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4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4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4" s="110"/>
      <c r="FK44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4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4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4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4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4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4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4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4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4" s="77"/>
      <c r="FU44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4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4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4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4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4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4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4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4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4" s="107"/>
      <c r="GE44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4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4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4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4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4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4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4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4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4" s="77"/>
      <c r="GO44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4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4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4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4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4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4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4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4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4" s="79"/>
      <c r="GY44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4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4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4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4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4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4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4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4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4" s="78"/>
      <c r="HI44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4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4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4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4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4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4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4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4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4" s="78"/>
      <c r="HS44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4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4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4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4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4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4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4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4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4" s="78"/>
    </row>
    <row r="45" spans="1:236" ht="21" customHeight="1">
      <c r="A45" s="365">
        <v>44</v>
      </c>
      <c r="B45" s="362" t="str">
        <f>MergeNamesTable[[#This Row],[Team Name Concat]]</f>
        <v/>
      </c>
      <c r="C45" s="59" t="str">
        <f>UPPER(MergeNamesTable[[#This Row],[Team Name]])</f>
        <v/>
      </c>
      <c r="D45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5" s="60" t="str">
        <f>UPPER(MergeNamesTable[[#This Row],[Team Name Concat]])</f>
        <v/>
      </c>
      <c r="F45" s="61">
        <f>MergeNamesTable[[#This Row],[Player 1 Handicap]]+MergeNamesTable[[#This Row],[Player 2 Handicap]]+MergeNamesTable[[#This Row],[Player 3 Handicap]]+MergeNamesTable[[#This Row],[Player 4 Handicap]]</f>
        <v>0</v>
      </c>
      <c r="G45" s="62">
        <f>IF(ISERROR(MergeNamesTable[[#This Row],[Handicap Team Total]]/4),0,ROUND(MergeNamesTable[[#This Row],[Handicap Team Total]]/4,0))</f>
        <v>0</v>
      </c>
      <c r="H45" s="62">
        <f>ROUND(((MergeNamesTable[[#This Row],[Player 1 Handicap]]+MergeNamesTable[[#This Row],[Player 2 Handicap]])*0.25)*0.335,0)</f>
        <v>0</v>
      </c>
      <c r="I45" s="62">
        <f>ROUND(((MergeNamesTable[[#This Row],[Player 1 Handicap]]+MergeNamesTable[[#This Row],[Player 2 Handicap]])*0.5)*0.335,0)</f>
        <v>0</v>
      </c>
      <c r="J45" s="63"/>
      <c r="K45" s="64" t="str">
        <f>IF(OR(MergeNamesTable[[#This Row],[Team Name]]&lt;&gt;"",MergeNamesTable[[#This Row],[Player 1 First Last]]&lt;&gt;""),'Defaults and Lookup Lists'!$B$2,"")</f>
        <v/>
      </c>
      <c r="L45" s="201"/>
      <c r="M45" s="65" t="str">
        <f>IF(OR(MergeNamesTable[[#This Row],[Team Name]]&lt;&gt;"",MergeNamesTable[[#This Row],[Player 1 First Last]]&lt;&gt;""),TEXT('Defaults and Lookup Lists'!$B$7,"ddd, mmm d, yyyy"),"")</f>
        <v/>
      </c>
      <c r="N45" s="311" t="str">
        <f>IF(OR(MergeNamesTable[[#This Row],[Team Name]]&lt;&gt;"",MergeNamesTable[[#This Row],[Player 1 First Last]]&lt;&gt;""),IF('Defaults and Lookup Lists'!$D$3="","",'Defaults and Lookup Lists'!$D$3),"")</f>
        <v/>
      </c>
      <c r="O45" s="247" t="str">
        <f>IF(OR(MergeNamesTable[[#This Row],[Team Name]]&lt;&gt;"",MergeNamesTable[[#This Row],[Player 1 First Last]]&lt;&gt;""),IF('Defaults and Lookup Lists'!$D$4="","",'Defaults and Lookup Lists'!$D$4),"")</f>
        <v/>
      </c>
      <c r="P45" s="247" t="str">
        <f>IF(OR(MergeNamesTable[[#This Row],[Team Name]]&lt;&gt;"",MergeNamesTable[[#This Row],[Player 1 First Last]]&lt;&gt;""),IF('Defaults and Lookup Lists'!$D$2="Shotgun","A",""),"")</f>
        <v/>
      </c>
      <c r="Q45" s="220" t="str">
        <f>IF(OR(MergeNamesTable[[#This Row],[Team Name]]&lt;&gt;"",MergeNamesTable[[#This Row],[Player 1 First Last]]&lt;&gt;""),IF('Defaults and Lookup Lists'!$B$6="","",'Defaults and Lookup Lists'!$B$6),"")</f>
        <v/>
      </c>
      <c r="R45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5" s="312" t="str">
        <f>IF(MergeNamesTable[[#This Row],[Entry Fee Team]]="","",MergeNamesTable[[#This Row],[Entry Fee Team]]-MergeNamesTable[[#This Row],[Entry Fee Paid]])</f>
        <v/>
      </c>
      <c r="T45" s="201"/>
      <c r="U45" s="201"/>
      <c r="V45" s="201"/>
      <c r="W45" s="201" t="str">
        <f>IF(OR(MergeNamesTable[[#This Row],[Team Name]]&lt;&gt;"",MergeNamesTable[[#This Row],[Player 1 First Last]]&lt;&gt;""),'Defaults and Lookup Lists'!$B$3,"")</f>
        <v/>
      </c>
      <c r="X45" s="67" t="str">
        <f>IF(MergeNamesTable[[#This Row],[Tee Markers]]="","",VLOOKUP(MergeNamesTable[[#This Row],[Tee Markers]],TeeMarkerTable,23,FALSE))</f>
        <v/>
      </c>
      <c r="Y45" s="59" t="str">
        <f>UPPER(MergeNamesTable[[#This Row],[Tournament]])</f>
        <v/>
      </c>
      <c r="Z45" s="6" t="str">
        <f>UPPER(MergeNamesTable[[#This Row],[Flight]])</f>
        <v/>
      </c>
      <c r="AA45" s="6" t="str">
        <f>UPPER(MergeNamesTable[[#This Row],[Tee Markers]])</f>
        <v/>
      </c>
      <c r="AB45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5" s="68" t="str">
        <f>IF(MergeNamesTable[[#This Row],[Start Time Day 2]]="","",TEXT(MergeNamesTable[[#This Row],[Start Time Day 2]],"HH:MM AM/PM"))</f>
        <v/>
      </c>
      <c r="AD45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5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5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5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5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5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5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5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5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5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5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5" s="72" t="str">
        <f>TEXT(MergeNamesTable[[#This Row],[Player 1 Handicap]],"##;+##;")</f>
        <v/>
      </c>
      <c r="AP45" s="7" t="str">
        <f>TEXT(MergeNamesTable[[#This Row],[Player 2 Handicap]],"##;+##;")</f>
        <v/>
      </c>
      <c r="AQ45" s="7" t="str">
        <f>TEXT(MergeNamesTable[[#This Row],[Player 3 Handicap]],"##;+##;")</f>
        <v/>
      </c>
      <c r="AR45" s="67" t="str">
        <f>TEXT(MergeNamesTable[[#This Row],[Player 4 Handicap]],"##;+##;")</f>
        <v/>
      </c>
      <c r="AS45" s="131" t="str">
        <f>TEXT(MergeNamesTable[[#This Row],[Player 5 Handicap]],"##;+##;")</f>
        <v/>
      </c>
      <c r="AT45" s="59" t="str">
        <f>UPPER(MergeNamesTable[[#This Row],[Player 1 First Last]])</f>
        <v/>
      </c>
      <c r="AU45" s="6" t="str">
        <f>UPPER(MergeNamesTable[[#This Row],[Player 2 First Last]])</f>
        <v/>
      </c>
      <c r="AV45" s="6" t="str">
        <f>UPPER(MergeNamesTable[[#This Row],[Player 3 First Last]])</f>
        <v/>
      </c>
      <c r="AW45" s="6" t="str">
        <f>UPPER(MergeNamesTable[[#This Row],[Player 4 First Last]])</f>
        <v/>
      </c>
      <c r="AX45" s="344" t="str">
        <f>UPPER(MergeNamesTable[[#This Row],[Player 5 First Last]])</f>
        <v/>
      </c>
      <c r="AY45" s="59" t="str">
        <f>UPPER(MergeNamesTable[[#This Row],[Player 1 First]])</f>
        <v/>
      </c>
      <c r="AZ45" s="6" t="str">
        <f>UPPER(MergeNamesTable[[#This Row],[Player 2 First]])</f>
        <v/>
      </c>
      <c r="BA45" s="6" t="str">
        <f>UPPER(MergeNamesTable[[#This Row],[Player 3 First]])</f>
        <v/>
      </c>
      <c r="BB45" s="6" t="str">
        <f>UPPER(MergeNamesTable[[#This Row],[Player 4 First]])</f>
        <v/>
      </c>
      <c r="BC45" s="344" t="str">
        <f>UPPER(MergeNamesTable[[#This Row],[Player 5 First]])</f>
        <v/>
      </c>
      <c r="BD45" s="59" t="str">
        <f>UPPER(MergeNamesTable[[#This Row],[Player 1 Last]])</f>
        <v/>
      </c>
      <c r="BE45" s="6" t="str">
        <f>UPPER(MergeNamesTable[[#This Row],[Player 2 Last]])</f>
        <v/>
      </c>
      <c r="BF45" s="6" t="str">
        <f>UPPER(MergeNamesTable[[#This Row],[Player 3 Last]])</f>
        <v/>
      </c>
      <c r="BG45" s="6" t="str">
        <f>UPPER(MergeNamesTable[[#This Row],[Player 4 Last]])</f>
        <v/>
      </c>
      <c r="BH45" s="344" t="str">
        <f>UPPER(MergeNamesTable[[#This Row],[Player 5 Last]])</f>
        <v/>
      </c>
      <c r="BI45" s="59" t="str">
        <f>UPPER(MergeNamesTable[[#This Row],[Player 1 Club]])</f>
        <v/>
      </c>
      <c r="BJ45" s="6" t="str">
        <f>UPPER(MergeNamesTable[[#This Row],[Player 2 Club]])</f>
        <v/>
      </c>
      <c r="BK45" s="6" t="str">
        <f>UPPER(MergeNamesTable[[#This Row],[Player 3 Club]])</f>
        <v/>
      </c>
      <c r="BL45" s="6" t="str">
        <f>UPPER(MergeNamesTable[[#This Row],[Player 4 Club]])</f>
        <v/>
      </c>
      <c r="BM45" s="344" t="str">
        <f>UPPER(MergeNamesTable[[#This Row],[Player 5 Club]])</f>
        <v/>
      </c>
      <c r="BN45" s="212"/>
      <c r="BO45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5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5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5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5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5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5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5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5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5" s="70" t="str">
        <f>IF(MergeNamesTable[[#This Row],[Player 1 Tees]]="","",VLOOKUP(MergeNamesTable[[#This Row],[Player 1 Tees]],TeeMarkerTable,23,FALSE))</f>
        <v/>
      </c>
      <c r="BY45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5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5" s="218"/>
      <c r="CB45" s="219"/>
      <c r="CC45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5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5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5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5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5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5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5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5" s="214" t="str">
        <f>IF(MergeNamesTable[[#This Row],[Player 2 Male]]="Female",'Defaults and Lookup Lists'!$B$4,IF(MergeNamesTable[[#This Row],[Tee Markers]]="","",MergeNamesTable[[#This Row],[Tee Markers]]))</f>
        <v/>
      </c>
      <c r="CL45" s="7" t="str">
        <f>IF(MergeNamesTable[[#This Row],[Player 2 Tees]]="","",VLOOKUP(MergeNamesTable[[#This Row],[Player 2 Tees]],TeeMarkerTable,23,FALSE))</f>
        <v/>
      </c>
      <c r="CM45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5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5" s="218"/>
      <c r="CP45" s="219"/>
      <c r="CQ45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5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5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5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5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5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5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5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5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5" s="7" t="str">
        <f>IF(MergeNamesTable[[#This Row],[Player 3 Tees]]="","",VLOOKUP(MergeNamesTable[[#This Row],[Player 3 Tees]],TeeMarkerTable,23,FALSE))</f>
        <v/>
      </c>
      <c r="DA45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5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5" s="218"/>
      <c r="DD45" s="212"/>
      <c r="DE45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5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5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5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5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5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5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5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5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5" s="7" t="str">
        <f>IF(MergeNamesTable[[#This Row],[Player 4 Tees]]="","",VLOOKUP(MergeNamesTable[[#This Row],[Player 4 Tees]],TeeMarkerTable,23,FALSE))</f>
        <v/>
      </c>
      <c r="DO45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5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5" s="225"/>
      <c r="DR45" s="226"/>
      <c r="DS45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5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5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5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5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5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5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5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5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5" s="161" t="str">
        <f>IF(MergeNamesTable[[#This Row],[Player 5 Tees]]="","",VLOOKUP(MergeNamesTable[[#This Row],[Player 5 Tees]],TeeMarkerTable,23,FALSE))</f>
        <v/>
      </c>
      <c r="EC45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5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5" s="230"/>
      <c r="EF45" s="73"/>
      <c r="EG45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5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5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5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5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5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5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5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5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5" s="107"/>
      <c r="EQ45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5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5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5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5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5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5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5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5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5" s="77"/>
      <c r="FA45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5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5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5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5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5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5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5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5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5" s="110"/>
      <c r="FK45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5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5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5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5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5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5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5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5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5" s="77"/>
      <c r="FU45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5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5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5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5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5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5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5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5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5" s="107"/>
      <c r="GE45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5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5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5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5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5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5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5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5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5" s="77"/>
      <c r="GO45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5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5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5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5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5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5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5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5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5" s="79"/>
      <c r="GY45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5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5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5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5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5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5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5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5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5" s="78"/>
      <c r="HI45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5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5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5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5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5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5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5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5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5" s="78"/>
      <c r="HS45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5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5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5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5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5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5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5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5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5" s="78"/>
    </row>
    <row r="46" spans="1:236" ht="21" customHeight="1">
      <c r="A46" s="365">
        <v>45</v>
      </c>
      <c r="B46" s="362" t="str">
        <f>MergeNamesTable[[#This Row],[Team Name Concat]]</f>
        <v/>
      </c>
      <c r="C46" s="59" t="str">
        <f>UPPER(MergeNamesTable[[#This Row],[Team Name]])</f>
        <v/>
      </c>
      <c r="D46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6" s="60" t="str">
        <f>UPPER(MergeNamesTable[[#This Row],[Team Name Concat]])</f>
        <v/>
      </c>
      <c r="F46" s="61">
        <f>MergeNamesTable[[#This Row],[Player 1 Handicap]]+MergeNamesTable[[#This Row],[Player 2 Handicap]]+MergeNamesTable[[#This Row],[Player 3 Handicap]]+MergeNamesTable[[#This Row],[Player 4 Handicap]]</f>
        <v>0</v>
      </c>
      <c r="G46" s="62">
        <f>IF(ISERROR(MergeNamesTable[[#This Row],[Handicap Team Total]]/4),0,ROUND(MergeNamesTable[[#This Row],[Handicap Team Total]]/4,0))</f>
        <v>0</v>
      </c>
      <c r="H46" s="62">
        <f>ROUND(((MergeNamesTable[[#This Row],[Player 1 Handicap]]+MergeNamesTable[[#This Row],[Player 2 Handicap]])*0.25)*0.335,0)</f>
        <v>0</v>
      </c>
      <c r="I46" s="62">
        <f>ROUND(((MergeNamesTable[[#This Row],[Player 1 Handicap]]+MergeNamesTable[[#This Row],[Player 2 Handicap]])*0.5)*0.335,0)</f>
        <v>0</v>
      </c>
      <c r="J46" s="63"/>
      <c r="K46" s="64" t="str">
        <f>IF(OR(MergeNamesTable[[#This Row],[Team Name]]&lt;&gt;"",MergeNamesTable[[#This Row],[Player 1 First Last]]&lt;&gt;""),'Defaults and Lookup Lists'!$B$2,"")</f>
        <v/>
      </c>
      <c r="L46" s="201"/>
      <c r="M46" s="65" t="str">
        <f>IF(OR(MergeNamesTable[[#This Row],[Team Name]]&lt;&gt;"",MergeNamesTable[[#This Row],[Player 1 First Last]]&lt;&gt;""),TEXT('Defaults and Lookup Lists'!$B$7,"ddd, mmm d, yyyy"),"")</f>
        <v/>
      </c>
      <c r="N46" s="311" t="str">
        <f>IF(OR(MergeNamesTable[[#This Row],[Team Name]]&lt;&gt;"",MergeNamesTable[[#This Row],[Player 1 First Last]]&lt;&gt;""),IF('Defaults and Lookup Lists'!$D$3="","",'Defaults and Lookup Lists'!$D$3),"")</f>
        <v/>
      </c>
      <c r="O46" s="247" t="str">
        <f>IF(OR(MergeNamesTable[[#This Row],[Team Name]]&lt;&gt;"",MergeNamesTable[[#This Row],[Player 1 First Last]]&lt;&gt;""),IF('Defaults and Lookup Lists'!$D$4="","",'Defaults and Lookup Lists'!$D$4),"")</f>
        <v/>
      </c>
      <c r="P46" s="247" t="str">
        <f>IF(OR(MergeNamesTable[[#This Row],[Team Name]]&lt;&gt;"",MergeNamesTable[[#This Row],[Player 1 First Last]]&lt;&gt;""),IF('Defaults and Lookup Lists'!$D$2="Shotgun","A",""),"")</f>
        <v/>
      </c>
      <c r="Q46" s="220" t="str">
        <f>IF(OR(MergeNamesTable[[#This Row],[Team Name]]&lt;&gt;"",MergeNamesTable[[#This Row],[Player 1 First Last]]&lt;&gt;""),IF('Defaults and Lookup Lists'!$B$6="","",'Defaults and Lookup Lists'!$B$6),"")</f>
        <v/>
      </c>
      <c r="R46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6" s="312" t="str">
        <f>IF(MergeNamesTable[[#This Row],[Entry Fee Team]]="","",MergeNamesTable[[#This Row],[Entry Fee Team]]-MergeNamesTable[[#This Row],[Entry Fee Paid]])</f>
        <v/>
      </c>
      <c r="T46" s="201"/>
      <c r="U46" s="201"/>
      <c r="V46" s="201"/>
      <c r="W46" s="201" t="str">
        <f>IF(OR(MergeNamesTable[[#This Row],[Team Name]]&lt;&gt;"",MergeNamesTable[[#This Row],[Player 1 First Last]]&lt;&gt;""),'Defaults and Lookup Lists'!$B$3,"")</f>
        <v/>
      </c>
      <c r="X46" s="67" t="str">
        <f>IF(MergeNamesTable[[#This Row],[Tee Markers]]="","",VLOOKUP(MergeNamesTable[[#This Row],[Tee Markers]],TeeMarkerTable,23,FALSE))</f>
        <v/>
      </c>
      <c r="Y46" s="59" t="str">
        <f>UPPER(MergeNamesTable[[#This Row],[Tournament]])</f>
        <v/>
      </c>
      <c r="Z46" s="6" t="str">
        <f>UPPER(MergeNamesTable[[#This Row],[Flight]])</f>
        <v/>
      </c>
      <c r="AA46" s="6" t="str">
        <f>UPPER(MergeNamesTable[[#This Row],[Tee Markers]])</f>
        <v/>
      </c>
      <c r="AB46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6" s="68" t="str">
        <f>IF(MergeNamesTable[[#This Row],[Start Time Day 2]]="","",TEXT(MergeNamesTable[[#This Row],[Start Time Day 2]],"HH:MM AM/PM"))</f>
        <v/>
      </c>
      <c r="AD46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6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6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6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6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6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6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6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6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6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6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6" s="72" t="str">
        <f>TEXT(MergeNamesTable[[#This Row],[Player 1 Handicap]],"##;+##;")</f>
        <v/>
      </c>
      <c r="AP46" s="7" t="str">
        <f>TEXT(MergeNamesTable[[#This Row],[Player 2 Handicap]],"##;+##;")</f>
        <v/>
      </c>
      <c r="AQ46" s="7" t="str">
        <f>TEXT(MergeNamesTable[[#This Row],[Player 3 Handicap]],"##;+##;")</f>
        <v/>
      </c>
      <c r="AR46" s="67" t="str">
        <f>TEXT(MergeNamesTable[[#This Row],[Player 4 Handicap]],"##;+##;")</f>
        <v/>
      </c>
      <c r="AS46" s="131" t="str">
        <f>TEXT(MergeNamesTable[[#This Row],[Player 5 Handicap]],"##;+##;")</f>
        <v/>
      </c>
      <c r="AT46" s="59" t="str">
        <f>UPPER(MergeNamesTable[[#This Row],[Player 1 First Last]])</f>
        <v/>
      </c>
      <c r="AU46" s="6" t="str">
        <f>UPPER(MergeNamesTable[[#This Row],[Player 2 First Last]])</f>
        <v/>
      </c>
      <c r="AV46" s="6" t="str">
        <f>UPPER(MergeNamesTable[[#This Row],[Player 3 First Last]])</f>
        <v/>
      </c>
      <c r="AW46" s="6" t="str">
        <f>UPPER(MergeNamesTable[[#This Row],[Player 4 First Last]])</f>
        <v/>
      </c>
      <c r="AX46" s="344" t="str">
        <f>UPPER(MergeNamesTable[[#This Row],[Player 5 First Last]])</f>
        <v/>
      </c>
      <c r="AY46" s="59" t="str">
        <f>UPPER(MergeNamesTable[[#This Row],[Player 1 First]])</f>
        <v/>
      </c>
      <c r="AZ46" s="6" t="str">
        <f>UPPER(MergeNamesTable[[#This Row],[Player 2 First]])</f>
        <v/>
      </c>
      <c r="BA46" s="6" t="str">
        <f>UPPER(MergeNamesTable[[#This Row],[Player 3 First]])</f>
        <v/>
      </c>
      <c r="BB46" s="6" t="str">
        <f>UPPER(MergeNamesTable[[#This Row],[Player 4 First]])</f>
        <v/>
      </c>
      <c r="BC46" s="344" t="str">
        <f>UPPER(MergeNamesTable[[#This Row],[Player 5 First]])</f>
        <v/>
      </c>
      <c r="BD46" s="59" t="str">
        <f>UPPER(MergeNamesTable[[#This Row],[Player 1 Last]])</f>
        <v/>
      </c>
      <c r="BE46" s="6" t="str">
        <f>UPPER(MergeNamesTable[[#This Row],[Player 2 Last]])</f>
        <v/>
      </c>
      <c r="BF46" s="6" t="str">
        <f>UPPER(MergeNamesTable[[#This Row],[Player 3 Last]])</f>
        <v/>
      </c>
      <c r="BG46" s="6" t="str">
        <f>UPPER(MergeNamesTable[[#This Row],[Player 4 Last]])</f>
        <v/>
      </c>
      <c r="BH46" s="344" t="str">
        <f>UPPER(MergeNamesTable[[#This Row],[Player 5 Last]])</f>
        <v/>
      </c>
      <c r="BI46" s="59" t="str">
        <f>UPPER(MergeNamesTable[[#This Row],[Player 1 Club]])</f>
        <v/>
      </c>
      <c r="BJ46" s="6" t="str">
        <f>UPPER(MergeNamesTable[[#This Row],[Player 2 Club]])</f>
        <v/>
      </c>
      <c r="BK46" s="6" t="str">
        <f>UPPER(MergeNamesTable[[#This Row],[Player 3 Club]])</f>
        <v/>
      </c>
      <c r="BL46" s="6" t="str">
        <f>UPPER(MergeNamesTable[[#This Row],[Player 4 Club]])</f>
        <v/>
      </c>
      <c r="BM46" s="344" t="str">
        <f>UPPER(MergeNamesTable[[#This Row],[Player 5 Club]])</f>
        <v/>
      </c>
      <c r="BN46" s="212"/>
      <c r="BO46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6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6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6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6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6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6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6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6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6" s="70" t="str">
        <f>IF(MergeNamesTable[[#This Row],[Player 1 Tees]]="","",VLOOKUP(MergeNamesTable[[#This Row],[Player 1 Tees]],TeeMarkerTable,23,FALSE))</f>
        <v/>
      </c>
      <c r="BY46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6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6" s="218"/>
      <c r="CB46" s="219"/>
      <c r="CC46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6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6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6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6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6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6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6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6" s="214" t="str">
        <f>IF(MergeNamesTable[[#This Row],[Player 2 Male]]="Female",'Defaults and Lookup Lists'!$B$4,IF(MergeNamesTable[[#This Row],[Tee Markers]]="","",MergeNamesTable[[#This Row],[Tee Markers]]))</f>
        <v/>
      </c>
      <c r="CL46" s="7" t="str">
        <f>IF(MergeNamesTable[[#This Row],[Player 2 Tees]]="","",VLOOKUP(MergeNamesTable[[#This Row],[Player 2 Tees]],TeeMarkerTable,23,FALSE))</f>
        <v/>
      </c>
      <c r="CM46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6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6" s="218"/>
      <c r="CP46" s="219"/>
      <c r="CQ46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6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6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6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6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6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6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6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6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6" s="7" t="str">
        <f>IF(MergeNamesTable[[#This Row],[Player 3 Tees]]="","",VLOOKUP(MergeNamesTable[[#This Row],[Player 3 Tees]],TeeMarkerTable,23,FALSE))</f>
        <v/>
      </c>
      <c r="DA46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6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6" s="218"/>
      <c r="DD46" s="212"/>
      <c r="DE46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6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6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6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6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6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6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6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6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6" s="7" t="str">
        <f>IF(MergeNamesTable[[#This Row],[Player 4 Tees]]="","",VLOOKUP(MergeNamesTable[[#This Row],[Player 4 Tees]],TeeMarkerTable,23,FALSE))</f>
        <v/>
      </c>
      <c r="DO46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6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6" s="225"/>
      <c r="DR46" s="226"/>
      <c r="DS46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6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6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6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6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6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6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6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6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6" s="161" t="str">
        <f>IF(MergeNamesTable[[#This Row],[Player 5 Tees]]="","",VLOOKUP(MergeNamesTable[[#This Row],[Player 5 Tees]],TeeMarkerTable,23,FALSE))</f>
        <v/>
      </c>
      <c r="EC46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6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6" s="230"/>
      <c r="EF46" s="73"/>
      <c r="EG46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6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6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6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6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6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6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6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6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6" s="107"/>
      <c r="EQ46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6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6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6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6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6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6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6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6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6" s="77"/>
      <c r="FA46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6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6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6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6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6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6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6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6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6" s="110"/>
      <c r="FK46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6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6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6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6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6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6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6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6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6" s="77"/>
      <c r="FU46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6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6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6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6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6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6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6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6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6" s="107"/>
      <c r="GE46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6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6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6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6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6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6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6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6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6" s="77"/>
      <c r="GO46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6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6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6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6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6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6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6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6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6" s="79"/>
      <c r="GY46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6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6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6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6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6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6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6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6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6" s="78"/>
      <c r="HI46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6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6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6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6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6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6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6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6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6" s="78"/>
      <c r="HS46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6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6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6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6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6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6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6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6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6" s="78"/>
    </row>
    <row r="47" spans="1:236" ht="21" customHeight="1">
      <c r="A47" s="365">
        <v>46</v>
      </c>
      <c r="B47" s="362" t="str">
        <f>MergeNamesTable[[#This Row],[Team Name Concat]]</f>
        <v/>
      </c>
      <c r="C47" s="59" t="str">
        <f>UPPER(MergeNamesTable[[#This Row],[Team Name]])</f>
        <v/>
      </c>
      <c r="D47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7" s="60" t="str">
        <f>UPPER(MergeNamesTable[[#This Row],[Team Name Concat]])</f>
        <v/>
      </c>
      <c r="F47" s="61">
        <f>MergeNamesTable[[#This Row],[Player 1 Handicap]]+MergeNamesTable[[#This Row],[Player 2 Handicap]]+MergeNamesTable[[#This Row],[Player 3 Handicap]]+MergeNamesTable[[#This Row],[Player 4 Handicap]]</f>
        <v>0</v>
      </c>
      <c r="G47" s="62">
        <f>IF(ISERROR(MergeNamesTable[[#This Row],[Handicap Team Total]]/4),0,ROUND(MergeNamesTable[[#This Row],[Handicap Team Total]]/4,0))</f>
        <v>0</v>
      </c>
      <c r="H47" s="62">
        <f>ROUND(((MergeNamesTable[[#This Row],[Player 1 Handicap]]+MergeNamesTable[[#This Row],[Player 2 Handicap]])*0.25)*0.335,0)</f>
        <v>0</v>
      </c>
      <c r="I47" s="62">
        <f>ROUND(((MergeNamesTable[[#This Row],[Player 1 Handicap]]+MergeNamesTable[[#This Row],[Player 2 Handicap]])*0.5)*0.335,0)</f>
        <v>0</v>
      </c>
      <c r="J47" s="63"/>
      <c r="K47" s="64" t="str">
        <f>IF(OR(MergeNamesTable[[#This Row],[Team Name]]&lt;&gt;"",MergeNamesTable[[#This Row],[Player 1 First Last]]&lt;&gt;""),'Defaults and Lookup Lists'!$B$2,"")</f>
        <v/>
      </c>
      <c r="L47" s="201"/>
      <c r="M47" s="65" t="str">
        <f>IF(OR(MergeNamesTable[[#This Row],[Team Name]]&lt;&gt;"",MergeNamesTable[[#This Row],[Player 1 First Last]]&lt;&gt;""),TEXT('Defaults and Lookup Lists'!$B$7,"ddd, mmm d, yyyy"),"")</f>
        <v/>
      </c>
      <c r="N47" s="311" t="str">
        <f>IF(OR(MergeNamesTable[[#This Row],[Team Name]]&lt;&gt;"",MergeNamesTable[[#This Row],[Player 1 First Last]]&lt;&gt;""),IF('Defaults and Lookup Lists'!$D$3="","",'Defaults and Lookup Lists'!$D$3),"")</f>
        <v/>
      </c>
      <c r="O47" s="247" t="str">
        <f>IF(OR(MergeNamesTable[[#This Row],[Team Name]]&lt;&gt;"",MergeNamesTable[[#This Row],[Player 1 First Last]]&lt;&gt;""),IF('Defaults and Lookup Lists'!$D$4="","",'Defaults and Lookup Lists'!$D$4),"")</f>
        <v/>
      </c>
      <c r="P47" s="247" t="str">
        <f>IF(OR(MergeNamesTable[[#This Row],[Team Name]]&lt;&gt;"",MergeNamesTable[[#This Row],[Player 1 First Last]]&lt;&gt;""),IF('Defaults and Lookup Lists'!$D$2="Shotgun","A",""),"")</f>
        <v/>
      </c>
      <c r="Q47" s="220" t="str">
        <f>IF(OR(MergeNamesTable[[#This Row],[Team Name]]&lt;&gt;"",MergeNamesTable[[#This Row],[Player 1 First Last]]&lt;&gt;""),IF('Defaults and Lookup Lists'!$B$6="","",'Defaults and Lookup Lists'!$B$6),"")</f>
        <v/>
      </c>
      <c r="R47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7" s="312" t="str">
        <f>IF(MergeNamesTable[[#This Row],[Entry Fee Team]]="","",MergeNamesTable[[#This Row],[Entry Fee Team]]-MergeNamesTable[[#This Row],[Entry Fee Paid]])</f>
        <v/>
      </c>
      <c r="T47" s="201"/>
      <c r="U47" s="201"/>
      <c r="V47" s="201"/>
      <c r="W47" s="201" t="str">
        <f>IF(OR(MergeNamesTable[[#This Row],[Team Name]]&lt;&gt;"",MergeNamesTable[[#This Row],[Player 1 First Last]]&lt;&gt;""),'Defaults and Lookup Lists'!$B$3,"")</f>
        <v/>
      </c>
      <c r="X47" s="67" t="str">
        <f>IF(MergeNamesTable[[#This Row],[Tee Markers]]="","",VLOOKUP(MergeNamesTable[[#This Row],[Tee Markers]],TeeMarkerTable,23,FALSE))</f>
        <v/>
      </c>
      <c r="Y47" s="59" t="str">
        <f>UPPER(MergeNamesTable[[#This Row],[Tournament]])</f>
        <v/>
      </c>
      <c r="Z47" s="6" t="str">
        <f>UPPER(MergeNamesTable[[#This Row],[Flight]])</f>
        <v/>
      </c>
      <c r="AA47" s="6" t="str">
        <f>UPPER(MergeNamesTable[[#This Row],[Tee Markers]])</f>
        <v/>
      </c>
      <c r="AB47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7" s="68" t="str">
        <f>IF(MergeNamesTable[[#This Row],[Start Time Day 2]]="","",TEXT(MergeNamesTable[[#This Row],[Start Time Day 2]],"HH:MM AM/PM"))</f>
        <v/>
      </c>
      <c r="AD47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7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7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7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7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7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7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7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7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7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7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7" s="72" t="str">
        <f>TEXT(MergeNamesTable[[#This Row],[Player 1 Handicap]],"##;+##;")</f>
        <v/>
      </c>
      <c r="AP47" s="7" t="str">
        <f>TEXT(MergeNamesTable[[#This Row],[Player 2 Handicap]],"##;+##;")</f>
        <v/>
      </c>
      <c r="AQ47" s="7" t="str">
        <f>TEXT(MergeNamesTable[[#This Row],[Player 3 Handicap]],"##;+##;")</f>
        <v/>
      </c>
      <c r="AR47" s="67" t="str">
        <f>TEXT(MergeNamesTable[[#This Row],[Player 4 Handicap]],"##;+##;")</f>
        <v/>
      </c>
      <c r="AS47" s="131" t="str">
        <f>TEXT(MergeNamesTable[[#This Row],[Player 5 Handicap]],"##;+##;")</f>
        <v/>
      </c>
      <c r="AT47" s="59" t="str">
        <f>UPPER(MergeNamesTable[[#This Row],[Player 1 First Last]])</f>
        <v/>
      </c>
      <c r="AU47" s="6" t="str">
        <f>UPPER(MergeNamesTable[[#This Row],[Player 2 First Last]])</f>
        <v/>
      </c>
      <c r="AV47" s="6" t="str">
        <f>UPPER(MergeNamesTable[[#This Row],[Player 3 First Last]])</f>
        <v/>
      </c>
      <c r="AW47" s="6" t="str">
        <f>UPPER(MergeNamesTable[[#This Row],[Player 4 First Last]])</f>
        <v/>
      </c>
      <c r="AX47" s="344" t="str">
        <f>UPPER(MergeNamesTable[[#This Row],[Player 5 First Last]])</f>
        <v/>
      </c>
      <c r="AY47" s="59" t="str">
        <f>UPPER(MergeNamesTable[[#This Row],[Player 1 First]])</f>
        <v/>
      </c>
      <c r="AZ47" s="6" t="str">
        <f>UPPER(MergeNamesTable[[#This Row],[Player 2 First]])</f>
        <v/>
      </c>
      <c r="BA47" s="6" t="str">
        <f>UPPER(MergeNamesTable[[#This Row],[Player 3 First]])</f>
        <v/>
      </c>
      <c r="BB47" s="6" t="str">
        <f>UPPER(MergeNamesTable[[#This Row],[Player 4 First]])</f>
        <v/>
      </c>
      <c r="BC47" s="344" t="str">
        <f>UPPER(MergeNamesTable[[#This Row],[Player 5 First]])</f>
        <v/>
      </c>
      <c r="BD47" s="59" t="str">
        <f>UPPER(MergeNamesTable[[#This Row],[Player 1 Last]])</f>
        <v/>
      </c>
      <c r="BE47" s="6" t="str">
        <f>UPPER(MergeNamesTable[[#This Row],[Player 2 Last]])</f>
        <v/>
      </c>
      <c r="BF47" s="6" t="str">
        <f>UPPER(MergeNamesTable[[#This Row],[Player 3 Last]])</f>
        <v/>
      </c>
      <c r="BG47" s="6" t="str">
        <f>UPPER(MergeNamesTable[[#This Row],[Player 4 Last]])</f>
        <v/>
      </c>
      <c r="BH47" s="344" t="str">
        <f>UPPER(MergeNamesTable[[#This Row],[Player 5 Last]])</f>
        <v/>
      </c>
      <c r="BI47" s="59" t="str">
        <f>UPPER(MergeNamesTable[[#This Row],[Player 1 Club]])</f>
        <v/>
      </c>
      <c r="BJ47" s="6" t="str">
        <f>UPPER(MergeNamesTable[[#This Row],[Player 2 Club]])</f>
        <v/>
      </c>
      <c r="BK47" s="6" t="str">
        <f>UPPER(MergeNamesTable[[#This Row],[Player 3 Club]])</f>
        <v/>
      </c>
      <c r="BL47" s="6" t="str">
        <f>UPPER(MergeNamesTable[[#This Row],[Player 4 Club]])</f>
        <v/>
      </c>
      <c r="BM47" s="344" t="str">
        <f>UPPER(MergeNamesTable[[#This Row],[Player 5 Club]])</f>
        <v/>
      </c>
      <c r="BN47" s="212"/>
      <c r="BO47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7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7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7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7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7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7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7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7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7" s="70" t="str">
        <f>IF(MergeNamesTable[[#This Row],[Player 1 Tees]]="","",VLOOKUP(MergeNamesTable[[#This Row],[Player 1 Tees]],TeeMarkerTable,23,FALSE))</f>
        <v/>
      </c>
      <c r="BY47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7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7" s="218"/>
      <c r="CB47" s="219"/>
      <c r="CC47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7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7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7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7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7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7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7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7" s="214" t="str">
        <f>IF(MergeNamesTable[[#This Row],[Player 2 Male]]="Female",'Defaults and Lookup Lists'!$B$4,IF(MergeNamesTable[[#This Row],[Tee Markers]]="","",MergeNamesTable[[#This Row],[Tee Markers]]))</f>
        <v/>
      </c>
      <c r="CL47" s="7" t="str">
        <f>IF(MergeNamesTable[[#This Row],[Player 2 Tees]]="","",VLOOKUP(MergeNamesTable[[#This Row],[Player 2 Tees]],TeeMarkerTable,23,FALSE))</f>
        <v/>
      </c>
      <c r="CM47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7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7" s="218"/>
      <c r="CP47" s="219"/>
      <c r="CQ47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7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7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7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7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7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7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7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7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7" s="7" t="str">
        <f>IF(MergeNamesTable[[#This Row],[Player 3 Tees]]="","",VLOOKUP(MergeNamesTable[[#This Row],[Player 3 Tees]],TeeMarkerTable,23,FALSE))</f>
        <v/>
      </c>
      <c r="DA47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7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7" s="218"/>
      <c r="DD47" s="212"/>
      <c r="DE47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7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7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7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7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7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7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7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7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7" s="7" t="str">
        <f>IF(MergeNamesTable[[#This Row],[Player 4 Tees]]="","",VLOOKUP(MergeNamesTable[[#This Row],[Player 4 Tees]],TeeMarkerTable,23,FALSE))</f>
        <v/>
      </c>
      <c r="DO47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7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7" s="225"/>
      <c r="DR47" s="226"/>
      <c r="DS47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7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7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7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7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7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7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7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7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7" s="161" t="str">
        <f>IF(MergeNamesTable[[#This Row],[Player 5 Tees]]="","",VLOOKUP(MergeNamesTable[[#This Row],[Player 5 Tees]],TeeMarkerTable,23,FALSE))</f>
        <v/>
      </c>
      <c r="EC47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7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7" s="230"/>
      <c r="EF47" s="73"/>
      <c r="EG47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7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7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7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7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7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7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7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7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7" s="107"/>
      <c r="EQ47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7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7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7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7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7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7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7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7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7" s="77"/>
      <c r="FA47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7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7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7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7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7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7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7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7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7" s="110"/>
      <c r="FK47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7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7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7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7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7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7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7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7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7" s="77"/>
      <c r="FU47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7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7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7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7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7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7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7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7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7" s="107"/>
      <c r="GE47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7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7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7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7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7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7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7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7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7" s="77"/>
      <c r="GO47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7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7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7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7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7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7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7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7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7" s="79"/>
      <c r="GY47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7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7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7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7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7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7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7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7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7" s="78"/>
      <c r="HI47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7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7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7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7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7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7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7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7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7" s="78"/>
      <c r="HS47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7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7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7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7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7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7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7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7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7" s="78"/>
    </row>
    <row r="48" spans="1:236" ht="21" customHeight="1">
      <c r="A48" s="365">
        <v>47</v>
      </c>
      <c r="B48" s="362" t="str">
        <f>MergeNamesTable[[#This Row],[Team Name Concat]]</f>
        <v/>
      </c>
      <c r="C48" s="59" t="str">
        <f>UPPER(MergeNamesTable[[#This Row],[Team Name]])</f>
        <v/>
      </c>
      <c r="D48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8" s="60" t="str">
        <f>UPPER(MergeNamesTable[[#This Row],[Team Name Concat]])</f>
        <v/>
      </c>
      <c r="F48" s="61">
        <f>MergeNamesTable[[#This Row],[Player 1 Handicap]]+MergeNamesTable[[#This Row],[Player 2 Handicap]]+MergeNamesTable[[#This Row],[Player 3 Handicap]]+MergeNamesTable[[#This Row],[Player 4 Handicap]]</f>
        <v>0</v>
      </c>
      <c r="G48" s="62">
        <f>IF(ISERROR(MergeNamesTable[[#This Row],[Handicap Team Total]]/4),0,ROUND(MergeNamesTable[[#This Row],[Handicap Team Total]]/4,0))</f>
        <v>0</v>
      </c>
      <c r="H48" s="62">
        <f>ROUND(((MergeNamesTable[[#This Row],[Player 1 Handicap]]+MergeNamesTable[[#This Row],[Player 2 Handicap]])*0.25)*0.335,0)</f>
        <v>0</v>
      </c>
      <c r="I48" s="62">
        <f>ROUND(((MergeNamesTable[[#This Row],[Player 1 Handicap]]+MergeNamesTable[[#This Row],[Player 2 Handicap]])*0.5)*0.335,0)</f>
        <v>0</v>
      </c>
      <c r="J48" s="63"/>
      <c r="K48" s="64" t="str">
        <f>IF(OR(MergeNamesTable[[#This Row],[Team Name]]&lt;&gt;"",MergeNamesTable[[#This Row],[Player 1 First Last]]&lt;&gt;""),'Defaults and Lookup Lists'!$B$2,"")</f>
        <v/>
      </c>
      <c r="L48" s="201"/>
      <c r="M48" s="65" t="str">
        <f>IF(OR(MergeNamesTable[[#This Row],[Team Name]]&lt;&gt;"",MergeNamesTable[[#This Row],[Player 1 First Last]]&lt;&gt;""),TEXT('Defaults and Lookup Lists'!$B$7,"ddd, mmm d, yyyy"),"")</f>
        <v/>
      </c>
      <c r="N48" s="311" t="str">
        <f>IF(OR(MergeNamesTable[[#This Row],[Team Name]]&lt;&gt;"",MergeNamesTable[[#This Row],[Player 1 First Last]]&lt;&gt;""),IF('Defaults and Lookup Lists'!$D$3="","",'Defaults and Lookup Lists'!$D$3),"")</f>
        <v/>
      </c>
      <c r="O48" s="247" t="str">
        <f>IF(OR(MergeNamesTable[[#This Row],[Team Name]]&lt;&gt;"",MergeNamesTable[[#This Row],[Player 1 First Last]]&lt;&gt;""),IF('Defaults and Lookup Lists'!$D$4="","",'Defaults and Lookup Lists'!$D$4),"")</f>
        <v/>
      </c>
      <c r="P48" s="247" t="str">
        <f>IF(OR(MergeNamesTable[[#This Row],[Team Name]]&lt;&gt;"",MergeNamesTable[[#This Row],[Player 1 First Last]]&lt;&gt;""),IF('Defaults and Lookup Lists'!$D$2="Shotgun","A",""),"")</f>
        <v/>
      </c>
      <c r="Q48" s="220" t="str">
        <f>IF(OR(MergeNamesTable[[#This Row],[Team Name]]&lt;&gt;"",MergeNamesTable[[#This Row],[Player 1 First Last]]&lt;&gt;""),IF('Defaults and Lookup Lists'!$B$6="","",'Defaults and Lookup Lists'!$B$6),"")</f>
        <v/>
      </c>
      <c r="R48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8" s="312" t="str">
        <f>IF(MergeNamesTable[[#This Row],[Entry Fee Team]]="","",MergeNamesTable[[#This Row],[Entry Fee Team]]-MergeNamesTable[[#This Row],[Entry Fee Paid]])</f>
        <v/>
      </c>
      <c r="T48" s="201"/>
      <c r="U48" s="201"/>
      <c r="V48" s="201"/>
      <c r="W48" s="201" t="str">
        <f>IF(OR(MergeNamesTable[[#This Row],[Team Name]]&lt;&gt;"",MergeNamesTable[[#This Row],[Player 1 First Last]]&lt;&gt;""),'Defaults and Lookup Lists'!$B$3,"")</f>
        <v/>
      </c>
      <c r="X48" s="67" t="str">
        <f>IF(MergeNamesTable[[#This Row],[Tee Markers]]="","",VLOOKUP(MergeNamesTable[[#This Row],[Tee Markers]],TeeMarkerTable,23,FALSE))</f>
        <v/>
      </c>
      <c r="Y48" s="59" t="str">
        <f>UPPER(MergeNamesTable[[#This Row],[Tournament]])</f>
        <v/>
      </c>
      <c r="Z48" s="6" t="str">
        <f>UPPER(MergeNamesTable[[#This Row],[Flight]])</f>
        <v/>
      </c>
      <c r="AA48" s="6" t="str">
        <f>UPPER(MergeNamesTable[[#This Row],[Tee Markers]])</f>
        <v/>
      </c>
      <c r="AB48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8" s="68" t="str">
        <f>IF(MergeNamesTable[[#This Row],[Start Time Day 2]]="","",TEXT(MergeNamesTable[[#This Row],[Start Time Day 2]],"HH:MM AM/PM"))</f>
        <v/>
      </c>
      <c r="AD48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8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8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8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8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8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8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8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8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8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8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8" s="72" t="str">
        <f>TEXT(MergeNamesTable[[#This Row],[Player 1 Handicap]],"##;+##;")</f>
        <v/>
      </c>
      <c r="AP48" s="7" t="str">
        <f>TEXT(MergeNamesTable[[#This Row],[Player 2 Handicap]],"##;+##;")</f>
        <v/>
      </c>
      <c r="AQ48" s="7" t="str">
        <f>TEXT(MergeNamesTable[[#This Row],[Player 3 Handicap]],"##;+##;")</f>
        <v/>
      </c>
      <c r="AR48" s="67" t="str">
        <f>TEXT(MergeNamesTable[[#This Row],[Player 4 Handicap]],"##;+##;")</f>
        <v/>
      </c>
      <c r="AS48" s="131" t="str">
        <f>TEXT(MergeNamesTable[[#This Row],[Player 5 Handicap]],"##;+##;")</f>
        <v/>
      </c>
      <c r="AT48" s="59" t="str">
        <f>UPPER(MergeNamesTable[[#This Row],[Player 1 First Last]])</f>
        <v/>
      </c>
      <c r="AU48" s="6" t="str">
        <f>UPPER(MergeNamesTable[[#This Row],[Player 2 First Last]])</f>
        <v/>
      </c>
      <c r="AV48" s="6" t="str">
        <f>UPPER(MergeNamesTable[[#This Row],[Player 3 First Last]])</f>
        <v/>
      </c>
      <c r="AW48" s="6" t="str">
        <f>UPPER(MergeNamesTable[[#This Row],[Player 4 First Last]])</f>
        <v/>
      </c>
      <c r="AX48" s="344" t="str">
        <f>UPPER(MergeNamesTable[[#This Row],[Player 5 First Last]])</f>
        <v/>
      </c>
      <c r="AY48" s="59" t="str">
        <f>UPPER(MergeNamesTable[[#This Row],[Player 1 First]])</f>
        <v/>
      </c>
      <c r="AZ48" s="6" t="str">
        <f>UPPER(MergeNamesTable[[#This Row],[Player 2 First]])</f>
        <v/>
      </c>
      <c r="BA48" s="6" t="str">
        <f>UPPER(MergeNamesTable[[#This Row],[Player 3 First]])</f>
        <v/>
      </c>
      <c r="BB48" s="6" t="str">
        <f>UPPER(MergeNamesTable[[#This Row],[Player 4 First]])</f>
        <v/>
      </c>
      <c r="BC48" s="344" t="str">
        <f>UPPER(MergeNamesTable[[#This Row],[Player 5 First]])</f>
        <v/>
      </c>
      <c r="BD48" s="59" t="str">
        <f>UPPER(MergeNamesTable[[#This Row],[Player 1 Last]])</f>
        <v/>
      </c>
      <c r="BE48" s="6" t="str">
        <f>UPPER(MergeNamesTable[[#This Row],[Player 2 Last]])</f>
        <v/>
      </c>
      <c r="BF48" s="6" t="str">
        <f>UPPER(MergeNamesTable[[#This Row],[Player 3 Last]])</f>
        <v/>
      </c>
      <c r="BG48" s="6" t="str">
        <f>UPPER(MergeNamesTable[[#This Row],[Player 4 Last]])</f>
        <v/>
      </c>
      <c r="BH48" s="344" t="str">
        <f>UPPER(MergeNamesTable[[#This Row],[Player 5 Last]])</f>
        <v/>
      </c>
      <c r="BI48" s="59" t="str">
        <f>UPPER(MergeNamesTable[[#This Row],[Player 1 Club]])</f>
        <v/>
      </c>
      <c r="BJ48" s="6" t="str">
        <f>UPPER(MergeNamesTable[[#This Row],[Player 2 Club]])</f>
        <v/>
      </c>
      <c r="BK48" s="6" t="str">
        <f>UPPER(MergeNamesTable[[#This Row],[Player 3 Club]])</f>
        <v/>
      </c>
      <c r="BL48" s="6" t="str">
        <f>UPPER(MergeNamesTable[[#This Row],[Player 4 Club]])</f>
        <v/>
      </c>
      <c r="BM48" s="344" t="str">
        <f>UPPER(MergeNamesTable[[#This Row],[Player 5 Club]])</f>
        <v/>
      </c>
      <c r="BN48" s="212"/>
      <c r="BO48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8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8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8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8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8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8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8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8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8" s="70" t="str">
        <f>IF(MergeNamesTable[[#This Row],[Player 1 Tees]]="","",VLOOKUP(MergeNamesTable[[#This Row],[Player 1 Tees]],TeeMarkerTable,23,FALSE))</f>
        <v/>
      </c>
      <c r="BY48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8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8" s="218"/>
      <c r="CB48" s="219"/>
      <c r="CC48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8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8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8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8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8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8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8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8" s="214" t="str">
        <f>IF(MergeNamesTable[[#This Row],[Player 2 Male]]="Female",'Defaults and Lookup Lists'!$B$4,IF(MergeNamesTable[[#This Row],[Tee Markers]]="","",MergeNamesTable[[#This Row],[Tee Markers]]))</f>
        <v/>
      </c>
      <c r="CL48" s="7" t="str">
        <f>IF(MergeNamesTable[[#This Row],[Player 2 Tees]]="","",VLOOKUP(MergeNamesTable[[#This Row],[Player 2 Tees]],TeeMarkerTable,23,FALSE))</f>
        <v/>
      </c>
      <c r="CM48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8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8" s="218"/>
      <c r="CP48" s="219"/>
      <c r="CQ48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8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8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8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8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8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8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8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8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8" s="7" t="str">
        <f>IF(MergeNamesTable[[#This Row],[Player 3 Tees]]="","",VLOOKUP(MergeNamesTable[[#This Row],[Player 3 Tees]],TeeMarkerTable,23,FALSE))</f>
        <v/>
      </c>
      <c r="DA48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8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8" s="218"/>
      <c r="DD48" s="212"/>
      <c r="DE48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8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8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8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8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8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8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8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8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8" s="7" t="str">
        <f>IF(MergeNamesTable[[#This Row],[Player 4 Tees]]="","",VLOOKUP(MergeNamesTable[[#This Row],[Player 4 Tees]],TeeMarkerTable,23,FALSE))</f>
        <v/>
      </c>
      <c r="DO48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8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8" s="225"/>
      <c r="DR48" s="226"/>
      <c r="DS48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8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8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8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8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8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8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8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8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8" s="161" t="str">
        <f>IF(MergeNamesTable[[#This Row],[Player 5 Tees]]="","",VLOOKUP(MergeNamesTable[[#This Row],[Player 5 Tees]],TeeMarkerTable,23,FALSE))</f>
        <v/>
      </c>
      <c r="EC48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8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8" s="230"/>
      <c r="EF48" s="73"/>
      <c r="EG48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8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8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8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8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8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8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8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8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8" s="107"/>
      <c r="EQ48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8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8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8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8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8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8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8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8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8" s="77"/>
      <c r="FA48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8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8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8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8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8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8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8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8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8" s="110"/>
      <c r="FK48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8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8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8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8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8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8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8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8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8" s="77"/>
      <c r="FU48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8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8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8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8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8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8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8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8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8" s="107"/>
      <c r="GE48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8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8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8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8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8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8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8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8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8" s="77"/>
      <c r="GO48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8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8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8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8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8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8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8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8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8" s="79"/>
      <c r="GY48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8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8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8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8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8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8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8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8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8" s="78"/>
      <c r="HI48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8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8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8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8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8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8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8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8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8" s="78"/>
      <c r="HS48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8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8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8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8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8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8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8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8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8" s="78"/>
    </row>
    <row r="49" spans="1:236" ht="21" customHeight="1">
      <c r="A49" s="365">
        <v>48</v>
      </c>
      <c r="B49" s="362" t="str">
        <f>MergeNamesTable[[#This Row],[Team Name Concat]]</f>
        <v/>
      </c>
      <c r="C49" s="59" t="str">
        <f>UPPER(MergeNamesTable[[#This Row],[Team Name]])</f>
        <v/>
      </c>
      <c r="D49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49" s="60" t="str">
        <f>UPPER(MergeNamesTable[[#This Row],[Team Name Concat]])</f>
        <v/>
      </c>
      <c r="F49" s="61">
        <f>MergeNamesTable[[#This Row],[Player 1 Handicap]]+MergeNamesTable[[#This Row],[Player 2 Handicap]]+MergeNamesTable[[#This Row],[Player 3 Handicap]]+MergeNamesTable[[#This Row],[Player 4 Handicap]]</f>
        <v>0</v>
      </c>
      <c r="G49" s="62">
        <f>IF(ISERROR(MergeNamesTable[[#This Row],[Handicap Team Total]]/4),0,ROUND(MergeNamesTable[[#This Row],[Handicap Team Total]]/4,0))</f>
        <v>0</v>
      </c>
      <c r="H49" s="62">
        <f>ROUND(((MergeNamesTable[[#This Row],[Player 1 Handicap]]+MergeNamesTable[[#This Row],[Player 2 Handicap]])*0.25)*0.335,0)</f>
        <v>0</v>
      </c>
      <c r="I49" s="62">
        <f>ROUND(((MergeNamesTable[[#This Row],[Player 1 Handicap]]+MergeNamesTable[[#This Row],[Player 2 Handicap]])*0.5)*0.335,0)</f>
        <v>0</v>
      </c>
      <c r="J49" s="63"/>
      <c r="K49" s="64" t="str">
        <f>IF(OR(MergeNamesTable[[#This Row],[Team Name]]&lt;&gt;"",MergeNamesTable[[#This Row],[Player 1 First Last]]&lt;&gt;""),'Defaults and Lookup Lists'!$B$2,"")</f>
        <v/>
      </c>
      <c r="L49" s="201"/>
      <c r="M49" s="65" t="str">
        <f>IF(OR(MergeNamesTable[[#This Row],[Team Name]]&lt;&gt;"",MergeNamesTable[[#This Row],[Player 1 First Last]]&lt;&gt;""),TEXT('Defaults and Lookup Lists'!$B$7,"ddd, mmm d, yyyy"),"")</f>
        <v/>
      </c>
      <c r="N49" s="311" t="str">
        <f>IF(OR(MergeNamesTable[[#This Row],[Team Name]]&lt;&gt;"",MergeNamesTable[[#This Row],[Player 1 First Last]]&lt;&gt;""),IF('Defaults and Lookup Lists'!$D$3="","",'Defaults and Lookup Lists'!$D$3),"")</f>
        <v/>
      </c>
      <c r="O49" s="247" t="str">
        <f>IF(OR(MergeNamesTable[[#This Row],[Team Name]]&lt;&gt;"",MergeNamesTable[[#This Row],[Player 1 First Last]]&lt;&gt;""),IF('Defaults and Lookup Lists'!$D$4="","",'Defaults and Lookup Lists'!$D$4),"")</f>
        <v/>
      </c>
      <c r="P49" s="247" t="str">
        <f>IF(OR(MergeNamesTable[[#This Row],[Team Name]]&lt;&gt;"",MergeNamesTable[[#This Row],[Player 1 First Last]]&lt;&gt;""),IF('Defaults and Lookup Lists'!$D$2="Shotgun","A",""),"")</f>
        <v/>
      </c>
      <c r="Q49" s="220" t="str">
        <f>IF(OR(MergeNamesTable[[#This Row],[Team Name]]&lt;&gt;"",MergeNamesTable[[#This Row],[Player 1 First Last]]&lt;&gt;""),IF('Defaults and Lookup Lists'!$B$6="","",'Defaults and Lookup Lists'!$B$6),"")</f>
        <v/>
      </c>
      <c r="R49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49" s="312" t="str">
        <f>IF(MergeNamesTable[[#This Row],[Entry Fee Team]]="","",MergeNamesTable[[#This Row],[Entry Fee Team]]-MergeNamesTable[[#This Row],[Entry Fee Paid]])</f>
        <v/>
      </c>
      <c r="T49" s="201"/>
      <c r="U49" s="201"/>
      <c r="V49" s="201"/>
      <c r="W49" s="201" t="str">
        <f>IF(OR(MergeNamesTable[[#This Row],[Team Name]]&lt;&gt;"",MergeNamesTable[[#This Row],[Player 1 First Last]]&lt;&gt;""),'Defaults and Lookup Lists'!$B$3,"")</f>
        <v/>
      </c>
      <c r="X49" s="67" t="str">
        <f>IF(MergeNamesTable[[#This Row],[Tee Markers]]="","",VLOOKUP(MergeNamesTable[[#This Row],[Tee Markers]],TeeMarkerTable,23,FALSE))</f>
        <v/>
      </c>
      <c r="Y49" s="59" t="str">
        <f>UPPER(MergeNamesTable[[#This Row],[Tournament]])</f>
        <v/>
      </c>
      <c r="Z49" s="6" t="str">
        <f>UPPER(MergeNamesTable[[#This Row],[Flight]])</f>
        <v/>
      </c>
      <c r="AA49" s="6" t="str">
        <f>UPPER(MergeNamesTable[[#This Row],[Tee Markers]])</f>
        <v/>
      </c>
      <c r="AB49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49" s="68" t="str">
        <f>IF(MergeNamesTable[[#This Row],[Start Time Day 2]]="","",TEXT(MergeNamesTable[[#This Row],[Start Time Day 2]],"HH:MM AM/PM"))</f>
        <v/>
      </c>
      <c r="AD49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49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49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49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49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49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49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49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49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49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49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49" s="72" t="str">
        <f>TEXT(MergeNamesTable[[#This Row],[Player 1 Handicap]],"##;+##;")</f>
        <v/>
      </c>
      <c r="AP49" s="7" t="str">
        <f>TEXT(MergeNamesTable[[#This Row],[Player 2 Handicap]],"##;+##;")</f>
        <v/>
      </c>
      <c r="AQ49" s="7" t="str">
        <f>TEXT(MergeNamesTable[[#This Row],[Player 3 Handicap]],"##;+##;")</f>
        <v/>
      </c>
      <c r="AR49" s="67" t="str">
        <f>TEXT(MergeNamesTable[[#This Row],[Player 4 Handicap]],"##;+##;")</f>
        <v/>
      </c>
      <c r="AS49" s="131" t="str">
        <f>TEXT(MergeNamesTable[[#This Row],[Player 5 Handicap]],"##;+##;")</f>
        <v/>
      </c>
      <c r="AT49" s="59" t="str">
        <f>UPPER(MergeNamesTable[[#This Row],[Player 1 First Last]])</f>
        <v/>
      </c>
      <c r="AU49" s="6" t="str">
        <f>UPPER(MergeNamesTable[[#This Row],[Player 2 First Last]])</f>
        <v/>
      </c>
      <c r="AV49" s="6" t="str">
        <f>UPPER(MergeNamesTable[[#This Row],[Player 3 First Last]])</f>
        <v/>
      </c>
      <c r="AW49" s="6" t="str">
        <f>UPPER(MergeNamesTable[[#This Row],[Player 4 First Last]])</f>
        <v/>
      </c>
      <c r="AX49" s="344" t="str">
        <f>UPPER(MergeNamesTable[[#This Row],[Player 5 First Last]])</f>
        <v/>
      </c>
      <c r="AY49" s="59" t="str">
        <f>UPPER(MergeNamesTable[[#This Row],[Player 1 First]])</f>
        <v/>
      </c>
      <c r="AZ49" s="6" t="str">
        <f>UPPER(MergeNamesTable[[#This Row],[Player 2 First]])</f>
        <v/>
      </c>
      <c r="BA49" s="6" t="str">
        <f>UPPER(MergeNamesTable[[#This Row],[Player 3 First]])</f>
        <v/>
      </c>
      <c r="BB49" s="6" t="str">
        <f>UPPER(MergeNamesTable[[#This Row],[Player 4 First]])</f>
        <v/>
      </c>
      <c r="BC49" s="344" t="str">
        <f>UPPER(MergeNamesTable[[#This Row],[Player 5 First]])</f>
        <v/>
      </c>
      <c r="BD49" s="59" t="str">
        <f>UPPER(MergeNamesTable[[#This Row],[Player 1 Last]])</f>
        <v/>
      </c>
      <c r="BE49" s="6" t="str">
        <f>UPPER(MergeNamesTable[[#This Row],[Player 2 Last]])</f>
        <v/>
      </c>
      <c r="BF49" s="6" t="str">
        <f>UPPER(MergeNamesTable[[#This Row],[Player 3 Last]])</f>
        <v/>
      </c>
      <c r="BG49" s="6" t="str">
        <f>UPPER(MergeNamesTable[[#This Row],[Player 4 Last]])</f>
        <v/>
      </c>
      <c r="BH49" s="344" t="str">
        <f>UPPER(MergeNamesTable[[#This Row],[Player 5 Last]])</f>
        <v/>
      </c>
      <c r="BI49" s="59" t="str">
        <f>UPPER(MergeNamesTable[[#This Row],[Player 1 Club]])</f>
        <v/>
      </c>
      <c r="BJ49" s="6" t="str">
        <f>UPPER(MergeNamesTable[[#This Row],[Player 2 Club]])</f>
        <v/>
      </c>
      <c r="BK49" s="6" t="str">
        <f>UPPER(MergeNamesTable[[#This Row],[Player 3 Club]])</f>
        <v/>
      </c>
      <c r="BL49" s="6" t="str">
        <f>UPPER(MergeNamesTable[[#This Row],[Player 4 Club]])</f>
        <v/>
      </c>
      <c r="BM49" s="344" t="str">
        <f>UPPER(MergeNamesTable[[#This Row],[Player 5 Club]])</f>
        <v/>
      </c>
      <c r="BN49" s="212"/>
      <c r="BO49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49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49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49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49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49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49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49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49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49" s="70" t="str">
        <f>IF(MergeNamesTable[[#This Row],[Player 1 Tees]]="","",VLOOKUP(MergeNamesTable[[#This Row],[Player 1 Tees]],TeeMarkerTable,23,FALSE))</f>
        <v/>
      </c>
      <c r="BY49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49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49" s="218"/>
      <c r="CB49" s="219"/>
      <c r="CC49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49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49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49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49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49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49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49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49" s="214" t="str">
        <f>IF(MergeNamesTable[[#This Row],[Player 2 Male]]="Female",'Defaults and Lookup Lists'!$B$4,IF(MergeNamesTable[[#This Row],[Tee Markers]]="","",MergeNamesTable[[#This Row],[Tee Markers]]))</f>
        <v/>
      </c>
      <c r="CL49" s="7" t="str">
        <f>IF(MergeNamesTable[[#This Row],[Player 2 Tees]]="","",VLOOKUP(MergeNamesTable[[#This Row],[Player 2 Tees]],TeeMarkerTable,23,FALSE))</f>
        <v/>
      </c>
      <c r="CM49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49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49" s="218"/>
      <c r="CP49" s="219"/>
      <c r="CQ49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49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49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49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49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49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49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49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49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49" s="7" t="str">
        <f>IF(MergeNamesTable[[#This Row],[Player 3 Tees]]="","",VLOOKUP(MergeNamesTable[[#This Row],[Player 3 Tees]],TeeMarkerTable,23,FALSE))</f>
        <v/>
      </c>
      <c r="DA49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49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49" s="218"/>
      <c r="DD49" s="212"/>
      <c r="DE49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49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49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49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49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49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49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49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49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49" s="7" t="str">
        <f>IF(MergeNamesTable[[#This Row],[Player 4 Tees]]="","",VLOOKUP(MergeNamesTable[[#This Row],[Player 4 Tees]],TeeMarkerTable,23,FALSE))</f>
        <v/>
      </c>
      <c r="DO49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49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49" s="225"/>
      <c r="DR49" s="226"/>
      <c r="DS49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49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49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49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49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49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49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49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49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49" s="161" t="str">
        <f>IF(MergeNamesTable[[#This Row],[Player 5 Tees]]="","",VLOOKUP(MergeNamesTable[[#This Row],[Player 5 Tees]],TeeMarkerTable,23,FALSE))</f>
        <v/>
      </c>
      <c r="EC49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49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49" s="230"/>
      <c r="EF49" s="73"/>
      <c r="EG49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49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49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49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49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49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49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49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49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49" s="107"/>
      <c r="EQ49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49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49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49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49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49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49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49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49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49" s="77"/>
      <c r="FA49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49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49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49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49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49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49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49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49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49" s="110"/>
      <c r="FK49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49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49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49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49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49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49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49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49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49" s="77"/>
      <c r="FU49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49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49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49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49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49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49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49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49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49" s="107"/>
      <c r="GE49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49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49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49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49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49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49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49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49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49" s="77"/>
      <c r="GO49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49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49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49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49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49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49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49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49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49" s="79"/>
      <c r="GY49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49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49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49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49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49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49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49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49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49" s="78"/>
      <c r="HI49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49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49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49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49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49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49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49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49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49" s="78"/>
      <c r="HS49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49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49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49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49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49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49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49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49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49" s="78"/>
    </row>
    <row r="50" spans="1:236" ht="21" customHeight="1">
      <c r="A50" s="365">
        <v>49</v>
      </c>
      <c r="B50" s="362" t="str">
        <f>MergeNamesTable[[#This Row],[Team Name Concat]]</f>
        <v/>
      </c>
      <c r="C50" s="59" t="str">
        <f>UPPER(MergeNamesTable[[#This Row],[Team Name]])</f>
        <v/>
      </c>
      <c r="D50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50" s="60" t="str">
        <f>UPPER(MergeNamesTable[[#This Row],[Team Name Concat]])</f>
        <v/>
      </c>
      <c r="F50" s="61">
        <f>MergeNamesTable[[#This Row],[Player 1 Handicap]]+MergeNamesTable[[#This Row],[Player 2 Handicap]]+MergeNamesTable[[#This Row],[Player 3 Handicap]]+MergeNamesTable[[#This Row],[Player 4 Handicap]]</f>
        <v>0</v>
      </c>
      <c r="G50" s="62">
        <f>IF(ISERROR(MergeNamesTable[[#This Row],[Handicap Team Total]]/4),0,ROUND(MergeNamesTable[[#This Row],[Handicap Team Total]]/4,0))</f>
        <v>0</v>
      </c>
      <c r="H50" s="62">
        <f>ROUND(((MergeNamesTable[[#This Row],[Player 1 Handicap]]+MergeNamesTable[[#This Row],[Player 2 Handicap]])*0.25)*0.335,0)</f>
        <v>0</v>
      </c>
      <c r="I50" s="62">
        <f>ROUND(((MergeNamesTable[[#This Row],[Player 1 Handicap]]+MergeNamesTable[[#This Row],[Player 2 Handicap]])*0.5)*0.335,0)</f>
        <v>0</v>
      </c>
      <c r="J50" s="63"/>
      <c r="K50" s="64" t="str">
        <f>IF(OR(MergeNamesTable[[#This Row],[Team Name]]&lt;&gt;"",MergeNamesTable[[#This Row],[Player 1 First Last]]&lt;&gt;""),'Defaults and Lookup Lists'!$B$2,"")</f>
        <v/>
      </c>
      <c r="L50" s="201"/>
      <c r="M50" s="65" t="str">
        <f>IF(OR(MergeNamesTable[[#This Row],[Team Name]]&lt;&gt;"",MergeNamesTable[[#This Row],[Player 1 First Last]]&lt;&gt;""),TEXT('Defaults and Lookup Lists'!$B$7,"ddd, mmm d, yyyy"),"")</f>
        <v/>
      </c>
      <c r="N50" s="311" t="str">
        <f>IF(OR(MergeNamesTable[[#This Row],[Team Name]]&lt;&gt;"",MergeNamesTable[[#This Row],[Player 1 First Last]]&lt;&gt;""),IF('Defaults and Lookup Lists'!$D$3="","",'Defaults and Lookup Lists'!$D$3),"")</f>
        <v/>
      </c>
      <c r="O50" s="247" t="str">
        <f>IF(OR(MergeNamesTable[[#This Row],[Team Name]]&lt;&gt;"",MergeNamesTable[[#This Row],[Player 1 First Last]]&lt;&gt;""),IF('Defaults and Lookup Lists'!$D$4="","",'Defaults and Lookup Lists'!$D$4),"")</f>
        <v/>
      </c>
      <c r="P50" s="247" t="str">
        <f>IF(OR(MergeNamesTable[[#This Row],[Team Name]]&lt;&gt;"",MergeNamesTable[[#This Row],[Player 1 First Last]]&lt;&gt;""),IF('Defaults and Lookup Lists'!$D$2="Shotgun","A",""),"")</f>
        <v/>
      </c>
      <c r="Q50" s="220" t="str">
        <f>IF(OR(MergeNamesTable[[#This Row],[Team Name]]&lt;&gt;"",MergeNamesTable[[#This Row],[Player 1 First Last]]&lt;&gt;""),IF('Defaults and Lookup Lists'!$B$6="","",'Defaults and Lookup Lists'!$B$6),"")</f>
        <v/>
      </c>
      <c r="R50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50" s="312" t="str">
        <f>IF(MergeNamesTable[[#This Row],[Entry Fee Team]]="","",MergeNamesTable[[#This Row],[Entry Fee Team]]-MergeNamesTable[[#This Row],[Entry Fee Paid]])</f>
        <v/>
      </c>
      <c r="T50" s="201"/>
      <c r="U50" s="201"/>
      <c r="V50" s="201"/>
      <c r="W50" s="201" t="str">
        <f>IF(OR(MergeNamesTable[[#This Row],[Team Name]]&lt;&gt;"",MergeNamesTable[[#This Row],[Player 1 First Last]]&lt;&gt;""),'Defaults and Lookup Lists'!$B$3,"")</f>
        <v/>
      </c>
      <c r="X50" s="67" t="str">
        <f>IF(MergeNamesTable[[#This Row],[Tee Markers]]="","",VLOOKUP(MergeNamesTable[[#This Row],[Tee Markers]],TeeMarkerTable,23,FALSE))</f>
        <v/>
      </c>
      <c r="Y50" s="59" t="str">
        <f>UPPER(MergeNamesTable[[#This Row],[Tournament]])</f>
        <v/>
      </c>
      <c r="Z50" s="6" t="str">
        <f>UPPER(MergeNamesTable[[#This Row],[Flight]])</f>
        <v/>
      </c>
      <c r="AA50" s="6" t="str">
        <f>UPPER(MergeNamesTable[[#This Row],[Tee Markers]])</f>
        <v/>
      </c>
      <c r="AB50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50" s="68" t="str">
        <f>IF(MergeNamesTable[[#This Row],[Start Time Day 2]]="","",TEXT(MergeNamesTable[[#This Row],[Start Time Day 2]],"HH:MM AM/PM"))</f>
        <v/>
      </c>
      <c r="AD50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50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50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50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50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50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50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50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50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50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50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50" s="72" t="str">
        <f>TEXT(MergeNamesTable[[#This Row],[Player 1 Handicap]],"##;+##;")</f>
        <v/>
      </c>
      <c r="AP50" s="7" t="str">
        <f>TEXT(MergeNamesTable[[#This Row],[Player 2 Handicap]],"##;+##;")</f>
        <v/>
      </c>
      <c r="AQ50" s="7" t="str">
        <f>TEXT(MergeNamesTable[[#This Row],[Player 3 Handicap]],"##;+##;")</f>
        <v/>
      </c>
      <c r="AR50" s="67" t="str">
        <f>TEXT(MergeNamesTable[[#This Row],[Player 4 Handicap]],"##;+##;")</f>
        <v/>
      </c>
      <c r="AS50" s="131" t="str">
        <f>TEXT(MergeNamesTable[[#This Row],[Player 5 Handicap]],"##;+##;")</f>
        <v/>
      </c>
      <c r="AT50" s="59" t="str">
        <f>UPPER(MergeNamesTable[[#This Row],[Player 1 First Last]])</f>
        <v/>
      </c>
      <c r="AU50" s="6" t="str">
        <f>UPPER(MergeNamesTable[[#This Row],[Player 2 First Last]])</f>
        <v/>
      </c>
      <c r="AV50" s="6" t="str">
        <f>UPPER(MergeNamesTable[[#This Row],[Player 3 First Last]])</f>
        <v/>
      </c>
      <c r="AW50" s="6" t="str">
        <f>UPPER(MergeNamesTable[[#This Row],[Player 4 First Last]])</f>
        <v/>
      </c>
      <c r="AX50" s="344" t="str">
        <f>UPPER(MergeNamesTable[[#This Row],[Player 5 First Last]])</f>
        <v/>
      </c>
      <c r="AY50" s="59" t="str">
        <f>UPPER(MergeNamesTable[[#This Row],[Player 1 First]])</f>
        <v/>
      </c>
      <c r="AZ50" s="6" t="str">
        <f>UPPER(MergeNamesTable[[#This Row],[Player 2 First]])</f>
        <v/>
      </c>
      <c r="BA50" s="6" t="str">
        <f>UPPER(MergeNamesTable[[#This Row],[Player 3 First]])</f>
        <v/>
      </c>
      <c r="BB50" s="6" t="str">
        <f>UPPER(MergeNamesTable[[#This Row],[Player 4 First]])</f>
        <v/>
      </c>
      <c r="BC50" s="344" t="str">
        <f>UPPER(MergeNamesTable[[#This Row],[Player 5 First]])</f>
        <v/>
      </c>
      <c r="BD50" s="59" t="str">
        <f>UPPER(MergeNamesTable[[#This Row],[Player 1 Last]])</f>
        <v/>
      </c>
      <c r="BE50" s="6" t="str">
        <f>UPPER(MergeNamesTable[[#This Row],[Player 2 Last]])</f>
        <v/>
      </c>
      <c r="BF50" s="6" t="str">
        <f>UPPER(MergeNamesTable[[#This Row],[Player 3 Last]])</f>
        <v/>
      </c>
      <c r="BG50" s="6" t="str">
        <f>UPPER(MergeNamesTable[[#This Row],[Player 4 Last]])</f>
        <v/>
      </c>
      <c r="BH50" s="344" t="str">
        <f>UPPER(MergeNamesTable[[#This Row],[Player 5 Last]])</f>
        <v/>
      </c>
      <c r="BI50" s="59" t="str">
        <f>UPPER(MergeNamesTable[[#This Row],[Player 1 Club]])</f>
        <v/>
      </c>
      <c r="BJ50" s="6" t="str">
        <f>UPPER(MergeNamesTable[[#This Row],[Player 2 Club]])</f>
        <v/>
      </c>
      <c r="BK50" s="6" t="str">
        <f>UPPER(MergeNamesTable[[#This Row],[Player 3 Club]])</f>
        <v/>
      </c>
      <c r="BL50" s="6" t="str">
        <f>UPPER(MergeNamesTable[[#This Row],[Player 4 Club]])</f>
        <v/>
      </c>
      <c r="BM50" s="344" t="str">
        <f>UPPER(MergeNamesTable[[#This Row],[Player 5 Club]])</f>
        <v/>
      </c>
      <c r="BN50" s="212"/>
      <c r="BO50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50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50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50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50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50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50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50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50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50" s="70" t="str">
        <f>IF(MergeNamesTable[[#This Row],[Player 1 Tees]]="","",VLOOKUP(MergeNamesTable[[#This Row],[Player 1 Tees]],TeeMarkerTable,23,FALSE))</f>
        <v/>
      </c>
      <c r="BY50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50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50" s="218"/>
      <c r="CB50" s="219"/>
      <c r="CC50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50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50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50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50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50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50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50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50" s="214" t="str">
        <f>IF(MergeNamesTable[[#This Row],[Player 2 Male]]="Female",'Defaults and Lookup Lists'!$B$4,IF(MergeNamesTable[[#This Row],[Tee Markers]]="","",MergeNamesTable[[#This Row],[Tee Markers]]))</f>
        <v/>
      </c>
      <c r="CL50" s="7" t="str">
        <f>IF(MergeNamesTable[[#This Row],[Player 2 Tees]]="","",VLOOKUP(MergeNamesTable[[#This Row],[Player 2 Tees]],TeeMarkerTable,23,FALSE))</f>
        <v/>
      </c>
      <c r="CM50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50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50" s="218"/>
      <c r="CP50" s="219"/>
      <c r="CQ50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50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50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50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50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50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50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50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50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50" s="7" t="str">
        <f>IF(MergeNamesTable[[#This Row],[Player 3 Tees]]="","",VLOOKUP(MergeNamesTable[[#This Row],[Player 3 Tees]],TeeMarkerTable,23,FALSE))</f>
        <v/>
      </c>
      <c r="DA50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50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50" s="218"/>
      <c r="DD50" s="212"/>
      <c r="DE50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50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50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50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50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50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50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50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50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50" s="7" t="str">
        <f>IF(MergeNamesTable[[#This Row],[Player 4 Tees]]="","",VLOOKUP(MergeNamesTable[[#This Row],[Player 4 Tees]],TeeMarkerTable,23,FALSE))</f>
        <v/>
      </c>
      <c r="DO50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50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50" s="225"/>
      <c r="DR50" s="226"/>
      <c r="DS50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50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50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50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50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50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50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50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50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50" s="161" t="str">
        <f>IF(MergeNamesTable[[#This Row],[Player 5 Tees]]="","",VLOOKUP(MergeNamesTable[[#This Row],[Player 5 Tees]],TeeMarkerTable,23,FALSE))</f>
        <v/>
      </c>
      <c r="EC50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50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50" s="230"/>
      <c r="EF50" s="73"/>
      <c r="EG50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50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50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50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50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50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50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50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50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50" s="107"/>
      <c r="EQ50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50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50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50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50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50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50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50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50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50" s="77"/>
      <c r="FA50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50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50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50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50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50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50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50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50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50" s="110"/>
      <c r="FK50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50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50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50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50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50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50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50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50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50" s="77"/>
      <c r="FU50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50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50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50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50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50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50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50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50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50" s="107"/>
      <c r="GE50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50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50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50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50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50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50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50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50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50" s="77"/>
      <c r="GO50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50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50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50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50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50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50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50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50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50" s="79"/>
      <c r="GY50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50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50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50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50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50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50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50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50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50" s="78"/>
      <c r="HI50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50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50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50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50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50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50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50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50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50" s="78"/>
      <c r="HS50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50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50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50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50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50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50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50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50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50" s="78"/>
    </row>
    <row r="51" spans="1:236" ht="21" customHeight="1">
      <c r="A51" s="365">
        <v>50</v>
      </c>
      <c r="B51" s="362" t="str">
        <f>MergeNamesTable[[#This Row],[Team Name Concat]]</f>
        <v/>
      </c>
      <c r="C51" s="59" t="str">
        <f>UPPER(MergeNamesTable[[#This Row],[Team Name]])</f>
        <v/>
      </c>
      <c r="D51" s="6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51" s="60" t="str">
        <f>UPPER(MergeNamesTable[[#This Row],[Team Name Concat]])</f>
        <v/>
      </c>
      <c r="F51" s="61">
        <f>MergeNamesTable[[#This Row],[Player 1 Handicap]]+MergeNamesTable[[#This Row],[Player 2 Handicap]]+MergeNamesTable[[#This Row],[Player 3 Handicap]]+MergeNamesTable[[#This Row],[Player 4 Handicap]]</f>
        <v>0</v>
      </c>
      <c r="G51" s="62">
        <f>IF(ISERROR(MergeNamesTable[[#This Row],[Handicap Team Total]]/4),0,ROUND(MergeNamesTable[[#This Row],[Handicap Team Total]]/4,0))</f>
        <v>0</v>
      </c>
      <c r="H51" s="62">
        <f>ROUND(((MergeNamesTable[[#This Row],[Player 1 Handicap]]+MergeNamesTable[[#This Row],[Player 2 Handicap]])*0.25)*0.335,0)</f>
        <v>0</v>
      </c>
      <c r="I51" s="62">
        <f>ROUND(((MergeNamesTable[[#This Row],[Player 1 Handicap]]+MergeNamesTable[[#This Row],[Player 2 Handicap]])*0.5)*0.335,0)</f>
        <v>0</v>
      </c>
      <c r="J51" s="63"/>
      <c r="K51" s="64" t="str">
        <f>IF(OR(MergeNamesTable[[#This Row],[Team Name]]&lt;&gt;"",MergeNamesTable[[#This Row],[Player 1 First Last]]&lt;&gt;""),'Defaults and Lookup Lists'!$B$2,"")</f>
        <v/>
      </c>
      <c r="L51" s="201"/>
      <c r="M51" s="65" t="str">
        <f>IF(OR(MergeNamesTable[[#This Row],[Team Name]]&lt;&gt;"",MergeNamesTable[[#This Row],[Player 1 First Last]]&lt;&gt;""),TEXT('Defaults and Lookup Lists'!$B$7,"ddd, mmm d, yyyy"),"")</f>
        <v/>
      </c>
      <c r="N51" s="311" t="str">
        <f>IF(OR(MergeNamesTable[[#This Row],[Team Name]]&lt;&gt;"",MergeNamesTable[[#This Row],[Player 1 First Last]]&lt;&gt;""),IF('Defaults and Lookup Lists'!$D$3="","",'Defaults and Lookup Lists'!$D$3),"")</f>
        <v/>
      </c>
      <c r="O51" s="247" t="str">
        <f>IF(OR(MergeNamesTable[[#This Row],[Team Name]]&lt;&gt;"",MergeNamesTable[[#This Row],[Player 1 First Last]]&lt;&gt;""),IF('Defaults and Lookup Lists'!$D$4="","",'Defaults and Lookup Lists'!$D$4),"")</f>
        <v/>
      </c>
      <c r="P51" s="247" t="str">
        <f>IF(OR(MergeNamesTable[[#This Row],[Team Name]]&lt;&gt;"",MergeNamesTable[[#This Row],[Player 1 First Last]]&lt;&gt;""),IF('Defaults and Lookup Lists'!$D$2="Shotgun","A",""),"")</f>
        <v/>
      </c>
      <c r="Q51" s="220" t="str">
        <f>IF(OR(MergeNamesTable[[#This Row],[Team Name]]&lt;&gt;"",MergeNamesTable[[#This Row],[Player 1 First Last]]&lt;&gt;""),IF('Defaults and Lookup Lists'!$B$6="","",'Defaults and Lookup Lists'!$B$6),"")</f>
        <v/>
      </c>
      <c r="R51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51" s="312" t="str">
        <f>IF(MergeNamesTable[[#This Row],[Entry Fee Team]]="","",MergeNamesTable[[#This Row],[Entry Fee Team]]-MergeNamesTable[[#This Row],[Entry Fee Paid]])</f>
        <v/>
      </c>
      <c r="T51" s="201"/>
      <c r="U51" s="201"/>
      <c r="V51" s="201"/>
      <c r="W51" s="201" t="str">
        <f>IF(OR(MergeNamesTable[[#This Row],[Team Name]]&lt;&gt;"",MergeNamesTable[[#This Row],[Player 1 First Last]]&lt;&gt;""),'Defaults and Lookup Lists'!$B$3,"")</f>
        <v/>
      </c>
      <c r="X51" s="67" t="str">
        <f>IF(MergeNamesTable[[#This Row],[Tee Markers]]="","",VLOOKUP(MergeNamesTable[[#This Row],[Tee Markers]],TeeMarkerTable,23,FALSE))</f>
        <v/>
      </c>
      <c r="Y51" s="59" t="str">
        <f>UPPER(MergeNamesTable[[#This Row],[Tournament]])</f>
        <v/>
      </c>
      <c r="Z51" s="6" t="str">
        <f>UPPER(MergeNamesTable[[#This Row],[Flight]])</f>
        <v/>
      </c>
      <c r="AA51" s="6" t="str">
        <f>UPPER(MergeNamesTable[[#This Row],[Tee Markers]])</f>
        <v/>
      </c>
      <c r="AB51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51" s="68" t="str">
        <f>IF(MergeNamesTable[[#This Row],[Start Time Day 2]]="","",TEXT(MergeNamesTable[[#This Row],[Start Time Day 2]],"HH:MM AM/PM"))</f>
        <v/>
      </c>
      <c r="AD51" s="60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51" s="59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51" s="6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51" s="6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51" s="6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51" s="344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51" s="59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51" s="6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51" s="6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51" s="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51" s="344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51" s="72" t="str">
        <f>TEXT(MergeNamesTable[[#This Row],[Player 1 Handicap]],"##;+##;")</f>
        <v/>
      </c>
      <c r="AP51" s="7" t="str">
        <f>TEXT(MergeNamesTable[[#This Row],[Player 2 Handicap]],"##;+##;")</f>
        <v/>
      </c>
      <c r="AQ51" s="7" t="str">
        <f>TEXT(MergeNamesTable[[#This Row],[Player 3 Handicap]],"##;+##;")</f>
        <v/>
      </c>
      <c r="AR51" s="67" t="str">
        <f>TEXT(MergeNamesTable[[#This Row],[Player 4 Handicap]],"##;+##;")</f>
        <v/>
      </c>
      <c r="AS51" s="131" t="str">
        <f>TEXT(MergeNamesTable[[#This Row],[Player 5 Handicap]],"##;+##;")</f>
        <v/>
      </c>
      <c r="AT51" s="59" t="str">
        <f>UPPER(MergeNamesTable[[#This Row],[Player 1 First Last]])</f>
        <v/>
      </c>
      <c r="AU51" s="6" t="str">
        <f>UPPER(MergeNamesTable[[#This Row],[Player 2 First Last]])</f>
        <v/>
      </c>
      <c r="AV51" s="6" t="str">
        <f>UPPER(MergeNamesTable[[#This Row],[Player 3 First Last]])</f>
        <v/>
      </c>
      <c r="AW51" s="6" t="str">
        <f>UPPER(MergeNamesTable[[#This Row],[Player 4 First Last]])</f>
        <v/>
      </c>
      <c r="AX51" s="344" t="str">
        <f>UPPER(MergeNamesTable[[#This Row],[Player 5 First Last]])</f>
        <v/>
      </c>
      <c r="AY51" s="59" t="str">
        <f>UPPER(MergeNamesTable[[#This Row],[Player 1 First]])</f>
        <v/>
      </c>
      <c r="AZ51" s="6" t="str">
        <f>UPPER(MergeNamesTable[[#This Row],[Player 2 First]])</f>
        <v/>
      </c>
      <c r="BA51" s="6" t="str">
        <f>UPPER(MergeNamesTable[[#This Row],[Player 3 First]])</f>
        <v/>
      </c>
      <c r="BB51" s="6" t="str">
        <f>UPPER(MergeNamesTable[[#This Row],[Player 4 First]])</f>
        <v/>
      </c>
      <c r="BC51" s="344" t="str">
        <f>UPPER(MergeNamesTable[[#This Row],[Player 5 First]])</f>
        <v/>
      </c>
      <c r="BD51" s="59" t="str">
        <f>UPPER(MergeNamesTable[[#This Row],[Player 1 Last]])</f>
        <v/>
      </c>
      <c r="BE51" s="6" t="str">
        <f>UPPER(MergeNamesTable[[#This Row],[Player 2 Last]])</f>
        <v/>
      </c>
      <c r="BF51" s="6" t="str">
        <f>UPPER(MergeNamesTable[[#This Row],[Player 3 Last]])</f>
        <v/>
      </c>
      <c r="BG51" s="6" t="str">
        <f>UPPER(MergeNamesTable[[#This Row],[Player 4 Last]])</f>
        <v/>
      </c>
      <c r="BH51" s="344" t="str">
        <f>UPPER(MergeNamesTable[[#This Row],[Player 5 Last]])</f>
        <v/>
      </c>
      <c r="BI51" s="59" t="str">
        <f>UPPER(MergeNamesTable[[#This Row],[Player 1 Club]])</f>
        <v/>
      </c>
      <c r="BJ51" s="6" t="str">
        <f>UPPER(MergeNamesTable[[#This Row],[Player 2 Club]])</f>
        <v/>
      </c>
      <c r="BK51" s="6" t="str">
        <f>UPPER(MergeNamesTable[[#This Row],[Player 3 Club]])</f>
        <v/>
      </c>
      <c r="BL51" s="6" t="str">
        <f>UPPER(MergeNamesTable[[#This Row],[Player 4 Club]])</f>
        <v/>
      </c>
      <c r="BM51" s="344" t="str">
        <f>UPPER(MergeNamesTable[[#This Row],[Player 5 Club]])</f>
        <v/>
      </c>
      <c r="BN51" s="212"/>
      <c r="BO51" s="6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51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51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51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51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51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51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51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51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51" s="70" t="str">
        <f>IF(MergeNamesTable[[#This Row],[Player 1 Tees]]="","",VLOOKUP(MergeNamesTable[[#This Row],[Player 1 Tees]],TeeMarkerTable,23,FALSE))</f>
        <v/>
      </c>
      <c r="BY51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51" s="158">
        <f>IF(OR(MergeNamesTable[[#This Row],[Player 1 Index]]=0,MergeNamesTable[[#This Row],[Player 1 Index]]=""),0,ROUND((MergeNamesTable[[#This Row],[Player 1 Index]]*MergeNamesTable[[#This Row],[Player 1 Slope]])/113,0))</f>
        <v>0</v>
      </c>
      <c r="CA51" s="218"/>
      <c r="CB51" s="219"/>
      <c r="CC51" s="7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51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51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51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51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51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51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51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51" s="214" t="str">
        <f>IF(MergeNamesTable[[#This Row],[Player 2 Male]]="Female",'Defaults and Lookup Lists'!$B$4,IF(MergeNamesTable[[#This Row],[Tee Markers]]="","",MergeNamesTable[[#This Row],[Tee Markers]]))</f>
        <v/>
      </c>
      <c r="CL51" s="7" t="str">
        <f>IF(MergeNamesTable[[#This Row],[Player 2 Tees]]="","",VLOOKUP(MergeNamesTable[[#This Row],[Player 2 Tees]],TeeMarkerTable,23,FALSE))</f>
        <v/>
      </c>
      <c r="CM51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51" s="158">
        <f>IF(OR(MergeNamesTable[[#This Row],[Player 2 Index]]=0,MergeNamesTable[[#This Row],[Player 2 Index]]=""),0,ROUND((MergeNamesTable[[#This Row],[Player 2 Index]]*MergeNamesTable[[#This Row],[Player 2 Slope]])/113,0))</f>
        <v>0</v>
      </c>
      <c r="CO51" s="218"/>
      <c r="CP51" s="219"/>
      <c r="CQ51" s="7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51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51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51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51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51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51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51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51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51" s="7" t="str">
        <f>IF(MergeNamesTable[[#This Row],[Player 3 Tees]]="","",VLOOKUP(MergeNamesTable[[#This Row],[Player 3 Tees]],TeeMarkerTable,23,FALSE))</f>
        <v/>
      </c>
      <c r="DA51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51" s="158">
        <f>IF(OR(MergeNamesTable[[#This Row],[Player 3 Index]]=0,MergeNamesTable[[#This Row],[Player 3 Index]]=""),0,ROUND((MergeNamesTable[[#This Row],[Player 3 Index]]*MergeNamesTable[[#This Row],[Player 3 Slope]])/113,0))</f>
        <v>0</v>
      </c>
      <c r="DC51" s="218"/>
      <c r="DD51" s="212"/>
      <c r="DE51" s="7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51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51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51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51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51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51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51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51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51" s="7" t="str">
        <f>IF(MergeNamesTable[[#This Row],[Player 4 Tees]]="","",VLOOKUP(MergeNamesTable[[#This Row],[Player 4 Tees]],TeeMarkerTable,23,FALSE))</f>
        <v/>
      </c>
      <c r="DO51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51" s="158">
        <f>IF(OR(MergeNamesTable[[#This Row],[Player 4 Index]]=0,MergeNamesTable[[#This Row],[Player 4 Index]]=""),0,ROUND((MergeNamesTable[[#This Row],[Player 4 Index]]*MergeNamesTable[[#This Row],[Player 4 Slope]])/113,0))</f>
        <v>0</v>
      </c>
      <c r="DQ51" s="225"/>
      <c r="DR51" s="226"/>
      <c r="DS51" s="130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51" s="130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51" s="130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51" s="130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51" s="130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51" s="130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51" s="239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51" s="239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51" s="239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51" s="161" t="str">
        <f>IF(MergeNamesTable[[#This Row],[Player 5 Tees]]="","",VLOOKUP(MergeNamesTable[[#This Row],[Player 5 Tees]],TeeMarkerTable,23,FALSE))</f>
        <v/>
      </c>
      <c r="EC51" s="163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51" s="133">
        <f>IF(OR(MergeNamesTable[[#This Row],[Player 5 Index]]=0,MergeNamesTable[[#This Row],[Player 5 Index]]=""),0,ROUND((MergeNamesTable[[#This Row],[Player 5 Index]]*MergeNamesTable[[#This Row],[Player 5 Slope]])/113,0))</f>
        <v>0</v>
      </c>
      <c r="EE51" s="230"/>
      <c r="EF51" s="73"/>
      <c r="EG51" s="74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51" s="75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51" s="75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51" s="75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51" s="75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51" s="75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51" s="75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51" s="75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51" s="76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51" s="107"/>
      <c r="EQ51" s="74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51" s="75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51" s="75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51" s="75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51" s="75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51" s="75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51" s="75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51" s="75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51" s="76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51" s="77"/>
      <c r="FA51" s="74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51" s="75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51" s="75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51" s="75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51" s="75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51" s="75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51" s="75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51" s="75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51" s="76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51" s="110"/>
      <c r="FK51" s="74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51" s="75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51" s="75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51" s="75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51" s="75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51" s="75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51" s="75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51" s="75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51" s="76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51" s="77"/>
      <c r="FU51" s="74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51" s="75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51" s="75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51" s="75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51" s="75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51" s="75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51" s="75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51" s="75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51" s="76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51" s="107"/>
      <c r="GE51" s="74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51" s="75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51" s="75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51" s="75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51" s="75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51" s="75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51" s="75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51" s="75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51" s="76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51" s="77"/>
      <c r="GO51" s="74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51" s="75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51" s="75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51" s="75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51" s="75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51" s="75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51" s="75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51" s="75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51" s="76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51" s="79"/>
      <c r="GY51" s="74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51" s="75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51" s="75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51" s="75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51" s="75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51" s="75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51" s="75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51" s="75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51" s="76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51" s="78"/>
      <c r="HI51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51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51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51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51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51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51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51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51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51" s="78"/>
      <c r="HS51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51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51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51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51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51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51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51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51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51" s="78"/>
    </row>
    <row r="52" spans="1:236" ht="9" customHeight="1" thickBot="1">
      <c r="A52" s="365"/>
      <c r="B52" s="363" t="str">
        <f>MergeNamesTable[[#This Row],[Team Name Concat]]</f>
        <v/>
      </c>
      <c r="C52" s="69" t="str">
        <f>UPPER(MergeNamesTable[[#This Row],[Team Name]])</f>
        <v/>
      </c>
      <c r="D52" s="69" t="str">
        <f>IF(AND(MergeNamesTable[[#This Row],[Player 1 Last]]&lt;&gt;"",MergeNamesTable[[#This Row],[Player 2 Last]]&lt;&gt;"",MergeNamesTable[[#This Row],[Player 3 Last]]&lt;&gt;"",MergeNamesTable[[#This Row],[Player 4 Last]]&lt;&gt;"",MergeNamesTable[[#This Row],[Player 5 Last]]&lt;&gt;""),CONCATENATE(MergeNamesTable[[#This Row],[Player 1 Last]]," • ",MergeNamesTable[[#This Row],[Player 2 Last]]," • ",MergeNamesTable[[#This Row],[Player 3 Last]]," • ",MergeNamesTable[[#This Row],[Player 4 Last]]," • ",MergeNamesTable[[#This Row],[Player 5 Last]]),IF(AND(MergeNamesTable[[#This Row],[Player 1 Last]]&lt;&gt;"",MergeNamesTable[[#This Row],[Player 2 Last]]&lt;&gt;"",MergeNamesTable[[#This Row],[Player 3 Last]]&lt;&gt;"",MergeNamesTable[[#This Row],[Player 4 Last]]&lt;&gt;""),CONCATENATE(MergeNamesTable[[#This Row],[Player 1 Last]]," • ",MergeNamesTable[[#This Row],[Player 2 Last]]," • ",MergeNamesTable[[#This Row],[Player 3 Last]]," • ",MergeNamesTable[[#This Row],[Player 4 Last]]),IF(AND(MergeNamesTable[[#This Row],[Player 1 Last]]&lt;&gt;"",MergeNamesTable[[#This Row],[Player 2 Last]]&lt;&gt;"",MergeNamesTable[[#This Row],[Player 3 Last]]&lt;&gt;""),CONCATENATE(MergeNamesTable[[#This Row],[Player 1 Last]]," • ",MergeNamesTable[[#This Row],[Player 2 Last]]," • ",MergeNamesTable[[#This Row],[Player 3 Last]]),IF(AND(MergeNamesTable[[#This Row],[Player 1 First Last]]&lt;&gt;"",MergeNamesTable[[#This Row],[Player 2 First Last]]&lt;&gt;"",MergeNamesTable[[#This Row],[Player 3 First Last]]&lt;&gt;"",MergeNamesTable[[#This Row],[Player 4 First Last]]&lt;&gt;""),CONCATENATE(MergeNamesTable[[#This Row],[Player 1 First Last]]," • ",MergeNamesTable[[#This Row],[Player 2 First Last]]," • ",MergeNamesTable[[#This Row],[Player 3 First Last]]," • ",MergeNamesTable[[#This Row],[Player 4 First Last]]),IF(AND(MergeNamesTable[[#This Row],[Player 1 First Last]]&lt;&gt;"",MergeNamesTable[[#This Row],[Player 2 First Last]]&lt;&gt;"",MergeNamesTable[[#This Row],[Player 3 First Last]]&lt;&gt;""),CONCATENATE(MergeNamesTable[[#This Row],[Player 1 First Last]]," • ",MergeNamesTable[[#This Row],[Player 2 First Last]]," • ",MergeNamesTable[[#This Row],[Player 3 First Last]]),IF(AND(MergeNamesTable[[#This Row],[Player 1 First Last]]&lt;&gt;"",MergeNamesTable[[#This Row],[Player 2 First Last]]&lt;&gt;""),CONCATENATE(MergeNamesTable[[#This Row],[Player 1 First Last]]," &amp; ",MergeNamesTable[[#This Row],[Player 2 First Last]]),IF(MergeNamesTable[[#This Row],[Player 1 First Last]]&lt;&gt;"",MergeNamesTable[[#This Row],[Player 1 First Last]],"")))))))</f>
        <v/>
      </c>
      <c r="E52" s="69" t="str">
        <f>UPPER(MergeNamesTable[[#This Row],[Team Name Concat]])</f>
        <v/>
      </c>
      <c r="F52" s="62"/>
      <c r="G52" s="62"/>
      <c r="H52" s="62"/>
      <c r="I52" s="62"/>
      <c r="J52" s="62"/>
      <c r="K52" s="65" t="str">
        <f>IF(OR(MergeNamesTable[[#This Row],[Team Name]]&lt;&gt;"",MergeNamesTable[[#This Row],[Player 1 First Last]]&lt;&gt;""),'Defaults and Lookup Lists'!$B$2,"")</f>
        <v/>
      </c>
      <c r="L52" s="201"/>
      <c r="M52" s="65" t="str">
        <f>IF(OR(MergeNamesTable[[#This Row],[Team Name]]&lt;&gt;"",MergeNamesTable[[#This Row],[Player 1 First Last]]&lt;&gt;""),TEXT('Defaults and Lookup Lists'!$B$7,"ddd, mmm d, yyyy"),"")</f>
        <v/>
      </c>
      <c r="N52" s="311" t="str">
        <f>IF(OR(MergeNamesTable[[#This Row],[Team Name]]&lt;&gt;"",MergeNamesTable[[#This Row],[Player 1 First Last]]&lt;&gt;""),IF('Defaults and Lookup Lists'!$D$3="","",'Defaults and Lookup Lists'!$D$3),"")</f>
        <v/>
      </c>
      <c r="O52" s="247" t="str">
        <f>IF(OR(MergeNamesTable[[#This Row],[Team Name]]&lt;&gt;"",MergeNamesTable[[#This Row],[Player 1 First Last]]&lt;&gt;""),IF('Defaults and Lookup Lists'!$D$4="","",'Defaults and Lookup Lists'!$D$4),"")</f>
        <v/>
      </c>
      <c r="P52" s="247" t="str">
        <f>IF(OR(MergeNamesTable[[#This Row],[Team Name]]&lt;&gt;"",MergeNamesTable[[#This Row],[Player 1 First Last]]&lt;&gt;""),IF('Defaults and Lookup Lists'!$D$2="Shotgun","A",""),"")</f>
        <v/>
      </c>
      <c r="Q52" s="220" t="str">
        <f>IF(OR(MergeNamesTable[[#This Row],[Team Name]]&lt;&gt;"",MergeNamesTable[[#This Row],[Player 1 First Last]]&lt;&gt;""),IF('Defaults and Lookup Lists'!$B$6="","",'Defaults and Lookup Lists'!$B$6),"")</f>
        <v/>
      </c>
      <c r="R52" s="312">
        <f>MergeNamesTable[[#This Row],[Player 1 Paid]]+MergeNamesTable[[#This Row],[Player 2 Paid]]+MergeNamesTable[[#This Row],[Player 3 Paid]]+MergeNamesTable[[#This Row],[Player 4 Paid]]+MergeNamesTable[[#This Row],[Player 5 Paid]]</f>
        <v>0</v>
      </c>
      <c r="S52" s="312" t="str">
        <f>IF(MergeNamesTable[[#This Row],[Entry Fee Team]]="","",MergeNamesTable[[#This Row],[Entry Fee Team]]-MergeNamesTable[[#This Row],[Entry Fee Paid]])</f>
        <v/>
      </c>
      <c r="T52" s="201"/>
      <c r="U52" s="201"/>
      <c r="V52" s="201"/>
      <c r="W52" s="201" t="str">
        <f>IF(OR(MergeNamesTable[[#This Row],[Team Name]]&lt;&gt;"",MergeNamesTable[[#This Row],[Player 1 First Last]]&lt;&gt;""),'Defaults and Lookup Lists'!$B$3,"")</f>
        <v/>
      </c>
      <c r="X52" s="7" t="str">
        <f>IF(MergeNamesTable[[#This Row],[Tee Markers]]="","",VLOOKUP(MergeNamesTable[[#This Row],[Tee Markers]],TeeMarkerTable,23,FALSE))</f>
        <v/>
      </c>
      <c r="Y52" s="69" t="str">
        <f>UPPER(MergeNamesTable[[#This Row],[Tournament]])</f>
        <v/>
      </c>
      <c r="Z52" s="69" t="str">
        <f>UPPER(MergeNamesTable[[#This Row],[Flight]])</f>
        <v/>
      </c>
      <c r="AA52" s="69" t="str">
        <f>UPPER(MergeNamesTable[[#This Row],[Tee Markers]])</f>
        <v/>
      </c>
      <c r="AB52" s="66" t="str">
        <f>IF(OR(MergeNamesTable[[#This Row],[Team Name]]&lt;&gt;"",MergeNamesTable[[#This Row],[Player 1 First Last]]&lt;&gt;""),IF(MergeNamesTable[[#This Row],[Start Time]]="","",TEXT(MergeNamesTable[[#This Row],[Start Time]],"HH:MM AM/PM")),"")</f>
        <v/>
      </c>
      <c r="AC52" s="66" t="str">
        <f>IF(MergeNamesTable[[#This Row],[Start Time Day 2]]="","",TEXT(MergeNamesTable[[#This Row],[Start Time Day 2]],"HH:MM AM/PM"))</f>
        <v/>
      </c>
      <c r="AD52" s="69" t="str">
        <f>IF(AND(MergeNamesTable[[#This Row],[Start Hole]]="",MergeNamesTable[[#This Row],[Start Position]]=""),"",IF(MergeNamesTable[[#This Row],[Start Position]]="","#"&amp;MergeNamesTable[[#This Row],[Start Hole]],"#"&amp;MergeNamesTable[[#This Row],[Start Hole]]&amp;MergeNamesTable[[#This Row],[Start Position]]))</f>
        <v/>
      </c>
      <c r="AE52" s="6" t="str">
        <f>SUBSTITUTE(TRIM(MergeNamesTable[[#This Row],[Player 1 Title]] &amp; " "&amp; MergeNamesTable[[#This Row],[Player 1 First]] &amp; " " &amp; MergeNamesTable[[#This Row],[Player 1 MI]] &amp; " " &amp; 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&amp; MergeNamesTable[[#This Row],[Player 1 Last]] &amp; " " &amp; MergeNamesTable[[#This Row],[Player 1 Suffix]]), " ", " ")</f>
        <v/>
      </c>
      <c r="AF52" s="69" t="str">
        <f>SUBSTITUTE(TRIM(MergeNamesTable[[#This Row],[Player 2 Title]] &amp; " "&amp; MergeNamesTable[[#This Row],[Player 2 First]] &amp; " " &amp; MergeNamesTable[[#This Row],[Player 2 MI]] &amp; " " &amp; 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&amp; MergeNamesTable[[#This Row],[Player 2 Last]] &amp; " " &amp; MergeNamesTable[[#This Row],[Player 2 Suffix]]), " ", " ")</f>
        <v/>
      </c>
      <c r="AG52" s="69" t="str">
        <f>SUBSTITUTE(TRIM(MergeNamesTable[[#This Row],[Player 3 Title]] &amp; " "&amp; MergeNamesTable[[#This Row],[Player 3 First]] &amp; " " &amp; MergeNamesTable[[#This Row],[Player 3 MI]] &amp; " " &amp; 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&amp; MergeNamesTable[[#This Row],[Player 3 Last]] &amp; " " &amp; MergeNamesTable[[#This Row],[Player 3 Suffix]]), " ", " ")</f>
        <v/>
      </c>
      <c r="AH52" s="69" t="str">
        <f>SUBSTITUTE(TRIM(MergeNamesTable[[#This Row],[Player 4 Title]] &amp; " "&amp; MergeNamesTable[[#This Row],[Player 4 First]] &amp; " " &amp; MergeNamesTable[[#This Row],[Player 4 MI]] &amp; " " &amp; 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&amp; MergeNamesTable[[#This Row],[Player 4 Last]] &amp; " " &amp; MergeNamesTable[[#This Row],[Player 4 Suffix]]), " ", " ")</f>
        <v/>
      </c>
      <c r="AI52" s="69" t="str">
        <f>SUBSTITUTE(TRIM(MergeNamesTable[[#This Row],[Player 5 Title]] &amp; " "&amp; MergeNamesTable[[#This Row],[Player 5 First]] &amp; " " &amp; MergeNamesTable[[#This Row],[Player 5 MI]] &amp; " " &amp; 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&amp; MergeNamesTable[[#This Row],[Player 5 Last]] &amp; " " &amp; MergeNamesTable[[#This Row],[Player 5 Suffix]]), " ", " ")</f>
        <v/>
      </c>
      <c r="AJ52" s="6" t="str">
        <f>SUBSTITUTE(TRIM(MergeNamesTable[[#This Row],[Player 1 Last]] &amp;IF(LEN(MergeNamesTable[[#This Row],[Player 1 Last]])=0,"", ", ")&amp; MergeNamesTable[[#This Row],[Player 1 Title]] &amp; " " &amp; MergeNamesTable[[#This Row],[Player 1 First]] &amp; " " &amp; MergeNamesTable[[#This Row],[Player 1 MI]] &amp; " " &amp;IF(LEN(MergeNamesTable[[#This Row],[Player 1 First]])=1," ", IF(LEN(MergeNamesTable[[#This Row],[Player 1 NickName]])=0,"",IF(MergeNamesTable[[#This Row],[Player 1 First]]=MergeNamesTable[[#This Row],[Player 1 NickName]]," ","("&amp;MergeNamesTable[[#This Row],[Player 1 NickName]]&amp;")"))) &amp; " "  &amp; MergeNamesTable[[#This Row],[Player 1 Suffix]]), " ", " ")</f>
        <v/>
      </c>
      <c r="AK52" s="69" t="str">
        <f>SUBSTITUTE(TRIM(MergeNamesTable[[#This Row],[Player 2 Last]] &amp;IF(LEN(MergeNamesTable[[#This Row],[Player 2 Last]])=0,"", ", ")&amp; MergeNamesTable[[#This Row],[Player 2 Title]] &amp; " " &amp; MergeNamesTable[[#This Row],[Player 2 First]] &amp; " " &amp; MergeNamesTable[[#This Row],[Player 2 MI]] &amp; " " &amp;IF(LEN(MergeNamesTable[[#This Row],[Player 2 First]])=1," ", IF(LEN(MergeNamesTable[[#This Row],[Player 2 NickName]])=0,"",IF(MergeNamesTable[[#This Row],[Player 2 First]]=MergeNamesTable[[#This Row],[Player 2 NickName]]," ","("&amp;MergeNamesTable[[#This Row],[Player 2 NickName]]&amp;")"))) &amp; " "  &amp; MergeNamesTable[[#This Row],[Player 2 Suffix]]), " ", " ")</f>
        <v/>
      </c>
      <c r="AL52" s="69" t="str">
        <f>SUBSTITUTE(TRIM(MergeNamesTable[[#This Row],[Player 3 Last]] &amp;IF(LEN(MergeNamesTable[[#This Row],[Player 3 Last]])=0,"", ", ")&amp; MergeNamesTable[[#This Row],[Player 3 Title]] &amp; " " &amp; MergeNamesTable[[#This Row],[Player 3 First]] &amp; " " &amp; MergeNamesTable[[#This Row],[Player 3 MI]] &amp; " " &amp;IF(LEN(MergeNamesTable[[#This Row],[Player 3 First]])=1," ", IF(LEN(MergeNamesTable[[#This Row],[Player 3 NickName]])=0,"",IF(MergeNamesTable[[#This Row],[Player 3 First]]=MergeNamesTable[[#This Row],[Player 3 NickName]]," ","("&amp;MergeNamesTable[[#This Row],[Player 3 NickName]]&amp;")"))) &amp; " "  &amp; MergeNamesTable[[#This Row],[Player 3 Suffix]]), " ", " ")</f>
        <v/>
      </c>
      <c r="AM52" s="346" t="str">
        <f>SUBSTITUTE(TRIM(MergeNamesTable[[#This Row],[Player 4 Last]] &amp;IF(LEN(MergeNamesTable[[#This Row],[Player 4 Last]])=0,"", ", ")&amp; MergeNamesTable[[#This Row],[Player 4 Title]] &amp; " " &amp; MergeNamesTable[[#This Row],[Player 4 First]] &amp; " " &amp; MergeNamesTable[[#This Row],[Player 4 MI]] &amp; " " &amp;IF(LEN(MergeNamesTable[[#This Row],[Player 4 First]])=1," ", IF(LEN(MergeNamesTable[[#This Row],[Player 4 NickName]])=0,"",IF(MergeNamesTable[[#This Row],[Player 4 First]]=MergeNamesTable[[#This Row],[Player 4 NickName]]," ","("&amp;MergeNamesTable[[#This Row],[Player 4 NickName]]&amp;")"))) &amp; " "  &amp; MergeNamesTable[[#This Row],[Player 4 Suffix]]), " ", " ")</f>
        <v/>
      </c>
      <c r="AN52" s="346" t="str">
        <f>SUBSTITUTE(TRIM(MergeNamesTable[[#This Row],[Player 5 Last]] &amp;IF(LEN(MergeNamesTable[[#This Row],[Player 5 Last]])=0,"", ", ")&amp; MergeNamesTable[[#This Row],[Player 5 Title]] &amp; " " &amp; MergeNamesTable[[#This Row],[Player 5 First]] &amp; " " &amp; MergeNamesTable[[#This Row],[Player 5 MI]] &amp; " " &amp;IF(LEN(MergeNamesTable[[#This Row],[Player 5 First]])=1," ", IF(LEN(MergeNamesTable[[#This Row],[Player 5 NickName]])=0,"",IF(MergeNamesTable[[#This Row],[Player 5 First]]=MergeNamesTable[[#This Row],[Player 5 NickName]]," ","("&amp;MergeNamesTable[[#This Row],[Player 5 NickName]]&amp;")"))) &amp; " "  &amp; MergeNamesTable[[#This Row],[Player 5 Suffix]]), " ", " ")</f>
        <v/>
      </c>
      <c r="AO52" s="70" t="str">
        <f>TEXT(MergeNamesTable[[#This Row],[Player 1 Handicap]],"##;+##;")</f>
        <v/>
      </c>
      <c r="AP52" s="70" t="str">
        <f>TEXT(MergeNamesTable[[#This Row],[Player 2 Handicap]],"##;+##;")</f>
        <v/>
      </c>
      <c r="AQ52" s="70" t="str">
        <f>TEXT(MergeNamesTable[[#This Row],[Player 3 Handicap]],"##;+##;")</f>
        <v/>
      </c>
      <c r="AR52" s="70" t="str">
        <f>TEXT(MergeNamesTable[[#This Row],[Player 4 Handicap]],"##;+##;")</f>
        <v/>
      </c>
      <c r="AS52" s="70" t="str">
        <f>TEXT(MergeNamesTable[[#This Row],[Player 5 Handicap]],"##;+##;")</f>
        <v/>
      </c>
      <c r="AT52" s="6" t="str">
        <f>UPPER(MergeNamesTable[[#This Row],[Player 1 First Last]])</f>
        <v/>
      </c>
      <c r="AU52" s="69"/>
      <c r="AV52" s="6"/>
      <c r="AW52" s="346" t="str">
        <f>UPPER(MergeNamesTable[[#This Row],[Player 4 First Last]])</f>
        <v/>
      </c>
      <c r="AX52" s="346" t="str">
        <f>UPPER(MergeNamesTable[[#This Row],[Player 5 First Last]])</f>
        <v/>
      </c>
      <c r="AY52" s="6" t="str">
        <f>UPPER(MergeNamesTable[[#This Row],[Player 1 First]])</f>
        <v/>
      </c>
      <c r="AZ52" s="69"/>
      <c r="BA52" s="69" t="str">
        <f>UPPER(MergeNamesTable[[#This Row],[Player 3 First]])</f>
        <v/>
      </c>
      <c r="BB52" s="346" t="str">
        <f>UPPER(MergeNamesTable[[#This Row],[Player 4 First]])</f>
        <v/>
      </c>
      <c r="BC52" s="346" t="str">
        <f>UPPER(MergeNamesTable[[#This Row],[Player 5 First]])</f>
        <v/>
      </c>
      <c r="BD52" s="6" t="str">
        <f>UPPER(MergeNamesTable[[#This Row],[Player 1 Last]])</f>
        <v/>
      </c>
      <c r="BE52" s="69"/>
      <c r="BF52" s="69" t="str">
        <f>UPPER(MergeNamesTable[[#This Row],[Player 3 Last]])</f>
        <v/>
      </c>
      <c r="BG52" s="346" t="str">
        <f>UPPER(MergeNamesTable[[#This Row],[Player 4 Last]])</f>
        <v/>
      </c>
      <c r="BH52" s="346" t="str">
        <f>UPPER(MergeNamesTable[[#This Row],[Player 5 Last]])</f>
        <v/>
      </c>
      <c r="BI52" s="6" t="str">
        <f>UPPER(MergeNamesTable[[#This Row],[Player 1 Club]])</f>
        <v/>
      </c>
      <c r="BJ52" s="69" t="str">
        <f>UPPER(MergeNamesTable[[#This Row],[Player 2 Club]])</f>
        <v/>
      </c>
      <c r="BK52" s="69" t="str">
        <f>UPPER(MergeNamesTable[[#This Row],[Player 3 Club]])</f>
        <v/>
      </c>
      <c r="BL52" s="69" t="str">
        <f>UPPER(MergeNamesTable[[#This Row],[Player 4 Club]])</f>
        <v/>
      </c>
      <c r="BM52" s="69" t="str">
        <f>UPPER(MergeNamesTable[[#This Row],[Player 5 Club]])</f>
        <v/>
      </c>
      <c r="BN52" s="213"/>
      <c r="BO52" s="69" t="str">
        <f>IF(MergeNamesTable[[#This Row],[LOOKUP PLAYER 1]]="","",IF(VLOOKUP(MergeNamesTable[[#This Row],[LOOKUP PLAYER 1]],TableNameLookup[],2,FALSE)="","",VLOOKUP(MergeNamesTable[[#This Row],[LOOKUP PLAYER 1]],TableNameLookup[],3,FALSE)))</f>
        <v/>
      </c>
      <c r="BP52" s="69" t="str">
        <f>IF(MergeNamesTable[[#This Row],[LOOKUP PLAYER 1]]="","",IF(VLOOKUP(MergeNamesTable[[#This Row],[LOOKUP PLAYER 1]],TableNameLookup[],3,FALSE)="","",VLOOKUP(MergeNamesTable[[#This Row],[LOOKUP PLAYER 1]],TableNameLookup[],3,FALSE)))</f>
        <v/>
      </c>
      <c r="BQ52" s="69" t="str">
        <f>IF(MergeNamesTable[[#This Row],[LOOKUP PLAYER 1]]="","",IF(VLOOKUP(MergeNamesTable[[#This Row],[LOOKUP PLAYER 1]],TableNameLookup[],4,FALSE)="","",VLOOKUP(MergeNamesTable[[#This Row],[LOOKUP PLAYER 1]],TableNameLookup[],4,FALSE)))</f>
        <v/>
      </c>
      <c r="BR52" s="69" t="str">
        <f>IF(MergeNamesTable[[#This Row],[LOOKUP PLAYER 1]]="","",IF(VLOOKUP(MergeNamesTable[[#This Row],[LOOKUP PLAYER 1]],TableNameLookup[],5,FALSE)="","",VLOOKUP(MergeNamesTable[[#This Row],[LOOKUP PLAYER 1]],TableNameLookup[],5,FALSE)))</f>
        <v/>
      </c>
      <c r="BS52" s="69" t="str">
        <f>IF(MergeNamesTable[[#This Row],[LOOKUP PLAYER 1]]="","",IF(VLOOKUP(MergeNamesTable[[#This Row],[LOOKUP PLAYER 1]],TableNameLookup[],6,FALSE)="","",VLOOKUP(MergeNamesTable[[#This Row],[LOOKUP PLAYER 1]],TableNameLookup[],6,FALSE)))</f>
        <v/>
      </c>
      <c r="BT52" s="69" t="str">
        <f>IF(MergeNamesTable[[#This Row],[LOOKUP PLAYER 1]]="","",IF(VLOOKUP(MergeNamesTable[[#This Row],[LOOKUP PLAYER 1]],'Player Lookup'!$A$4:$K$75,7,FALSE)="","",VLOOKUP(MergeNamesTable[[#This Row],[LOOKUP PLAYER 1]],'Player Lookup'!$A$4:$K$75,7,FALSE)))</f>
        <v/>
      </c>
      <c r="BU52" s="213" t="str">
        <f>IF(MergeNamesTable[[#This Row],[LOOKUP PLAYER 1]]="","",IF(VLOOKUP(MergeNamesTable[[#This Row],[LOOKUP PLAYER 1]],TableNameLookup[],9,FALSE)="","",VLOOKUP(MergeNamesTable[[#This Row],[LOOKUP PLAYER 1]],TableNameLookup[],9,FALSE)))</f>
        <v/>
      </c>
      <c r="BV52" s="213" t="str">
        <f>IF(MergeNamesTable[[#This Row],[LOOKUP PLAYER 1]]="","",IF(VLOOKUP(MergeNamesTable[[#This Row],[LOOKUP PLAYER 1]],TableNameLookup[],10,FALSE)="","",VLOOKUP(MergeNamesTable[[#This Row],[LOOKUP PLAYER 1]],TableNameLookup[],10,FALSE)))</f>
        <v/>
      </c>
      <c r="BW52" s="213" t="str">
        <f>IF(MergeNamesTable[[#This Row],[Player 1 First Last]]="","",IF(MergeNamesTable[[#This Row],[Player 1 Male]]="Female",'Defaults and Lookup Lists'!$B$4,IF(MergeNamesTable[[#This Row],[Tee Markers]]="","",MergeNamesTable[[#This Row],[Tee Markers]])))</f>
        <v/>
      </c>
      <c r="BX52" s="70" t="str">
        <f>IF(MergeNamesTable[[#This Row],[Player 1 Tees]]="","",VLOOKUP(MergeNamesTable[[#This Row],[Player 1 Tees]],TeeMarkerTable,23,FALSE))</f>
        <v/>
      </c>
      <c r="BY52" s="70" t="str">
        <f>IF(MergeNamesTable[[#This Row],[LOOKUP PLAYER 1]]="","",IF(VLOOKUP(MergeNamesTable[[#This Row],[LOOKUP PLAYER 1]],TableNameLookup[],11,FALSE)="","",VLOOKUP(MergeNamesTable[[#This Row],[LOOKUP PLAYER 1]],TableNameLookup[],11,FALSE)))</f>
        <v/>
      </c>
      <c r="BZ52" s="25">
        <f>IF(OR(MergeNamesTable[[#This Row],[Player 1 Index]]=0,MergeNamesTable[[#This Row],[Player 1 Index]]=""),0,ROUND((MergeNamesTable[[#This Row],[Player 1 Index]]*MergeNamesTable[[#This Row],[Player 1 Slope]])/113,0))</f>
        <v>0</v>
      </c>
      <c r="CA52" s="220"/>
      <c r="CB52" s="221"/>
      <c r="CC52" s="191" t="str">
        <f>IF(MergeNamesTable[[#This Row],[LOOKUP PLAYER 2]]="","",IF(VLOOKUP(MergeNamesTable[[#This Row],[LOOKUP PLAYER 2]],TableNameLookup[],2,FALSE)="","",VLOOKUP(MergeNamesTable[[#This Row],[LOOKUP PLAYER 2]],TableNameLookup[],2,FALSE)))</f>
        <v/>
      </c>
      <c r="CD52" s="6" t="str">
        <f>IF(MergeNamesTable[[#This Row],[LOOKUP PLAYER 2]]="","",IF(VLOOKUP(MergeNamesTable[[#This Row],[LOOKUP PLAYER 2]],TableNameLookup[],3,FALSE)="","",VLOOKUP(MergeNamesTable[[#This Row],[LOOKUP PLAYER 2]],TableNameLookup[],3,FALSE)))</f>
        <v/>
      </c>
      <c r="CE52" s="6" t="str">
        <f>IF(MergeNamesTable[[#This Row],[LOOKUP PLAYER 2]]="","",IF(VLOOKUP(MergeNamesTable[[#This Row],[LOOKUP PLAYER 2]],TableNameLookup[],4,FALSE)="","",VLOOKUP(MergeNamesTable[[#This Row],[LOOKUP PLAYER 2]],TableNameLookup[],4,FALSE)))</f>
        <v/>
      </c>
      <c r="CF52" s="6" t="str">
        <f>IF(MergeNamesTable[[#This Row],[LOOKUP PLAYER 2]]="","",IF(VLOOKUP(MergeNamesTable[[#This Row],[LOOKUP PLAYER 2]],TableNameLookup[],5,FALSE)="","",VLOOKUP(MergeNamesTable[[#This Row],[LOOKUP PLAYER 2]],TableNameLookup[],5,FALSE)))</f>
        <v/>
      </c>
      <c r="CG52" s="6" t="str">
        <f>IF(MergeNamesTable[[#This Row],[LOOKUP PLAYER 2]]="","",IF(VLOOKUP(MergeNamesTable[[#This Row],[LOOKUP PLAYER 2]],TableNameLookup[],6,FALSE)="","",VLOOKUP(MergeNamesTable[[#This Row],[LOOKUP PLAYER 2]],TableNameLookup[],6,FALSE)))</f>
        <v/>
      </c>
      <c r="CH52" s="6" t="str">
        <f>IF(MergeNamesTable[[#This Row],[LOOKUP PLAYER 2]]="","",IF(VLOOKUP(MergeNamesTable[[#This Row],[LOOKUP PLAYER 2]],TableNameLookup[],7,FALSE)="","",VLOOKUP(MergeNamesTable[[#This Row],[LOOKUP PLAYER 2]],TableNameLookup[],7,FALSE)))</f>
        <v/>
      </c>
      <c r="CI52" s="214" t="str">
        <f>IF(MergeNamesTable[[#This Row],[LOOKUP PLAYER 2]]="","",IF(VLOOKUP(MergeNamesTable[[#This Row],[LOOKUP PLAYER 2]],TableNameLookup[],9,FALSE)="","",VLOOKUP(MergeNamesTable[[#This Row],[LOOKUP PLAYER 2]],TableNameLookup[],9,FALSE)))</f>
        <v/>
      </c>
      <c r="CJ52" s="214" t="str">
        <f>IF(MergeNamesTable[[#This Row],[LOOKUP PLAYER 2]]="","",IF(VLOOKUP(MergeNamesTable[[#This Row],[LOOKUP PLAYER 2]],TableNameLookup[],10,FALSE)="","",VLOOKUP(MergeNamesTable[[#This Row],[LOOKUP PLAYER 2]],TableNameLookup[],10,FALSE)))</f>
        <v/>
      </c>
      <c r="CK52" s="214" t="str">
        <f>IF(MergeNamesTable[[#This Row],[Player 2 Male]]="Female",'Defaults and Lookup Lists'!$B$4,IF(MergeNamesTable[[#This Row],[Tee Markers]]="","",MergeNamesTable[[#This Row],[Tee Markers]]))</f>
        <v/>
      </c>
      <c r="CL52" s="7" t="str">
        <f>IF(MergeNamesTable[[#This Row],[Player 2 Tees]]="","",VLOOKUP(MergeNamesTable[[#This Row],[Player 2 Tees]],TeeMarkerTable,23,FALSE))</f>
        <v/>
      </c>
      <c r="CM52" s="7" t="str">
        <f>IF(MergeNamesTable[[#This Row],[LOOKUP PLAYER 2]]="","",IF(VLOOKUP(MergeNamesTable[[#This Row],[LOOKUP PLAYER 2]],TableNameLookup[],11,FALSE)="","",VLOOKUP(MergeNamesTable[[#This Row],[LOOKUP PLAYER 2]],TableNameLookup[],11,FALSE)))</f>
        <v/>
      </c>
      <c r="CN52" s="25">
        <f>IF(OR(MergeNamesTable[[#This Row],[Player 2 Index]]=0,MergeNamesTable[[#This Row],[Player 2 Index]]=""),0,ROUND((MergeNamesTable[[#This Row],[Player 2 Index]]*MergeNamesTable[[#This Row],[Player 2 Slope]])/113,0))</f>
        <v>0</v>
      </c>
      <c r="CO52" s="220"/>
      <c r="CP52" s="221"/>
      <c r="CQ52" s="191" t="str">
        <f>IF(MergeNamesTable[[#This Row],[LOOKUP PLAYER 3]]="","",IF(VLOOKUP(MergeNamesTable[[#This Row],[LOOKUP PLAYER 3]],TableNameLookup[],2,FALSE)="","",VLOOKUP(MergeNamesTable[[#This Row],[LOOKUP PLAYER 3]],TableNameLookup[],2,FALSE)))</f>
        <v/>
      </c>
      <c r="CR52" s="6" t="str">
        <f>IF(MergeNamesTable[[#This Row],[LOOKUP PLAYER 3]]="","",IF(VLOOKUP(MergeNamesTable[[#This Row],[LOOKUP PLAYER 3]],TableNameLookup[],3,FALSE)="","",VLOOKUP(MergeNamesTable[[#This Row],[LOOKUP PLAYER 3]],TableNameLookup[],3,FALSE)))</f>
        <v/>
      </c>
      <c r="CS52" s="6" t="str">
        <f>IF(MergeNamesTable[[#This Row],[LOOKUP PLAYER 3]]="","",IF(VLOOKUP(MergeNamesTable[[#This Row],[LOOKUP PLAYER 3]],TableNameLookup[],4,FALSE)="","",VLOOKUP(MergeNamesTable[[#This Row],[LOOKUP PLAYER 3]],TableNameLookup[],4,FALSE)))</f>
        <v/>
      </c>
      <c r="CT52" s="6" t="str">
        <f>IF(MergeNamesTable[[#This Row],[LOOKUP PLAYER 3]]="","",IF(VLOOKUP(MergeNamesTable[[#This Row],[LOOKUP PLAYER 3]],TableNameLookup[],5,FALSE)="","",VLOOKUP(MergeNamesTable[[#This Row],[LOOKUP PLAYER 3]],TableNameLookup[],5,FALSE)))</f>
        <v/>
      </c>
      <c r="CU52" s="6" t="str">
        <f>IF(MergeNamesTable[[#This Row],[LOOKUP PLAYER 3]]="","",IF(VLOOKUP(MergeNamesTable[[#This Row],[LOOKUP PLAYER 3]],TableNameLookup[],6,FALSE)="","",VLOOKUP(MergeNamesTable[[#This Row],[LOOKUP PLAYER 3]],TableNameLookup[],6,FALSE)))</f>
        <v/>
      </c>
      <c r="CV52" s="6" t="str">
        <f>IF(MergeNamesTable[[#This Row],[LOOKUP PLAYER 3]]="","",IF(VLOOKUP(MergeNamesTable[[#This Row],[LOOKUP PLAYER 3]],TableNameLookup[],7,FALSE)="","",VLOOKUP(MergeNamesTable[[#This Row],[LOOKUP PLAYER 3]],TableNameLookup[],7,FALSE)))</f>
        <v/>
      </c>
      <c r="CW52" s="214" t="str">
        <f>IF(MergeNamesTable[[#This Row],[LOOKUP PLAYER 3]]="","",IF(VLOOKUP(MergeNamesTable[[#This Row],[LOOKUP PLAYER 3]],'Player Lookup'!$A$4:$K$75,9,FALSE)="","",VLOOKUP(MergeNamesTable[[#This Row],[LOOKUP PLAYER 3]],'Player Lookup'!$A$4:$K$75,9,FALSE)))</f>
        <v/>
      </c>
      <c r="CX52" s="214" t="str">
        <f>IF(MergeNamesTable[[#This Row],[LOOKUP PLAYER 3]]="","",IF(VLOOKUP(MergeNamesTable[[#This Row],[LOOKUP PLAYER 3]],TableNameLookup[],10,FALSE)="","",VLOOKUP(MergeNamesTable[[#This Row],[LOOKUP PLAYER 3]],TableNameLookup[],10,FALSE)))</f>
        <v/>
      </c>
      <c r="CY52" s="214" t="str">
        <f>IF(MergeNamesTable[[#This Row],[Player 3 First Last]]="","",IF(MergeNamesTable[[#This Row],[Player 3 Male]]="Female",'Defaults and Lookup Lists'!$B$4,IF(MergeNamesTable[[#This Row],[Tee Markers]]="","",MergeNamesTable[[#This Row],[Tee Markers]])))</f>
        <v/>
      </c>
      <c r="CZ52" s="7" t="str">
        <f>IF(MergeNamesTable[[#This Row],[Player 3 Tees]]="","",VLOOKUP(MergeNamesTable[[#This Row],[Player 3 Tees]],TeeMarkerTable,23,FALSE))</f>
        <v/>
      </c>
      <c r="DA52" s="7" t="str">
        <f>IF(MergeNamesTable[[#This Row],[LOOKUP PLAYER 3]]="","",IF(VLOOKUP(MergeNamesTable[[#This Row],[LOOKUP PLAYER 3]],TableNameLookup[],11,FALSE)="","",VLOOKUP(MergeNamesTable[[#This Row],[LOOKUP PLAYER 3]],TableNameLookup[],11,FALSE)))</f>
        <v/>
      </c>
      <c r="DB52" s="25">
        <f>IF(OR(MergeNamesTable[[#This Row],[Player 3 Index]]=0,MergeNamesTable[[#This Row],[Player 3 Index]]=""),0,ROUND((MergeNamesTable[[#This Row],[Player 3 Index]]*MergeNamesTable[[#This Row],[Player 3 Slope]])/113,0))</f>
        <v>0</v>
      </c>
      <c r="DC52" s="220"/>
      <c r="DD52" s="214"/>
      <c r="DE52" s="191" t="str">
        <f>IF(MergeNamesTable[[#This Row],[LOOKUP PLAYER 4]]="","",IF(VLOOKUP(MergeNamesTable[[#This Row],[LOOKUP PLAYER 4]],TableNameLookup[],2,FALSE)="","",VLOOKUP(MergeNamesTable[[#This Row],[LOOKUP PLAYER 4]],TableNameLookup[],2,FALSE)))</f>
        <v/>
      </c>
      <c r="DF52" s="6" t="str">
        <f>IF(MergeNamesTable[[#This Row],[LOOKUP PLAYER 4]]="","",IF(VLOOKUP(MergeNamesTable[[#This Row],[LOOKUP PLAYER 4]],TableNameLookup[],3,FALSE)="","",VLOOKUP(MergeNamesTable[[#This Row],[LOOKUP PLAYER 4]],TableNameLookup[],3,FALSE)))</f>
        <v/>
      </c>
      <c r="DG52" s="6" t="str">
        <f>IF(MergeNamesTable[[#This Row],[LOOKUP PLAYER 4]]="","",IF(VLOOKUP(MergeNamesTable[[#This Row],[LOOKUP PLAYER 4]],TableNameLookup[],4,FALSE)="","",VLOOKUP(MergeNamesTable[[#This Row],[LOOKUP PLAYER 4]],TableNameLookup[],4,FALSE)))</f>
        <v/>
      </c>
      <c r="DH52" s="6" t="str">
        <f>IF(MergeNamesTable[[#This Row],[LOOKUP PLAYER 4]]="","",IF(VLOOKUP(MergeNamesTable[[#This Row],[LOOKUP PLAYER 4]],TableNameLookup[],5,FALSE)="","",VLOOKUP(MergeNamesTable[[#This Row],[LOOKUP PLAYER 4]],TableNameLookup[],5,FALSE)))</f>
        <v/>
      </c>
      <c r="DI52" s="6" t="str">
        <f>IF(MergeNamesTable[[#This Row],[LOOKUP PLAYER 4]]="","",IF(VLOOKUP(MergeNamesTable[[#This Row],[LOOKUP PLAYER 4]],TableNameLookup[],6,FALSE)="","",VLOOKUP(MergeNamesTable[[#This Row],[LOOKUP PLAYER 4]],TableNameLookup[],6,FALSE)))</f>
        <v/>
      </c>
      <c r="DJ52" s="6" t="str">
        <f>IF(MergeNamesTable[[#This Row],[LOOKUP PLAYER 4]]="","",IF(VLOOKUP(MergeNamesTable[[#This Row],[LOOKUP PLAYER 4]],TableNameLookup[],7,FALSE)="","",VLOOKUP(MergeNamesTable[[#This Row],[LOOKUP PLAYER 4]],TableNameLookup[],7,FALSE)))</f>
        <v/>
      </c>
      <c r="DK52" s="214" t="str">
        <f>IF(MergeNamesTable[[#This Row],[LOOKUP PLAYER 4]]="","",IF(VLOOKUP(MergeNamesTable[[#This Row],[LOOKUP PLAYER 4]],TableNameLookup[],9,FALSE)="","",VLOOKUP(MergeNamesTable[[#This Row],[LOOKUP PLAYER 4]],TableNameLookup[],9,FALSE)))</f>
        <v/>
      </c>
      <c r="DL52" s="214" t="str">
        <f>IF(MergeNamesTable[[#This Row],[LOOKUP PLAYER 4]]="","",IF(VLOOKUP(MergeNamesTable[[#This Row],[LOOKUP PLAYER 4]],TableNameLookup[],10,FALSE)="","",VLOOKUP(MergeNamesTable[[#This Row],[LOOKUP PLAYER 4]],TableNameLookup[],10,FALSE)))</f>
        <v/>
      </c>
      <c r="DM52" s="214" t="str">
        <f>IF(MergeNamesTable[[#This Row],[Player 4 First Last]]="","",IF(MergeNamesTable[[#This Row],[Player 4 Male]]="Female",'Defaults and Lookup Lists'!$B$4,IF(MergeNamesTable[[#This Row],[Tee Markers]]="","",MergeNamesTable[[#This Row],[Tee Markers]])))</f>
        <v/>
      </c>
      <c r="DN52" s="7" t="str">
        <f>IF(MergeNamesTable[[#This Row],[Player 4 Tees]]="","",VLOOKUP(MergeNamesTable[[#This Row],[Player 4 Tees]],TeeMarkerTable,23,FALSE))</f>
        <v/>
      </c>
      <c r="DO52" s="7" t="str">
        <f>IF(MergeNamesTable[[#This Row],[LOOKUP PLAYER 4]]="","",IF(VLOOKUP(MergeNamesTable[[#This Row],[LOOKUP PLAYER 4]],TableNameLookup[],11,FALSE)="","",VLOOKUP(MergeNamesTable[[#This Row],[LOOKUP PLAYER 4]],TableNameLookup[],11,FALSE)))</f>
        <v/>
      </c>
      <c r="DP52" s="25">
        <f>IF(OR(MergeNamesTable[[#This Row],[Player 4 Index]]=0,MergeNamesTable[[#This Row],[Player 4 Index]]=""),0,ROUND((MergeNamesTable[[#This Row],[Player 4 Index]]*MergeNamesTable[[#This Row],[Player 4 Slope]])/113,0))</f>
        <v>0</v>
      </c>
      <c r="DQ52" s="220"/>
      <c r="DR52" s="213"/>
      <c r="DS52" s="69" t="str">
        <f>IF(MergeNamesTable[[#This Row],[LOOKUP PLAYER 5]]="","",IF(VLOOKUP(MergeNamesTable[[#This Row],[LOOKUP PLAYER 5]],TableNameLookup[],2,FALSE)="","",VLOOKUP(MergeNamesTable[[#This Row],[LOOKUP PLAYER 5]],TableNameLookup[],2,FALSE)))</f>
        <v/>
      </c>
      <c r="DT52" s="69" t="str">
        <f>IF(MergeNamesTable[[#This Row],[LOOKUP PLAYER 5]]="","",IF(VLOOKUP(MergeNamesTable[[#This Row],[LOOKUP PLAYER 5]],TableNameLookup[],3,FALSE)="","",VLOOKUP(MergeNamesTable[[#This Row],[LOOKUP PLAYER 5]],TableNameLookup[],3,FALSE)))</f>
        <v/>
      </c>
      <c r="DU52" s="69" t="str">
        <f>IF(MergeNamesTable[[#This Row],[LOOKUP PLAYER 5]]="","",IF(VLOOKUP(MergeNamesTable[[#This Row],[LOOKUP PLAYER 5]],TableNameLookup[],4,FALSE)="","",VLOOKUP(MergeNamesTable[[#This Row],[LOOKUP PLAYER 5]],TableNameLookup[],4,FALSE)))</f>
        <v/>
      </c>
      <c r="DV52" s="69" t="str">
        <f>IF(MergeNamesTable[[#This Row],[LOOKUP PLAYER 5]]="","",IF(VLOOKUP(MergeNamesTable[[#This Row],[LOOKUP PLAYER 5]],TableNameLookup[],5,FALSE)="","",VLOOKUP(MergeNamesTable[[#This Row],[LOOKUP PLAYER 5]],TableNameLookup[],5,FALSE)))</f>
        <v/>
      </c>
      <c r="DW52" s="69" t="str">
        <f>IF(MergeNamesTable[[#This Row],[LOOKUP PLAYER 5]]="","",IF(VLOOKUP(MergeNamesTable[[#This Row],[LOOKUP PLAYER 5]],TableNameLookup[],6,FALSE)="","",VLOOKUP(MergeNamesTable[[#This Row],[LOOKUP PLAYER 5]],TableNameLookup[],6,FALSE)))</f>
        <v/>
      </c>
      <c r="DX52" s="69" t="str">
        <f>IF(MergeNamesTable[[#This Row],[LOOKUP PLAYER 5]]="","",IF(VLOOKUP(MergeNamesTable[[#This Row],[LOOKUP PLAYER 5]],TableNameLookup[],7,FALSE)="","",VLOOKUP(MergeNamesTable[[#This Row],[LOOKUP PLAYER 5]],TableNameLookup[],7,FALSE)))</f>
        <v/>
      </c>
      <c r="DY52" s="213" t="str">
        <f>IF(MergeNamesTable[[#This Row],[LOOKUP PLAYER 5]]="","",IF(VLOOKUP(MergeNamesTable[[#This Row],[LOOKUP PLAYER 5]],TableNameLookup[],9,FALSE)="","",VLOOKUP(MergeNamesTable[[#This Row],[LOOKUP PLAYER 5]],TableNameLookup[],9,FALSE)))</f>
        <v/>
      </c>
      <c r="DZ52" s="213" t="str">
        <f>IF(MergeNamesTable[[#This Row],[LOOKUP PLAYER 5]]="","",IF(VLOOKUP(MergeNamesTable[[#This Row],[LOOKUP PLAYER 5]],TableNameLookup[],10,FALSE)="","",VLOOKUP(MergeNamesTable[[#This Row],[LOOKUP PLAYER 5]],TableNameLookup[],10,FALSE)))</f>
        <v/>
      </c>
      <c r="EA52" s="213" t="str">
        <f>IF(MergeNamesTable[[#This Row],[Player 5 First Last]]="","",IF(MergeNamesTable[[#This Row],[Player 5 Male]]="Female",'Defaults and Lookup Lists'!$B$4,IF(MergeNamesTable[[#This Row],[Tee Markers]]="","",MergeNamesTable[[#This Row],[Tee Markers]])))</f>
        <v/>
      </c>
      <c r="EB52" s="192" t="str">
        <f>IF(MergeNamesTable[[#This Row],[Player 5 Tees]]="","",VLOOKUP(MergeNamesTable[[#This Row],[Player 5 Tees]],TeeMarkerTable,23,FALSE))</f>
        <v/>
      </c>
      <c r="EC52" s="8" t="str">
        <f>IF(MergeNamesTable[[#This Row],[LOOKUP PLAYER 5]]="","",IF(VLOOKUP(MergeNamesTable[[#This Row],[LOOKUP PLAYER 5]],TableNameLookup[],11,FALSE)="","",VLOOKUP(MergeNamesTable[[#This Row],[LOOKUP PLAYER 5]],TableNameLookup[],11,FALSE)))</f>
        <v/>
      </c>
      <c r="ED52" s="25">
        <f>IF(OR(MergeNamesTable[[#This Row],[Player 5 Index]]=0,MergeNamesTable[[#This Row],[Player 5 Index]]=""),0,ROUND((MergeNamesTable[[#This Row],[Player 5 Index]]*MergeNamesTable[[#This Row],[Player 5 Slope]])/113,0))</f>
        <v>0</v>
      </c>
      <c r="EE52" s="220"/>
      <c r="EF52" s="7"/>
      <c r="EG52" s="70" t="str">
        <f>IF(MergeNamesTable[[#This Row],[Player 1 Male]]="Female",IF(MergeNamesTable[[#This Row],[Player 1 Handicap]]&gt;=54+'Course Information'!B$12,"••••",IF(MergeNamesTable[[#This Row],[Player 1 Handicap]]&gt;=36+'Course Information'!B$12,"•••",IF(MergeNamesTable[[#This Row],[Player 1 Handicap]]&gt;=18+'Course Information'!B$12,"••",IF(MergeNamesTable[[#This Row],[Player 1 Handicap]]&gt;='Course Information'!B$12,"•",IF(MergeNamesTable[[#This Row],[Player 1 Handicap]]&lt;='Course Information'!B$12-19,"+1",""))))),IF(MergeNamesTable[[#This Row],[Player 1 Handicap]]&gt;=54+'Course Information'!B$7,"••••",IF(MergeNamesTable[[#This Row],[Player 1 Handicap]]&gt;=36+'Course Information'!B$7,"•••",IF(MergeNamesTable[[#This Row],[Player 1 Handicap]]&gt;=18+'Course Information'!B$7,"••",IF(MergeNamesTable[[#This Row],[Player 1 Handicap]]&gt;='Course Information'!B$7,"•",IF(MergeNamesTable[[#This Row],[Player 1 Handicap]]&lt;='Course Information'!B$7-19,"+1",""))))))</f>
        <v/>
      </c>
      <c r="EH52" s="70" t="str">
        <f>IF(MergeNamesTable[[#This Row],[Player 1 Male]]="Female",IF(MergeNamesTable[[#This Row],[Player 1 Handicap]]&gt;=54+'Course Information'!C$12,"••••",IF(MergeNamesTable[[#This Row],[Player 1 Handicap]]&gt;=36+'Course Information'!C$12,"•••",IF(MergeNamesTable[[#This Row],[Player 1 Handicap]]&gt;=18+'Course Information'!C$12,"••",IF(MergeNamesTable[[#This Row],[Player 1 Handicap]]&gt;='Course Information'!C$12,"•",IF(MergeNamesTable[[#This Row],[Player 1 Handicap]]&lt;='Course Information'!C$12-19,"+1",""))))),IF(MergeNamesTable[[#This Row],[Player 1 Handicap]]&gt;=54+'Course Information'!C$7,"••••",IF(MergeNamesTable[[#This Row],[Player 1 Handicap]]&gt;=36+'Course Information'!C$7,"•••",IF(MergeNamesTable[[#This Row],[Player 1 Handicap]]&gt;=18+'Course Information'!C$7,"••",IF(MergeNamesTable[[#This Row],[Player 1 Handicap]]&gt;='Course Information'!C$7,"•",IF(MergeNamesTable[[#This Row],[Player 1 Handicap]]&lt;='Course Information'!C$7-19,"+1",""))))))</f>
        <v/>
      </c>
      <c r="EI52" s="70" t="str">
        <f>IF(MergeNamesTable[[#This Row],[Player 1 Male]]="Female",IF(MergeNamesTable[[#This Row],[Player 1 Handicap]]&gt;=54+'Course Information'!D$12,"••••",IF(MergeNamesTable[[#This Row],[Player 1 Handicap]]&gt;=36+'Course Information'!D$12,"•••",IF(MergeNamesTable[[#This Row],[Player 1 Handicap]]&gt;=18+'Course Information'!D$12,"••",IF(MergeNamesTable[[#This Row],[Player 1 Handicap]]&gt;='Course Information'!D$12,"•",IF(MergeNamesTable[[#This Row],[Player 1 Handicap]]&lt;='Course Information'!D$12-19,"+1",""))))),IF(MergeNamesTable[[#This Row],[Player 1 Handicap]]&gt;=54+'Course Information'!D$7,"••••",IF(MergeNamesTable[[#This Row],[Player 1 Handicap]]&gt;=36+'Course Information'!D$7,"•••",IF(MergeNamesTable[[#This Row],[Player 1 Handicap]]&gt;=18+'Course Information'!D$7,"••",IF(MergeNamesTable[[#This Row],[Player 1 Handicap]]&gt;='Course Information'!D$7,"•",IF(MergeNamesTable[[#This Row],[Player 1 Handicap]]&lt;='Course Information'!D$7-19,"+1",""))))))</f>
        <v/>
      </c>
      <c r="EJ52" s="70" t="str">
        <f>IF(MergeNamesTable[[#This Row],[Player 1 Male]]="Female",IF(MergeNamesTable[[#This Row],[Player 1 Handicap]]&gt;=54+'Course Information'!E$12,"••••",IF(MergeNamesTable[[#This Row],[Player 1 Handicap]]&gt;=36+'Course Information'!E$12,"•••",IF(MergeNamesTable[[#This Row],[Player 1 Handicap]]&gt;=18+'Course Information'!E$12,"••",IF(MergeNamesTable[[#This Row],[Player 1 Handicap]]&gt;='Course Information'!E$12,"•",IF(MergeNamesTable[[#This Row],[Player 1 Handicap]]&lt;='Course Information'!E$12-19,"+1",""))))),IF(MergeNamesTable[[#This Row],[Player 1 Handicap]]&gt;=54+'Course Information'!E$7,"••••",IF(MergeNamesTable[[#This Row],[Player 1 Handicap]]&gt;=36+'Course Information'!E$7,"•••",IF(MergeNamesTable[[#This Row],[Player 1 Handicap]]&gt;=18+'Course Information'!E$7,"••",IF(MergeNamesTable[[#This Row],[Player 1 Handicap]]&gt;='Course Information'!E$7,"•",IF(MergeNamesTable[[#This Row],[Player 1 Handicap]]&lt;='Course Information'!E$7-19,"+1",""))))))</f>
        <v/>
      </c>
      <c r="EK52" s="70" t="str">
        <f>IF(MergeNamesTable[[#This Row],[Player 1 Male]]="Female",IF(MergeNamesTable[[#This Row],[Player 1 Handicap]]&gt;=54+'Course Information'!F$12,"••••",IF(MergeNamesTable[[#This Row],[Player 1 Handicap]]&gt;=36+'Course Information'!F$12,"•••",IF(MergeNamesTable[[#This Row],[Player 1 Handicap]]&gt;=18+'Course Information'!F$12,"••",IF(MergeNamesTable[[#This Row],[Player 1 Handicap]]&gt;='Course Information'!F$12,"•",IF(MergeNamesTable[[#This Row],[Player 1 Handicap]]&lt;='Course Information'!F$12-19,"+1",""))))),IF(MergeNamesTable[[#This Row],[Player 1 Handicap]]&gt;=54+'Course Information'!F$7,"••••",IF(MergeNamesTable[[#This Row],[Player 1 Handicap]]&gt;=36+'Course Information'!F$7,"•••",IF(MergeNamesTable[[#This Row],[Player 1 Handicap]]&gt;=18+'Course Information'!F$7,"••",IF(MergeNamesTable[[#This Row],[Player 1 Handicap]]&gt;='Course Information'!F$7,"•",IF(MergeNamesTable[[#This Row],[Player 1 Handicap]]&lt;='Course Information'!F$7-19,"+1",""))))))</f>
        <v/>
      </c>
      <c r="EL52" s="70" t="str">
        <f>IF(MergeNamesTable[[#This Row],[Player 1 Male]]="Female",IF(MergeNamesTable[[#This Row],[Player 1 Handicap]]&gt;=54+'Course Information'!G$12,"••••",IF(MergeNamesTable[[#This Row],[Player 1 Handicap]]&gt;=36+'Course Information'!G$12,"•••",IF(MergeNamesTable[[#This Row],[Player 1 Handicap]]&gt;=18+'Course Information'!G$12,"••",IF(MergeNamesTable[[#This Row],[Player 1 Handicap]]&gt;='Course Information'!G$12,"•",IF(MergeNamesTable[[#This Row],[Player 1 Handicap]]&lt;='Course Information'!G$12-19,"+1",""))))),IF(MergeNamesTable[[#This Row],[Player 1 Handicap]]&gt;=54+'Course Information'!G$7,"••••",IF(MergeNamesTable[[#This Row],[Player 1 Handicap]]&gt;=36+'Course Information'!G$7,"•••",IF(MergeNamesTable[[#This Row],[Player 1 Handicap]]&gt;=18+'Course Information'!G$7,"••",IF(MergeNamesTable[[#This Row],[Player 1 Handicap]]&gt;='Course Information'!G$7,"•",IF(MergeNamesTable[[#This Row],[Player 1 Handicap]]&lt;='Course Information'!G$7-19,"+1",""))))))</f>
        <v/>
      </c>
      <c r="EM52" s="70" t="str">
        <f>IF(MergeNamesTable[[#This Row],[Player 1 Male]]="Female",IF(MergeNamesTable[[#This Row],[Player 1 Handicap]]&gt;=54+'Course Information'!H$12,"••••",IF(MergeNamesTable[[#This Row],[Player 1 Handicap]]&gt;=36+'Course Information'!H$12,"•••",IF(MergeNamesTable[[#This Row],[Player 1 Handicap]]&gt;=18+'Course Information'!H$12,"••",IF(MergeNamesTable[[#This Row],[Player 1 Handicap]]&gt;='Course Information'!H$12,"•",IF(MergeNamesTable[[#This Row],[Player 1 Handicap]]&lt;='Course Information'!H$12-19,"+1",""))))),IF(MergeNamesTable[[#This Row],[Player 1 Handicap]]&gt;=54+'Course Information'!H$7,"••••",IF(MergeNamesTable[[#This Row],[Player 1 Handicap]]&gt;=36+'Course Information'!H$7,"•••",IF(MergeNamesTable[[#This Row],[Player 1 Handicap]]&gt;=18+'Course Information'!H$7,"••",IF(MergeNamesTable[[#This Row],[Player 1 Handicap]]&gt;='Course Information'!H$7,"•",IF(MergeNamesTable[[#This Row],[Player 1 Handicap]]&lt;='Course Information'!H$7-19,"+1",""))))))</f>
        <v/>
      </c>
      <c r="EN52" s="70" t="str">
        <f>IF(MergeNamesTable[[#This Row],[Player 1 Male]]="Female",IF(MergeNamesTable[[#This Row],[Player 1 Handicap]]&gt;=54+'Course Information'!I$12,"••••",IF(MergeNamesTable[[#This Row],[Player 1 Handicap]]&gt;=36+'Course Information'!I$12,"•••",IF(MergeNamesTable[[#This Row],[Player 1 Handicap]]&gt;=18+'Course Information'!I$12,"••",IF(MergeNamesTable[[#This Row],[Player 1 Handicap]]&gt;='Course Information'!I$12,"•",IF(MergeNamesTable[[#This Row],[Player 1 Handicap]]&lt;='Course Information'!I$12-19,"+1",""))))),IF(MergeNamesTable[[#This Row],[Player 1 Handicap]]&gt;=54+'Course Information'!I$7,"••••",IF(MergeNamesTable[[#This Row],[Player 1 Handicap]]&gt;=36+'Course Information'!I$7,"•••",IF(MergeNamesTable[[#This Row],[Player 1 Handicap]]&gt;=18+'Course Information'!I$7,"••",IF(MergeNamesTable[[#This Row],[Player 1 Handicap]]&gt;='Course Information'!I$7,"•",IF(MergeNamesTable[[#This Row],[Player 1 Handicap]]&lt;='Course Information'!I$7-19,"+1",""))))))</f>
        <v/>
      </c>
      <c r="EO52" s="70" t="str">
        <f>IF(MergeNamesTable[[#This Row],[Player 1 Male]]="Female",IF(MergeNamesTable[[#This Row],[Player 1 Handicap]]&gt;=54+'Course Information'!J$12,"••••",IF(MergeNamesTable[[#This Row],[Player 1 Handicap]]&gt;=36+'Course Information'!J$12,"•••",IF(MergeNamesTable[[#This Row],[Player 1 Handicap]]&gt;=18+'Course Information'!J$12,"••",IF(MergeNamesTable[[#This Row],[Player 1 Handicap]]&gt;='Course Information'!J$12,"•",IF(MergeNamesTable[[#This Row],[Player 1 Handicap]]&lt;='Course Information'!J$12-19,"+1",""))))),IF(MergeNamesTable[[#This Row],[Player 1 Handicap]]&gt;=54+'Course Information'!J$7,"••••",IF(MergeNamesTable[[#This Row],[Player 1 Handicap]]&gt;=36+'Course Information'!J$7,"•••",IF(MergeNamesTable[[#This Row],[Player 1 Handicap]]&gt;=18+'Course Information'!J$7,"••",IF(MergeNamesTable[[#This Row],[Player 1 Handicap]]&gt;='Course Information'!J$7,"•",IF(MergeNamesTable[[#This Row],[Player 1 Handicap]]&lt;='Course Information'!J$7-19,"+1",""))))))</f>
        <v/>
      </c>
      <c r="EP52" s="193"/>
      <c r="EQ52" s="70" t="str">
        <f>IF(MergeNamesTable[[#This Row],[Player 1 Male]]="Female",IF(MergeNamesTable[[#This Row],[Player 1 Handicap]]&gt;=54+'Course Information'!L$12,"••••",IF(MergeNamesTable[[#This Row],[Player 1 Handicap]]&gt;=36+'Course Information'!L$12,"•••",IF(MergeNamesTable[[#This Row],[Player 1 Handicap]]&gt;=18+'Course Information'!L$12,"••",IF(MergeNamesTable[[#This Row],[Player 1 Handicap]]&gt;='Course Information'!L$12,"•",IF(MergeNamesTable[[#This Row],[Player 1 Handicap]]&lt;='Course Information'!L$12-19,"+1",""))))),IF(MergeNamesTable[[#This Row],[Player 1 Handicap]]&gt;=54+'Course Information'!L$7,"••••",IF(MergeNamesTable[[#This Row],[Player 1 Handicap]]&gt;=36+'Course Information'!L$7,"•••",IF(MergeNamesTable[[#This Row],[Player 1 Handicap]]&gt;=18+'Course Information'!L$7,"••",IF(MergeNamesTable[[#This Row],[Player 1 Handicap]]&gt;='Course Information'!L$7,"•",IF(MergeNamesTable[[#This Row],[Player 1 Handicap]]&lt;='Course Information'!L$7-19,"+1",""))))))</f>
        <v/>
      </c>
      <c r="ER52" s="70" t="str">
        <f>IF(MergeNamesTable[[#This Row],[Player 1 Male]]="Female",IF(MergeNamesTable[[#This Row],[Player 1 Handicap]]&gt;=54+'Course Information'!M$12,"••••",IF(MergeNamesTable[[#This Row],[Player 1 Handicap]]&gt;=36+'Course Information'!M$12,"•••",IF(MergeNamesTable[[#This Row],[Player 1 Handicap]]&gt;=18+'Course Information'!M$12,"••",IF(MergeNamesTable[[#This Row],[Player 1 Handicap]]&gt;='Course Information'!M$12,"•",IF(MergeNamesTable[[#This Row],[Player 1 Handicap]]&lt;='Course Information'!M$12-19,"+1",""))))),IF(MergeNamesTable[[#This Row],[Player 1 Handicap]]&gt;=54+'Course Information'!M$7,"••••",IF(MergeNamesTable[[#This Row],[Player 1 Handicap]]&gt;=36+'Course Information'!M$7,"•••",IF(MergeNamesTable[[#This Row],[Player 1 Handicap]]&gt;=18+'Course Information'!M$7,"••",IF(MergeNamesTable[[#This Row],[Player 1 Handicap]]&gt;='Course Information'!M$7,"•",IF(MergeNamesTable[[#This Row],[Player 1 Handicap]]&lt;='Course Information'!M$7-19,"+1",""))))))</f>
        <v/>
      </c>
      <c r="ES52" s="70" t="str">
        <f>IF(MergeNamesTable[[#This Row],[Player 1 Male]]="Female",IF(MergeNamesTable[[#This Row],[Player 1 Handicap]]&gt;=54+'Course Information'!N$12,"••••",IF(MergeNamesTable[[#This Row],[Player 1 Handicap]]&gt;=36+'Course Information'!N$12,"•••",IF(MergeNamesTable[[#This Row],[Player 1 Handicap]]&gt;=18+'Course Information'!N$12,"••",IF(MergeNamesTable[[#This Row],[Player 1 Handicap]]&gt;='Course Information'!N$12,"•",IF(MergeNamesTable[[#This Row],[Player 1 Handicap]]&lt;='Course Information'!N$12-19,"+1",""))))),IF(MergeNamesTable[[#This Row],[Player 1 Handicap]]&gt;=54+'Course Information'!N$7,"••••",IF(MergeNamesTable[[#This Row],[Player 1 Handicap]]&gt;=36+'Course Information'!N$7,"•••",IF(MergeNamesTable[[#This Row],[Player 1 Handicap]]&gt;=18+'Course Information'!N$7,"••",IF(MergeNamesTable[[#This Row],[Player 1 Handicap]]&gt;='Course Information'!N$7,"•",IF(MergeNamesTable[[#This Row],[Player 1 Handicap]]&lt;='Course Information'!N$7-19,"+1",""))))))</f>
        <v/>
      </c>
      <c r="ET52" s="70" t="str">
        <f>IF(MergeNamesTable[[#This Row],[Player 1 Male]]="Female",IF(MergeNamesTable[[#This Row],[Player 1 Handicap]]&gt;=54+'Course Information'!O$12,"••••",IF(MergeNamesTable[[#This Row],[Player 1 Handicap]]&gt;=36+'Course Information'!O$12,"•••",IF(MergeNamesTable[[#This Row],[Player 1 Handicap]]&gt;=18+'Course Information'!O$12,"••",IF(MergeNamesTable[[#This Row],[Player 1 Handicap]]&gt;='Course Information'!O$12,"•",IF(MergeNamesTable[[#This Row],[Player 1 Handicap]]&lt;='Course Information'!O$12-19,"+1",""))))),IF(MergeNamesTable[[#This Row],[Player 1 Handicap]]&gt;=54+'Course Information'!O$7,"••••",IF(MergeNamesTable[[#This Row],[Player 1 Handicap]]&gt;=36+'Course Information'!O$7,"•••",IF(MergeNamesTable[[#This Row],[Player 1 Handicap]]&gt;=18+'Course Information'!O$7,"••",IF(MergeNamesTable[[#This Row],[Player 1 Handicap]]&gt;='Course Information'!O$7,"•",IF(MergeNamesTable[[#This Row],[Player 1 Handicap]]&lt;='Course Information'!O$7-19,"+1",""))))))</f>
        <v/>
      </c>
      <c r="EU52" s="70" t="str">
        <f>IF(MergeNamesTable[[#This Row],[Player 1 Male]]="Female",IF(MergeNamesTable[[#This Row],[Player 1 Handicap]]&gt;=54+'Course Information'!P$12,"••••",IF(MergeNamesTable[[#This Row],[Player 1 Handicap]]&gt;=36+'Course Information'!P$12,"•••",IF(MergeNamesTable[[#This Row],[Player 1 Handicap]]&gt;=18+'Course Information'!P$12,"••",IF(MergeNamesTable[[#This Row],[Player 1 Handicap]]&gt;='Course Information'!P$12,"•",IF(MergeNamesTable[[#This Row],[Player 1 Handicap]]&lt;='Course Information'!P$12-19,"+1",""))))),IF(MergeNamesTable[[#This Row],[Player 1 Handicap]]&gt;=54+'Course Information'!P$7,"••••",IF(MergeNamesTable[[#This Row],[Player 1 Handicap]]&gt;=36+'Course Information'!P$7,"•••",IF(MergeNamesTable[[#This Row],[Player 1 Handicap]]&gt;=18+'Course Information'!P$7,"••",IF(MergeNamesTable[[#This Row],[Player 1 Handicap]]&gt;='Course Information'!P$7,"•",IF(MergeNamesTable[[#This Row],[Player 1 Handicap]]&lt;='Course Information'!P$7-19,"+1",""))))))</f>
        <v/>
      </c>
      <c r="EV52" s="70" t="str">
        <f>IF(MergeNamesTable[[#This Row],[Player 1 Male]]="Female",IF(MergeNamesTable[[#This Row],[Player 1 Handicap]]&gt;=54+'Course Information'!Q$12,"••••",IF(MergeNamesTable[[#This Row],[Player 1 Handicap]]&gt;=36+'Course Information'!Q$12,"•••",IF(MergeNamesTable[[#This Row],[Player 1 Handicap]]&gt;=18+'Course Information'!Q$12,"••",IF(MergeNamesTable[[#This Row],[Player 1 Handicap]]&gt;='Course Information'!Q$12,"•",IF(MergeNamesTable[[#This Row],[Player 1 Handicap]]&lt;='Course Information'!Q$12-19,"+1",""))))),IF(MergeNamesTable[[#This Row],[Player 1 Handicap]]&gt;=54+'Course Information'!Q$7,"••••",IF(MergeNamesTable[[#This Row],[Player 1 Handicap]]&gt;=36+'Course Information'!Q$7,"•••",IF(MergeNamesTable[[#This Row],[Player 1 Handicap]]&gt;=18+'Course Information'!Q$7,"••",IF(MergeNamesTable[[#This Row],[Player 1 Handicap]]&gt;='Course Information'!Q$7,"•",IF(MergeNamesTable[[#This Row],[Player 1 Handicap]]&lt;='Course Information'!Q$7-19,"+1",""))))))</f>
        <v/>
      </c>
      <c r="EW52" s="70" t="str">
        <f>IF(MergeNamesTable[[#This Row],[Player 1 Male]]="Female",IF(MergeNamesTable[[#This Row],[Player 1 Handicap]]&gt;=54+'Course Information'!R$12,"••••",IF(MergeNamesTable[[#This Row],[Player 1 Handicap]]&gt;=36+'Course Information'!R$12,"•••",IF(MergeNamesTable[[#This Row],[Player 1 Handicap]]&gt;=18+'Course Information'!R$12,"••",IF(MergeNamesTable[[#This Row],[Player 1 Handicap]]&gt;='Course Information'!R$12,"•",IF(MergeNamesTable[[#This Row],[Player 1 Handicap]]&lt;='Course Information'!R$12-19,"+1",""))))),IF(MergeNamesTable[[#This Row],[Player 1 Handicap]]&gt;=54+'Course Information'!R$7,"••••",IF(MergeNamesTable[[#This Row],[Player 1 Handicap]]&gt;=36+'Course Information'!R$7,"•••",IF(MergeNamesTable[[#This Row],[Player 1 Handicap]]&gt;=18+'Course Information'!R$7,"••",IF(MergeNamesTable[[#This Row],[Player 1 Handicap]]&gt;='Course Information'!R$7,"•",IF(MergeNamesTable[[#This Row],[Player 1 Handicap]]&lt;='Course Information'!R$7-19,"+1",""))))))</f>
        <v/>
      </c>
      <c r="EX52" s="70" t="str">
        <f>IF(MergeNamesTable[[#This Row],[Player 1 Male]]="Female",IF(MergeNamesTable[[#This Row],[Player 1 Handicap]]&gt;=54+'Course Information'!S$12,"••••",IF(MergeNamesTable[[#This Row],[Player 1 Handicap]]&gt;=36+'Course Information'!S$12,"•••",IF(MergeNamesTable[[#This Row],[Player 1 Handicap]]&gt;=18+'Course Information'!S$12,"••",IF(MergeNamesTable[[#This Row],[Player 1 Handicap]]&gt;='Course Information'!S$12,"•",IF(MergeNamesTable[[#This Row],[Player 1 Handicap]]&lt;='Course Information'!S$12-19,"+1",""))))),IF(MergeNamesTable[[#This Row],[Player 1 Handicap]]&gt;=54+'Course Information'!S$7,"••••",IF(MergeNamesTable[[#This Row],[Player 1 Handicap]]&gt;=36+'Course Information'!S$7,"•••",IF(MergeNamesTable[[#This Row],[Player 1 Handicap]]&gt;=18+'Course Information'!S$7,"••",IF(MergeNamesTable[[#This Row],[Player 1 Handicap]]&gt;='Course Information'!S$7,"•",IF(MergeNamesTable[[#This Row],[Player 1 Handicap]]&lt;='Course Information'!S$7-19,"+1",""))))))</f>
        <v/>
      </c>
      <c r="EY52" s="70" t="str">
        <f>IF(MergeNamesTable[[#This Row],[Player 1 Male]]="Female",IF(MergeNamesTable[[#This Row],[Player 1 Handicap]]&gt;=54+'Course Information'!T$12,"••••",IF(MergeNamesTable[[#This Row],[Player 1 Handicap]]&gt;=36+'Course Information'!T$12,"•••",IF(MergeNamesTable[[#This Row],[Player 1 Handicap]]&gt;=18+'Course Information'!T$12,"••",IF(MergeNamesTable[[#This Row],[Player 1 Handicap]]&gt;='Course Information'!T$12,"•",IF(MergeNamesTable[[#This Row],[Player 1 Handicap]]&lt;='Course Information'!T$12-19,"+1",""))))),IF(MergeNamesTable[[#This Row],[Player 1 Handicap]]&gt;=54+'Course Information'!T$7,"••••",IF(MergeNamesTable[[#This Row],[Player 1 Handicap]]&gt;=36+'Course Information'!T$7,"•••",IF(MergeNamesTable[[#This Row],[Player 1 Handicap]]&gt;=18+'Course Information'!T$7,"••",IF(MergeNamesTable[[#This Row],[Player 1 Handicap]]&gt;='Course Information'!T$7,"•",IF(MergeNamesTable[[#This Row],[Player 1 Handicap]]&lt;='Course Information'!T$7-19,"+1",""))))))</f>
        <v/>
      </c>
      <c r="EZ52" s="196"/>
      <c r="FA52" s="70" t="str">
        <f>IF(MergeNamesTable[[#This Row],[Player 2 Male]]="Female",IF(MergeNamesTable[[#This Row],[Player 2 Handicap]]&gt;=54+'Course Information'!B$12,"••••",IF(MergeNamesTable[[#This Row],[Player 2 Handicap]]&gt;=36+'Course Information'!B$12,"•••",IF(MergeNamesTable[[#This Row],[Player 2 Handicap]]&gt;=18+'Course Information'!B$12,"••",IF(MergeNamesTable[[#This Row],[Player 2 Handicap]]&gt;='Course Information'!B$12,"•",IF(MergeNamesTable[[#This Row],[Player 2 Handicap]]&lt;='Course Information'!B$12-19,"+1",""))))),IF(MergeNamesTable[[#This Row],[Player 2 Handicap]]&gt;=54+'Course Information'!B$7,"••••",IF(MergeNamesTable[[#This Row],[Player 2 Handicap]]&gt;=36+'Course Information'!B$7,"•••",IF(MergeNamesTable[[#This Row],[Player 2 Handicap]]&gt;=18+'Course Information'!B$7,"••",IF(MergeNamesTable[[#This Row],[Player 2 Handicap]]&gt;='Course Information'!B$7,"•",IF(MergeNamesTable[[#This Row],[Player 2 Handicap]]&lt;='Course Information'!B$7-19,"+1",""))))))</f>
        <v/>
      </c>
      <c r="FB52" s="70" t="str">
        <f>IF(MergeNamesTable[[#This Row],[Player 2 Male]]="Female",IF(MergeNamesTable[[#This Row],[Player 2 Handicap]]&gt;=54+'Course Information'!C$12,"••••",IF(MergeNamesTable[[#This Row],[Player 2 Handicap]]&gt;=36+'Course Information'!C$12,"•••",IF(MergeNamesTable[[#This Row],[Player 2 Handicap]]&gt;=18+'Course Information'!C$12,"••",IF(MergeNamesTable[[#This Row],[Player 2 Handicap]]&gt;='Course Information'!C$12,"•",IF(MergeNamesTable[[#This Row],[Player 2 Handicap]]&lt;='Course Information'!C$12-19,"+1",""))))),IF(MergeNamesTable[[#This Row],[Player 2 Handicap]]&gt;=54+'Course Information'!C$7,"••••",IF(MergeNamesTable[[#This Row],[Player 2 Handicap]]&gt;=36+'Course Information'!C$7,"•••",IF(MergeNamesTable[[#This Row],[Player 2 Handicap]]&gt;=18+'Course Information'!C$7,"••",IF(MergeNamesTable[[#This Row],[Player 2 Handicap]]&gt;='Course Information'!C$7,"•",IF(MergeNamesTable[[#This Row],[Player 2 Handicap]]&lt;='Course Information'!C$7-19,"+1",""))))))</f>
        <v/>
      </c>
      <c r="FC52" s="70" t="str">
        <f>IF(MergeNamesTable[[#This Row],[Player 2 Male]]="Female",IF(MergeNamesTable[[#This Row],[Player 2 Handicap]]&gt;=54+'Course Information'!D$12,"••••",IF(MergeNamesTable[[#This Row],[Player 2 Handicap]]&gt;=36+'Course Information'!D$12,"•••",IF(MergeNamesTable[[#This Row],[Player 2 Handicap]]&gt;=18+'Course Information'!D$12,"••",IF(MergeNamesTable[[#This Row],[Player 2 Handicap]]&gt;='Course Information'!D$12,"•",IF(MergeNamesTable[[#This Row],[Player 2 Handicap]]&lt;='Course Information'!D$12-19,"+1",""))))),IF(MergeNamesTable[[#This Row],[Player 2 Handicap]]&gt;=54+'Course Information'!D$7,"••••",IF(MergeNamesTable[[#This Row],[Player 2 Handicap]]&gt;=36+'Course Information'!D$7,"•••",IF(MergeNamesTable[[#This Row],[Player 2 Handicap]]&gt;=18+'Course Information'!D$7,"••",IF(MergeNamesTable[[#This Row],[Player 2 Handicap]]&gt;='Course Information'!D$7,"•",IF(MergeNamesTable[[#This Row],[Player 2 Handicap]]&lt;='Course Information'!D$7-19,"+1",""))))))</f>
        <v/>
      </c>
      <c r="FD52" s="70" t="str">
        <f>IF(MergeNamesTable[[#This Row],[Player 2 Male]]="Female",IF(MergeNamesTable[[#This Row],[Player 2 Handicap]]&gt;=54+'Course Information'!E$12,"••••",IF(MergeNamesTable[[#This Row],[Player 2 Handicap]]&gt;=36+'Course Information'!E$12,"•••",IF(MergeNamesTable[[#This Row],[Player 2 Handicap]]&gt;=18+'Course Information'!E$12,"••",IF(MergeNamesTable[[#This Row],[Player 2 Handicap]]&gt;='Course Information'!E$12,"•",IF(MergeNamesTable[[#This Row],[Player 2 Handicap]]&lt;='Course Information'!E$12-19,"+1",""))))),IF(MergeNamesTable[[#This Row],[Player 2 Handicap]]&gt;=54+'Course Information'!E$7,"••••",IF(MergeNamesTable[[#This Row],[Player 2 Handicap]]&gt;=36+'Course Information'!E$7,"•••",IF(MergeNamesTable[[#This Row],[Player 2 Handicap]]&gt;=18+'Course Information'!E$7,"••",IF(MergeNamesTable[[#This Row],[Player 2 Handicap]]&gt;='Course Information'!E$7,"•",IF(MergeNamesTable[[#This Row],[Player 2 Handicap]]&lt;='Course Information'!E$7-19,"+1",""))))))</f>
        <v/>
      </c>
      <c r="FE52" s="70" t="str">
        <f>IF(MergeNamesTable[[#This Row],[Player 2 Male]]="Female",IF(MergeNamesTable[[#This Row],[Player 2 Handicap]]&gt;=54+'Course Information'!F$12,"••••",IF(MergeNamesTable[[#This Row],[Player 2 Handicap]]&gt;=36+'Course Information'!F$12,"•••",IF(MergeNamesTable[[#This Row],[Player 2 Handicap]]&gt;=18+'Course Information'!F$12,"••",IF(MergeNamesTable[[#This Row],[Player 2 Handicap]]&gt;='Course Information'!F$12,"•",IF(MergeNamesTable[[#This Row],[Player 2 Handicap]]&lt;='Course Information'!F$12-19,"+1",""))))),IF(MergeNamesTable[[#This Row],[Player 2 Handicap]]&gt;=54+'Course Information'!F$7,"••••",IF(MergeNamesTable[[#This Row],[Player 2 Handicap]]&gt;=36+'Course Information'!F$7,"•••",IF(MergeNamesTable[[#This Row],[Player 2 Handicap]]&gt;=18+'Course Information'!F$7,"••",IF(MergeNamesTable[[#This Row],[Player 2 Handicap]]&gt;='Course Information'!F$7,"•",IF(MergeNamesTable[[#This Row],[Player 2 Handicap]]&lt;='Course Information'!F$7-19,"+1",""))))))</f>
        <v/>
      </c>
      <c r="FF52" s="70" t="str">
        <f>IF(MergeNamesTable[[#This Row],[Player 2 Male]]="Female",IF(MergeNamesTable[[#This Row],[Player 2 Handicap]]&gt;=54+'Course Information'!G$12,"••••",IF(MergeNamesTable[[#This Row],[Player 2 Handicap]]&gt;=36+'Course Information'!G$12,"•••",IF(MergeNamesTable[[#This Row],[Player 2 Handicap]]&gt;=18+'Course Information'!G$12,"••",IF(MergeNamesTable[[#This Row],[Player 2 Handicap]]&gt;='Course Information'!G$12,"•",IF(MergeNamesTable[[#This Row],[Player 2 Handicap]]&lt;='Course Information'!G$12-19,"+1",""))))),IF(MergeNamesTable[[#This Row],[Player 2 Handicap]]&gt;=54+'Course Information'!G$7,"••••",IF(MergeNamesTable[[#This Row],[Player 2 Handicap]]&gt;=36+'Course Information'!G$7,"•••",IF(MergeNamesTable[[#This Row],[Player 2 Handicap]]&gt;=18+'Course Information'!G$7,"••",IF(MergeNamesTable[[#This Row],[Player 2 Handicap]]&gt;='Course Information'!G$7,"•",IF(MergeNamesTable[[#This Row],[Player 2 Handicap]]&lt;='Course Information'!G$7-19,"+1",""))))))</f>
        <v/>
      </c>
      <c r="FG52" s="70" t="str">
        <f>IF(MergeNamesTable[[#This Row],[Player 2 Male]]="Female",IF(MergeNamesTable[[#This Row],[Player 2 Handicap]]&gt;=54+'Course Information'!H$12,"••••",IF(MergeNamesTable[[#This Row],[Player 2 Handicap]]&gt;=36+'Course Information'!H$12,"•••",IF(MergeNamesTable[[#This Row],[Player 2 Handicap]]&gt;=18+'Course Information'!H$12,"••",IF(MergeNamesTable[[#This Row],[Player 2 Handicap]]&gt;='Course Information'!H$12,"•",IF(MergeNamesTable[[#This Row],[Player 2 Handicap]]&lt;='Course Information'!H$12-19,"+1",""))))),IF(MergeNamesTable[[#This Row],[Player 2 Handicap]]&gt;=54+'Course Information'!H$7,"••••",IF(MergeNamesTable[[#This Row],[Player 2 Handicap]]&gt;=36+'Course Information'!H$7,"•••",IF(MergeNamesTable[[#This Row],[Player 2 Handicap]]&gt;=18+'Course Information'!H$7,"••",IF(MergeNamesTable[[#This Row],[Player 2 Handicap]]&gt;='Course Information'!H$7,"•",IF(MergeNamesTable[[#This Row],[Player 2 Handicap]]&lt;='Course Information'!H$7-19,"+1",""))))))</f>
        <v/>
      </c>
      <c r="FH52" s="70" t="str">
        <f>IF(MergeNamesTable[[#This Row],[Player 2 Male]]="Female",IF(MergeNamesTable[[#This Row],[Player 2 Handicap]]&gt;=54+'Course Information'!I$12,"••••",IF(MergeNamesTable[[#This Row],[Player 2 Handicap]]&gt;=36+'Course Information'!I$12,"•••",IF(MergeNamesTable[[#This Row],[Player 2 Handicap]]&gt;=18+'Course Information'!I$12,"••",IF(MergeNamesTable[[#This Row],[Player 2 Handicap]]&gt;='Course Information'!I$12,"•",IF(MergeNamesTable[[#This Row],[Player 2 Handicap]]&lt;='Course Information'!I$12-19,"+1",""))))),IF(MergeNamesTable[[#This Row],[Player 2 Handicap]]&gt;=54+'Course Information'!I$7,"••••",IF(MergeNamesTable[[#This Row],[Player 2 Handicap]]&gt;=36+'Course Information'!I$7,"•••",IF(MergeNamesTable[[#This Row],[Player 2 Handicap]]&gt;=18+'Course Information'!I$7,"••",IF(MergeNamesTable[[#This Row],[Player 2 Handicap]]&gt;='Course Information'!I$7,"•",IF(MergeNamesTable[[#This Row],[Player 2 Handicap]]&lt;='Course Information'!I$7-19,"+1",""))))))</f>
        <v/>
      </c>
      <c r="FI52" s="70" t="str">
        <f>IF(MergeNamesTable[[#This Row],[Player 2 Male]]="Female",IF(MergeNamesTable[[#This Row],[Player 2 Handicap]]&gt;=54+'Course Information'!J$12,"••••",IF(MergeNamesTable[[#This Row],[Player 2 Handicap]]&gt;=36+'Course Information'!J$12,"•••",IF(MergeNamesTable[[#This Row],[Player 2 Handicap]]&gt;=18+'Course Information'!J$12,"••",IF(MergeNamesTable[[#This Row],[Player 2 Handicap]]&gt;='Course Information'!J$12,"•",IF(MergeNamesTable[[#This Row],[Player 2 Handicap]]&lt;='Course Information'!J$12-19,"+1",""))))),IF(MergeNamesTable[[#This Row],[Player 2 Handicap]]&gt;=54+'Course Information'!J$7,"••••",IF(MergeNamesTable[[#This Row],[Player 2 Handicap]]&gt;=36+'Course Information'!J$7,"•••",IF(MergeNamesTable[[#This Row],[Player 2 Handicap]]&gt;=18+'Course Information'!J$7,"••",IF(MergeNamesTable[[#This Row],[Player 2 Handicap]]&gt;='Course Information'!J$7,"•",IF(MergeNamesTable[[#This Row],[Player 2 Handicap]]&lt;='Course Information'!J$7-19,"+1",""))))))</f>
        <v/>
      </c>
      <c r="FJ52" s="193"/>
      <c r="FK52" s="70" t="str">
        <f>IF(MergeNamesTable[[#This Row],[Player 2 Male]]="Female",IF(MergeNamesTable[[#This Row],[Player 2 Handicap]]&gt;=54+'Course Information'!L$12,"••••",IF(MergeNamesTable[[#This Row],[Player 2 Handicap]]&gt;=36+'Course Information'!L$12,"•••",IF(MergeNamesTable[[#This Row],[Player 2 Handicap]]&gt;=18+'Course Information'!L$12,"••",IF(MergeNamesTable[[#This Row],[Player 2 Handicap]]&gt;='Course Information'!L$12,"•",IF(MergeNamesTable[[#This Row],[Player 2 Handicap]]&lt;='Course Information'!L$12-19,"+1",""))))),IF(MergeNamesTable[[#This Row],[Player 2 Handicap]]&gt;=54+'Course Information'!L$7,"••••",IF(MergeNamesTable[[#This Row],[Player 2 Handicap]]&gt;=36+'Course Information'!L$7,"•••",IF(MergeNamesTable[[#This Row],[Player 2 Handicap]]&gt;=18+'Course Information'!L$7,"••",IF(MergeNamesTable[[#This Row],[Player 2 Handicap]]&gt;='Course Information'!L$7,"•",IF(MergeNamesTable[[#This Row],[Player 2 Handicap]]&lt;='Course Information'!L$7-19,"+1",""))))))</f>
        <v/>
      </c>
      <c r="FL52" s="70" t="str">
        <f>IF(MergeNamesTable[[#This Row],[Player 2 Male]]="Female",IF(MergeNamesTable[[#This Row],[Player 2 Handicap]]&gt;=54+'Course Information'!M$12,"••••",IF(MergeNamesTable[[#This Row],[Player 2 Handicap]]&gt;=36+'Course Information'!M$12,"•••",IF(MergeNamesTable[[#This Row],[Player 2 Handicap]]&gt;=18+'Course Information'!M$12,"••",IF(MergeNamesTable[[#This Row],[Player 2 Handicap]]&gt;='Course Information'!M$12,"•",IF(MergeNamesTable[[#This Row],[Player 2 Handicap]]&lt;='Course Information'!M$12-19,"+1",""))))),IF(MergeNamesTable[[#This Row],[Player 2 Handicap]]&gt;=54+'Course Information'!M$7,"••••",IF(MergeNamesTable[[#This Row],[Player 2 Handicap]]&gt;=36+'Course Information'!M$7,"•••",IF(MergeNamesTable[[#This Row],[Player 2 Handicap]]&gt;=18+'Course Information'!M$7,"••",IF(MergeNamesTable[[#This Row],[Player 2 Handicap]]&gt;='Course Information'!M$7,"•",IF(MergeNamesTable[[#This Row],[Player 2 Handicap]]&lt;='Course Information'!M$7-19,"+1",""))))))</f>
        <v/>
      </c>
      <c r="FM52" s="70" t="str">
        <f>IF(MergeNamesTable[[#This Row],[Player 2 Male]]="Female",IF(MergeNamesTable[[#This Row],[Player 2 Handicap]]&gt;=54+'Course Information'!N$12,"••••",IF(MergeNamesTable[[#This Row],[Player 2 Handicap]]&gt;=36+'Course Information'!N$12,"•••",IF(MergeNamesTable[[#This Row],[Player 2 Handicap]]&gt;=18+'Course Information'!N$12,"••",IF(MergeNamesTable[[#This Row],[Player 2 Handicap]]&gt;='Course Information'!N$12,"•",IF(MergeNamesTable[[#This Row],[Player 2 Handicap]]&lt;='Course Information'!N$12-19,"+1",""))))),IF(MergeNamesTable[[#This Row],[Player 2 Handicap]]&gt;=54+'Course Information'!N$7,"••••",IF(MergeNamesTable[[#This Row],[Player 2 Handicap]]&gt;=36+'Course Information'!N$7,"•••",IF(MergeNamesTable[[#This Row],[Player 2 Handicap]]&gt;=18+'Course Information'!N$7,"••",IF(MergeNamesTable[[#This Row],[Player 2 Handicap]]&gt;='Course Information'!N$7,"•",IF(MergeNamesTable[[#This Row],[Player 2 Handicap]]&lt;='Course Information'!N$7-19,"+1",""))))))</f>
        <v/>
      </c>
      <c r="FN52" s="70" t="str">
        <f>IF(MergeNamesTable[[#This Row],[Player 2 Male]]="Female",IF(MergeNamesTable[[#This Row],[Player 2 Handicap]]&gt;=54+'Course Information'!O$12,"••••",IF(MergeNamesTable[[#This Row],[Player 2 Handicap]]&gt;=36+'Course Information'!O$12,"•••",IF(MergeNamesTable[[#This Row],[Player 2 Handicap]]&gt;=18+'Course Information'!O$12,"••",IF(MergeNamesTable[[#This Row],[Player 2 Handicap]]&gt;='Course Information'!O$12,"•",IF(MergeNamesTable[[#This Row],[Player 2 Handicap]]&lt;='Course Information'!O$12-19,"+1",""))))),IF(MergeNamesTable[[#This Row],[Player 2 Handicap]]&gt;=54+'Course Information'!O$7,"••••",IF(MergeNamesTable[[#This Row],[Player 2 Handicap]]&gt;=36+'Course Information'!O$7,"•••",IF(MergeNamesTable[[#This Row],[Player 2 Handicap]]&gt;=18+'Course Information'!O$7,"••",IF(MergeNamesTable[[#This Row],[Player 2 Handicap]]&gt;='Course Information'!O$7,"•",IF(MergeNamesTable[[#This Row],[Player 2 Handicap]]&lt;='Course Information'!O$7-19,"+1",""))))))</f>
        <v/>
      </c>
      <c r="FO52" s="70" t="str">
        <f>IF(MergeNamesTable[[#This Row],[Player 2 Male]]="Female",IF(MergeNamesTable[[#This Row],[Player 2 Handicap]]&gt;=54+'Course Information'!P$12,"••••",IF(MergeNamesTable[[#This Row],[Player 2 Handicap]]&gt;=36+'Course Information'!P$12,"•••",IF(MergeNamesTable[[#This Row],[Player 2 Handicap]]&gt;=18+'Course Information'!P$12,"••",IF(MergeNamesTable[[#This Row],[Player 2 Handicap]]&gt;='Course Information'!P$12,"•",IF(MergeNamesTable[[#This Row],[Player 2 Handicap]]&lt;='Course Information'!P$12-19,"+1",""))))),IF(MergeNamesTable[[#This Row],[Player 2 Handicap]]&gt;=54+'Course Information'!P$7,"••••",IF(MergeNamesTable[[#This Row],[Player 2 Handicap]]&gt;=36+'Course Information'!P$7,"•••",IF(MergeNamesTable[[#This Row],[Player 2 Handicap]]&gt;=18+'Course Information'!P$7,"••",IF(MergeNamesTable[[#This Row],[Player 2 Handicap]]&gt;='Course Information'!P$7,"•",IF(MergeNamesTable[[#This Row],[Player 2 Handicap]]&lt;='Course Information'!P$7-19,"+1",""))))))</f>
        <v/>
      </c>
      <c r="FP52" s="70" t="str">
        <f>IF(MergeNamesTable[[#This Row],[Player 2 Male]]="Female",IF(MergeNamesTable[[#This Row],[Player 2 Handicap]]&gt;=54+'Course Information'!Q$12,"••••",IF(MergeNamesTable[[#This Row],[Player 2 Handicap]]&gt;=36+'Course Information'!Q$12,"•••",IF(MergeNamesTable[[#This Row],[Player 2 Handicap]]&gt;=18+'Course Information'!Q$12,"••",IF(MergeNamesTable[[#This Row],[Player 2 Handicap]]&gt;='Course Information'!Q$12,"•",IF(MergeNamesTable[[#This Row],[Player 2 Handicap]]&lt;='Course Information'!Q$12-19,"+1",""))))),IF(MergeNamesTable[[#This Row],[Player 2 Handicap]]&gt;=54+'Course Information'!Q$7,"••••",IF(MergeNamesTable[[#This Row],[Player 2 Handicap]]&gt;=36+'Course Information'!Q$7,"•••",IF(MergeNamesTable[[#This Row],[Player 2 Handicap]]&gt;=18+'Course Information'!Q$7,"••",IF(MergeNamesTable[[#This Row],[Player 2 Handicap]]&gt;='Course Information'!Q$7,"•",IF(MergeNamesTable[[#This Row],[Player 2 Handicap]]&lt;='Course Information'!Q$7-19,"+1",""))))))</f>
        <v/>
      </c>
      <c r="FQ52" s="70" t="str">
        <f>IF(MergeNamesTable[[#This Row],[Player 2 Male]]="Female",IF(MergeNamesTable[[#This Row],[Player 2 Handicap]]&gt;=54+'Course Information'!R$12,"••••",IF(MergeNamesTable[[#This Row],[Player 2 Handicap]]&gt;=36+'Course Information'!R$12,"•••",IF(MergeNamesTable[[#This Row],[Player 2 Handicap]]&gt;=18+'Course Information'!R$12,"••",IF(MergeNamesTable[[#This Row],[Player 2 Handicap]]&gt;='Course Information'!R$12,"•",IF(MergeNamesTable[[#This Row],[Player 2 Handicap]]&lt;='Course Information'!R$12-19,"+1",""))))),IF(MergeNamesTable[[#This Row],[Player 2 Handicap]]&gt;=54+'Course Information'!R$7,"••••",IF(MergeNamesTable[[#This Row],[Player 2 Handicap]]&gt;=36+'Course Information'!R$7,"•••",IF(MergeNamesTable[[#This Row],[Player 2 Handicap]]&gt;=18+'Course Information'!R$7,"••",IF(MergeNamesTable[[#This Row],[Player 2 Handicap]]&gt;='Course Information'!R$7,"•",IF(MergeNamesTable[[#This Row],[Player 2 Handicap]]&lt;='Course Information'!R$7-19,"+1",""))))))</f>
        <v/>
      </c>
      <c r="FR52" s="70" t="str">
        <f>IF(MergeNamesTable[[#This Row],[Player 2 Male]]="Female",IF(MergeNamesTable[[#This Row],[Player 2 Handicap]]&gt;=54+'Course Information'!S$12,"••••",IF(MergeNamesTable[[#This Row],[Player 2 Handicap]]&gt;=36+'Course Information'!S$12,"•••",IF(MergeNamesTable[[#This Row],[Player 2 Handicap]]&gt;=18+'Course Information'!S$12,"••",IF(MergeNamesTable[[#This Row],[Player 2 Handicap]]&gt;='Course Information'!S$12,"•",IF(MergeNamesTable[[#This Row],[Player 2 Handicap]]&lt;='Course Information'!S$12-19,"+1",""))))),IF(MergeNamesTable[[#This Row],[Player 2 Handicap]]&gt;=54+'Course Information'!S$7,"••••",IF(MergeNamesTable[[#This Row],[Player 2 Handicap]]&gt;=36+'Course Information'!S$7,"•••",IF(MergeNamesTable[[#This Row],[Player 2 Handicap]]&gt;=18+'Course Information'!S$7,"••",IF(MergeNamesTable[[#This Row],[Player 2 Handicap]]&gt;='Course Information'!S$7,"•",IF(MergeNamesTable[[#This Row],[Player 2 Handicap]]&lt;='Course Information'!S$7-19,"+1",""))))))</f>
        <v/>
      </c>
      <c r="FS52" s="70" t="str">
        <f>IF(MergeNamesTable[[#This Row],[Player 2 Male]]="Female",IF(MergeNamesTable[[#This Row],[Player 2 Handicap]]&gt;=54+'Course Information'!T$12,"••••",IF(MergeNamesTable[[#This Row],[Player 2 Handicap]]&gt;=36+'Course Information'!T$12,"•••",IF(MergeNamesTable[[#This Row],[Player 2 Handicap]]&gt;=18+'Course Information'!T$12,"••",IF(MergeNamesTable[[#This Row],[Player 2 Handicap]]&gt;='Course Information'!T$12,"•",IF(MergeNamesTable[[#This Row],[Player 2 Handicap]]&lt;='Course Information'!T$12-19,"+1",""))))),IF(MergeNamesTable[[#This Row],[Player 2 Handicap]]&gt;=54+'Course Information'!T$7,"••••",IF(MergeNamesTable[[#This Row],[Player 2 Handicap]]&gt;=36+'Course Information'!T$7,"•••",IF(MergeNamesTable[[#This Row],[Player 2 Handicap]]&gt;=18+'Course Information'!T$7,"••",IF(MergeNamesTable[[#This Row],[Player 2 Handicap]]&gt;='Course Information'!T$7,"•",IF(MergeNamesTable[[#This Row],[Player 2 Handicap]]&lt;='Course Information'!T$7-19,"+1",""))))))</f>
        <v/>
      </c>
      <c r="FT52" s="196"/>
      <c r="FU52" s="70" t="str">
        <f>IF(MergeNamesTable[[#This Row],[Player 3 Male]]="Female",IF(MergeNamesTable[[#This Row],[Player 3 Handicap]]&gt;=54+'Course Information'!B$12,"••••",IF(MergeNamesTable[[#This Row],[Player 3 Handicap]]&gt;=36+'Course Information'!B$12,"•••",IF(MergeNamesTable[[#This Row],[Player 3 Handicap]]&gt;=18+'Course Information'!B$12,"••",IF(MergeNamesTable[[#This Row],[Player 3 Handicap]]&gt;='Course Information'!B$12,"•",IF(MergeNamesTable[[#This Row],[Player 3 Handicap]]&lt;='Course Information'!B$12-19,"+1",""))))),IF(MergeNamesTable[[#This Row],[Player 3 Handicap]]&gt;=54+'Course Information'!B$7,"••••",IF(MergeNamesTable[[#This Row],[Player 3 Handicap]]&gt;=36+'Course Information'!B$7,"•••",IF(MergeNamesTable[[#This Row],[Player 3 Handicap]]&gt;=18+'Course Information'!B$7,"••",IF(MergeNamesTable[[#This Row],[Player 3 Handicap]]&gt;='Course Information'!B$7,"•",IF(MergeNamesTable[[#This Row],[Player 3 Handicap]]&lt;='Course Information'!B$7-19,"+1",""))))))</f>
        <v/>
      </c>
      <c r="FV52" s="70" t="str">
        <f>IF(MergeNamesTable[[#This Row],[Player 3 Male]]="Female",IF(MergeNamesTable[[#This Row],[Player 3 Handicap]]&gt;=54+'Course Information'!C$12,"••••",IF(MergeNamesTable[[#This Row],[Player 3 Handicap]]&gt;=36+'Course Information'!C$12,"•••",IF(MergeNamesTable[[#This Row],[Player 3 Handicap]]&gt;=18+'Course Information'!C$12,"••",IF(MergeNamesTable[[#This Row],[Player 3 Handicap]]&gt;='Course Information'!C$12,"•",IF(MergeNamesTable[[#This Row],[Player 3 Handicap]]&lt;='Course Information'!C$12-19,"+1",""))))),IF(MergeNamesTable[[#This Row],[Player 3 Handicap]]&gt;=54+'Course Information'!C$7,"••••",IF(MergeNamesTable[[#This Row],[Player 3 Handicap]]&gt;=36+'Course Information'!C$7,"•••",IF(MergeNamesTable[[#This Row],[Player 3 Handicap]]&gt;=18+'Course Information'!C$7,"••",IF(MergeNamesTable[[#This Row],[Player 3 Handicap]]&gt;='Course Information'!C$7,"•",IF(MergeNamesTable[[#This Row],[Player 3 Handicap]]&lt;='Course Information'!C$7-19,"+1",""))))))</f>
        <v/>
      </c>
      <c r="FW52" s="70" t="str">
        <f>IF(MergeNamesTable[[#This Row],[Player 3 Male]]="Female",IF(MergeNamesTable[[#This Row],[Player 3 Handicap]]&gt;=54+'Course Information'!D$12,"••••",IF(MergeNamesTable[[#This Row],[Player 3 Handicap]]&gt;=36+'Course Information'!D$12,"•••",IF(MergeNamesTable[[#This Row],[Player 3 Handicap]]&gt;=18+'Course Information'!D$12,"••",IF(MergeNamesTable[[#This Row],[Player 3 Handicap]]&gt;='Course Information'!D$12,"•",IF(MergeNamesTable[[#This Row],[Player 3 Handicap]]&lt;='Course Information'!D$12-19,"+1",""))))),IF(MergeNamesTable[[#This Row],[Player 3 Handicap]]&gt;=54+'Course Information'!D$7,"••••",IF(MergeNamesTable[[#This Row],[Player 3 Handicap]]&gt;=36+'Course Information'!D$7,"•••",IF(MergeNamesTable[[#This Row],[Player 3 Handicap]]&gt;=18+'Course Information'!D$7,"••",IF(MergeNamesTable[[#This Row],[Player 3 Handicap]]&gt;='Course Information'!D$7,"•",IF(MergeNamesTable[[#This Row],[Player 3 Handicap]]&lt;='Course Information'!D$7-19,"+1",""))))))</f>
        <v/>
      </c>
      <c r="FX52" s="70" t="str">
        <f>IF(MergeNamesTable[[#This Row],[Player 3 Male]]="Female",IF(MergeNamesTable[[#This Row],[Player 3 Handicap]]&gt;=54+'Course Information'!E$12,"••••",IF(MergeNamesTable[[#This Row],[Player 3 Handicap]]&gt;=36+'Course Information'!E$12,"•••",IF(MergeNamesTable[[#This Row],[Player 3 Handicap]]&gt;=18+'Course Information'!E$12,"••",IF(MergeNamesTable[[#This Row],[Player 3 Handicap]]&gt;='Course Information'!E$12,"•",IF(MergeNamesTable[[#This Row],[Player 3 Handicap]]&lt;='Course Information'!E$12-19,"+1",""))))),IF(MergeNamesTable[[#This Row],[Player 3 Handicap]]&gt;=54+'Course Information'!E$7,"••••",IF(MergeNamesTable[[#This Row],[Player 3 Handicap]]&gt;=36+'Course Information'!E$7,"•••",IF(MergeNamesTable[[#This Row],[Player 3 Handicap]]&gt;=18+'Course Information'!E$7,"••",IF(MergeNamesTable[[#This Row],[Player 3 Handicap]]&gt;='Course Information'!E$7,"•",IF(MergeNamesTable[[#This Row],[Player 3 Handicap]]&lt;='Course Information'!E$7-19,"+1",""))))))</f>
        <v/>
      </c>
      <c r="FY52" s="70" t="str">
        <f>IF(MergeNamesTable[[#This Row],[Player 3 Male]]="Female",IF(MergeNamesTable[[#This Row],[Player 3 Handicap]]&gt;=54+'Course Information'!F$12,"••••",IF(MergeNamesTable[[#This Row],[Player 3 Handicap]]&gt;=36+'Course Information'!F$12,"•••",IF(MergeNamesTable[[#This Row],[Player 3 Handicap]]&gt;=18+'Course Information'!F$12,"••",IF(MergeNamesTable[[#This Row],[Player 3 Handicap]]&gt;='Course Information'!F$12,"•",IF(MergeNamesTable[[#This Row],[Player 3 Handicap]]&lt;='Course Information'!F$12-19,"+1",""))))),IF(MergeNamesTable[[#This Row],[Player 3 Handicap]]&gt;=54+'Course Information'!F$7,"••••",IF(MergeNamesTable[[#This Row],[Player 3 Handicap]]&gt;=36+'Course Information'!F$7,"•••",IF(MergeNamesTable[[#This Row],[Player 3 Handicap]]&gt;=18+'Course Information'!F$7,"••",IF(MergeNamesTable[[#This Row],[Player 3 Handicap]]&gt;='Course Information'!F$7,"•",IF(MergeNamesTable[[#This Row],[Player 3 Handicap]]&lt;='Course Information'!F$7-19,"+1",""))))))</f>
        <v/>
      </c>
      <c r="FZ52" s="70" t="str">
        <f>IF(MergeNamesTable[[#This Row],[Player 3 Male]]="Female",IF(MergeNamesTable[[#This Row],[Player 3 Handicap]]&gt;=54+'Course Information'!G$12,"••••",IF(MergeNamesTable[[#This Row],[Player 3 Handicap]]&gt;=36+'Course Information'!G$12,"•••",IF(MergeNamesTable[[#This Row],[Player 3 Handicap]]&gt;=18+'Course Information'!G$12,"••",IF(MergeNamesTable[[#This Row],[Player 3 Handicap]]&gt;='Course Information'!G$12,"•",IF(MergeNamesTable[[#This Row],[Player 3 Handicap]]&lt;='Course Information'!G$12-19,"+1",""))))),IF(MergeNamesTable[[#This Row],[Player 3 Handicap]]&gt;=54+'Course Information'!G$7,"••••",IF(MergeNamesTable[[#This Row],[Player 3 Handicap]]&gt;=36+'Course Information'!G$7,"•••",IF(MergeNamesTable[[#This Row],[Player 3 Handicap]]&gt;=18+'Course Information'!G$7,"••",IF(MergeNamesTable[[#This Row],[Player 3 Handicap]]&gt;='Course Information'!G$7,"•",IF(MergeNamesTable[[#This Row],[Player 3 Handicap]]&lt;='Course Information'!G$7-19,"+1",""))))))</f>
        <v/>
      </c>
      <c r="GA52" s="70" t="str">
        <f>IF(MergeNamesTable[[#This Row],[Player 3 Male]]="Female",IF(MergeNamesTable[[#This Row],[Player 3 Handicap]]&gt;=54+'Course Information'!H$12,"••••",IF(MergeNamesTable[[#This Row],[Player 3 Handicap]]&gt;=36+'Course Information'!H$12,"•••",IF(MergeNamesTable[[#This Row],[Player 3 Handicap]]&gt;=18+'Course Information'!H$12,"••",IF(MergeNamesTable[[#This Row],[Player 3 Handicap]]&gt;='Course Information'!H$12,"•",IF(MergeNamesTable[[#This Row],[Player 3 Handicap]]&lt;='Course Information'!H$12-19,"+1",""))))),IF(MergeNamesTable[[#This Row],[Player 3 Handicap]]&gt;=54+'Course Information'!H$7,"••••",IF(MergeNamesTable[[#This Row],[Player 3 Handicap]]&gt;=36+'Course Information'!H$7,"•••",IF(MergeNamesTable[[#This Row],[Player 3 Handicap]]&gt;=18+'Course Information'!H$7,"••",IF(MergeNamesTable[[#This Row],[Player 3 Handicap]]&gt;='Course Information'!H$7,"•",IF(MergeNamesTable[[#This Row],[Player 3 Handicap]]&lt;='Course Information'!H$7-19,"+1",""))))))</f>
        <v/>
      </c>
      <c r="GB52" s="70" t="str">
        <f>IF(MergeNamesTable[[#This Row],[Player 3 Male]]="Female",IF(MergeNamesTable[[#This Row],[Player 3 Handicap]]&gt;=54+'Course Information'!I$12,"••••",IF(MergeNamesTable[[#This Row],[Player 3 Handicap]]&gt;=36+'Course Information'!I$12,"•••",IF(MergeNamesTable[[#This Row],[Player 3 Handicap]]&gt;=18+'Course Information'!I$12,"••",IF(MergeNamesTable[[#This Row],[Player 3 Handicap]]&gt;='Course Information'!I$12,"•",IF(MergeNamesTable[[#This Row],[Player 3 Handicap]]&lt;='Course Information'!I$12-19,"+1",""))))),IF(MergeNamesTable[[#This Row],[Player 3 Handicap]]&gt;=54+'Course Information'!I$7,"••••",IF(MergeNamesTable[[#This Row],[Player 3 Handicap]]&gt;=36+'Course Information'!I$7,"•••",IF(MergeNamesTable[[#This Row],[Player 3 Handicap]]&gt;=18+'Course Information'!I$7,"••",IF(MergeNamesTable[[#This Row],[Player 3 Handicap]]&gt;='Course Information'!I$7,"•",IF(MergeNamesTable[[#This Row],[Player 3 Handicap]]&lt;='Course Information'!I$7-19,"+1",""))))))</f>
        <v/>
      </c>
      <c r="GC52" s="70" t="str">
        <f>IF(MergeNamesTable[[#This Row],[Player 3 Male]]="Female",IF(MergeNamesTable[[#This Row],[Player 3 Handicap]]&gt;=54+'Course Information'!J$12,"••••",IF(MergeNamesTable[[#This Row],[Player 3 Handicap]]&gt;=36+'Course Information'!J$12,"•••",IF(MergeNamesTable[[#This Row],[Player 3 Handicap]]&gt;=18+'Course Information'!J$12,"••",IF(MergeNamesTable[[#This Row],[Player 3 Handicap]]&gt;='Course Information'!J$12,"•",IF(MergeNamesTable[[#This Row],[Player 3 Handicap]]&lt;='Course Information'!J$12-19,"+1",""))))),IF(MergeNamesTable[[#This Row],[Player 3 Handicap]]&gt;=54+'Course Information'!J$7,"••••",IF(MergeNamesTable[[#This Row],[Player 3 Handicap]]&gt;=36+'Course Information'!J$7,"•••",IF(MergeNamesTable[[#This Row],[Player 3 Handicap]]&gt;=18+'Course Information'!J$7,"••",IF(MergeNamesTable[[#This Row],[Player 3 Handicap]]&gt;='Course Information'!J$7,"•",IF(MergeNamesTable[[#This Row],[Player 3 Handicap]]&lt;='Course Information'!J$7-19,"+1",""))))))</f>
        <v/>
      </c>
      <c r="GD52" s="193"/>
      <c r="GE52" s="70" t="str">
        <f>IF(MergeNamesTable[[#This Row],[Player 3 Male]]="Female",IF(MergeNamesTable[[#This Row],[Player 3 Handicap]]&gt;=54+'Course Information'!L$12,"••••",IF(MergeNamesTable[[#This Row],[Player 3 Handicap]]&gt;=36+'Course Information'!L$12,"•••",IF(MergeNamesTable[[#This Row],[Player 3 Handicap]]&gt;=18+'Course Information'!L$12,"••",IF(MergeNamesTable[[#This Row],[Player 3 Handicap]]&gt;='Course Information'!L$12,"•",IF(MergeNamesTable[[#This Row],[Player 3 Handicap]]&lt;='Course Information'!L$12-19,"+1",""))))),IF(MergeNamesTable[[#This Row],[Player 3 Handicap]]&gt;=54+'Course Information'!L$7,"••••",IF(MergeNamesTable[[#This Row],[Player 3 Handicap]]&gt;=36+'Course Information'!L$7,"•••",IF(MergeNamesTable[[#This Row],[Player 3 Handicap]]&gt;=18+'Course Information'!L$7,"••",IF(MergeNamesTable[[#This Row],[Player 3 Handicap]]&gt;='Course Information'!L$7,"•",IF(MergeNamesTable[[#This Row],[Player 3 Handicap]]&lt;='Course Information'!L$7-19,"+1",""))))))</f>
        <v/>
      </c>
      <c r="GF52" s="70" t="str">
        <f>IF(MergeNamesTable[[#This Row],[Player 3 Male]]="Female",IF(MergeNamesTable[[#This Row],[Player 3 Handicap]]&gt;=54+'Course Information'!M$12,"••••",IF(MergeNamesTable[[#This Row],[Player 3 Handicap]]&gt;=36+'Course Information'!M$12,"•••",IF(MergeNamesTable[[#This Row],[Player 3 Handicap]]&gt;=18+'Course Information'!M$12,"••",IF(MergeNamesTable[[#This Row],[Player 3 Handicap]]&gt;='Course Information'!M$12,"•",IF(MergeNamesTable[[#This Row],[Player 3 Handicap]]&lt;='Course Information'!M$12-19,"+1",""))))),IF(MergeNamesTable[[#This Row],[Player 3 Handicap]]&gt;=54+'Course Information'!M$7,"••••",IF(MergeNamesTable[[#This Row],[Player 3 Handicap]]&gt;=36+'Course Information'!M$7,"•••",IF(MergeNamesTable[[#This Row],[Player 3 Handicap]]&gt;=18+'Course Information'!M$7,"••",IF(MergeNamesTable[[#This Row],[Player 3 Handicap]]&gt;='Course Information'!M$7,"•",IF(MergeNamesTable[[#This Row],[Player 3 Handicap]]&lt;='Course Information'!M$7-19,"+1",""))))))</f>
        <v/>
      </c>
      <c r="GG52" s="70" t="str">
        <f>IF(MergeNamesTable[[#This Row],[Player 3 Male]]="Female",IF(MergeNamesTable[[#This Row],[Player 3 Handicap]]&gt;=54+'Course Information'!N$12,"••••",IF(MergeNamesTable[[#This Row],[Player 3 Handicap]]&gt;=36+'Course Information'!N$12,"•••",IF(MergeNamesTable[[#This Row],[Player 3 Handicap]]&gt;=18+'Course Information'!N$12,"••",IF(MergeNamesTable[[#This Row],[Player 3 Handicap]]&gt;='Course Information'!N$12,"•",IF(MergeNamesTable[[#This Row],[Player 3 Handicap]]&lt;='Course Information'!N$12-19,"+1",""))))),IF(MergeNamesTable[[#This Row],[Player 3 Handicap]]&gt;=54+'Course Information'!N$7,"••••",IF(MergeNamesTable[[#This Row],[Player 3 Handicap]]&gt;=36+'Course Information'!N$7,"•••",IF(MergeNamesTable[[#This Row],[Player 3 Handicap]]&gt;=18+'Course Information'!N$7,"••",IF(MergeNamesTable[[#This Row],[Player 3 Handicap]]&gt;='Course Information'!N$7,"•",IF(MergeNamesTable[[#This Row],[Player 3 Handicap]]&lt;='Course Information'!N$7-19,"+1",""))))))</f>
        <v/>
      </c>
      <c r="GH52" s="70" t="str">
        <f>IF(MergeNamesTable[[#This Row],[Player 3 Male]]="Female",IF(MergeNamesTable[[#This Row],[Player 3 Handicap]]&gt;=54+'Course Information'!O$12,"••••",IF(MergeNamesTable[[#This Row],[Player 3 Handicap]]&gt;=36+'Course Information'!O$12,"•••",IF(MergeNamesTable[[#This Row],[Player 3 Handicap]]&gt;=18+'Course Information'!O$12,"••",IF(MergeNamesTable[[#This Row],[Player 3 Handicap]]&gt;='Course Information'!O$12,"•",IF(MergeNamesTable[[#This Row],[Player 3 Handicap]]&lt;='Course Information'!O$12-19,"+1",""))))),IF(MergeNamesTable[[#This Row],[Player 3 Handicap]]&gt;=54+'Course Information'!O$7,"••••",IF(MergeNamesTable[[#This Row],[Player 3 Handicap]]&gt;=36+'Course Information'!O$7,"•••",IF(MergeNamesTable[[#This Row],[Player 3 Handicap]]&gt;=18+'Course Information'!O$7,"••",IF(MergeNamesTable[[#This Row],[Player 3 Handicap]]&gt;='Course Information'!O$7,"•",IF(MergeNamesTable[[#This Row],[Player 3 Handicap]]&lt;='Course Information'!O$7-19,"+1",""))))))</f>
        <v/>
      </c>
      <c r="GI52" s="70" t="str">
        <f>IF(MergeNamesTable[[#This Row],[Player 3 Male]]="Female",IF(MergeNamesTable[[#This Row],[Player 3 Handicap]]&gt;=54+'Course Information'!P$12,"••••",IF(MergeNamesTable[[#This Row],[Player 3 Handicap]]&gt;=36+'Course Information'!P$12,"•••",IF(MergeNamesTable[[#This Row],[Player 3 Handicap]]&gt;=18+'Course Information'!P$12,"••",IF(MergeNamesTable[[#This Row],[Player 3 Handicap]]&gt;='Course Information'!P$12,"•",IF(MergeNamesTable[[#This Row],[Player 3 Handicap]]&lt;='Course Information'!P$12-19,"+1",""))))),IF(MergeNamesTable[[#This Row],[Player 3 Handicap]]&gt;=54+'Course Information'!P$7,"••••",IF(MergeNamesTable[[#This Row],[Player 3 Handicap]]&gt;=36+'Course Information'!P$7,"•••",IF(MergeNamesTable[[#This Row],[Player 3 Handicap]]&gt;=18+'Course Information'!P$7,"••",IF(MergeNamesTable[[#This Row],[Player 3 Handicap]]&gt;='Course Information'!P$7,"•",IF(MergeNamesTable[[#This Row],[Player 3 Handicap]]&lt;='Course Information'!P$7-19,"+1",""))))))</f>
        <v/>
      </c>
      <c r="GJ52" s="70" t="str">
        <f>IF(MergeNamesTable[[#This Row],[Player 3 Male]]="Female",IF(MergeNamesTable[[#This Row],[Player 3 Handicap]]&gt;=54+'Course Information'!Q$12,"••••",IF(MergeNamesTable[[#This Row],[Player 3 Handicap]]&gt;=36+'Course Information'!Q$12,"•••",IF(MergeNamesTable[[#This Row],[Player 3 Handicap]]&gt;=18+'Course Information'!Q$12,"••",IF(MergeNamesTable[[#This Row],[Player 3 Handicap]]&gt;='Course Information'!Q$12,"•",IF(MergeNamesTable[[#This Row],[Player 3 Handicap]]&lt;='Course Information'!Q$12-19,"+1",""))))),IF(MergeNamesTable[[#This Row],[Player 3 Handicap]]&gt;=54+'Course Information'!Q$7,"••••",IF(MergeNamesTable[[#This Row],[Player 3 Handicap]]&gt;=36+'Course Information'!Q$7,"•••",IF(MergeNamesTable[[#This Row],[Player 3 Handicap]]&gt;=18+'Course Information'!Q$7,"••",IF(MergeNamesTable[[#This Row],[Player 3 Handicap]]&gt;='Course Information'!Q$7,"•",IF(MergeNamesTable[[#This Row],[Player 3 Handicap]]&lt;='Course Information'!Q$7-19,"+1",""))))))</f>
        <v/>
      </c>
      <c r="GK52" s="70" t="str">
        <f>IF(MergeNamesTable[[#This Row],[Player 3 Male]]="Female",IF(MergeNamesTable[[#This Row],[Player 3 Handicap]]&gt;=54+'Course Information'!R$12,"••••",IF(MergeNamesTable[[#This Row],[Player 3 Handicap]]&gt;=36+'Course Information'!R$12,"•••",IF(MergeNamesTable[[#This Row],[Player 3 Handicap]]&gt;=18+'Course Information'!R$12,"••",IF(MergeNamesTable[[#This Row],[Player 3 Handicap]]&gt;='Course Information'!R$12,"•",IF(MergeNamesTable[[#This Row],[Player 3 Handicap]]&lt;='Course Information'!R$12-19,"+1",""))))),IF(MergeNamesTable[[#This Row],[Player 3 Handicap]]&gt;=54+'Course Information'!R$7,"••••",IF(MergeNamesTable[[#This Row],[Player 3 Handicap]]&gt;=36+'Course Information'!R$7,"•••",IF(MergeNamesTable[[#This Row],[Player 3 Handicap]]&gt;=18+'Course Information'!R$7,"••",IF(MergeNamesTable[[#This Row],[Player 3 Handicap]]&gt;='Course Information'!R$7,"•",IF(MergeNamesTable[[#This Row],[Player 3 Handicap]]&lt;='Course Information'!R$7-19,"+1",""))))))</f>
        <v/>
      </c>
      <c r="GL52" s="70" t="str">
        <f>IF(MergeNamesTable[[#This Row],[Player 3 Male]]="Female",IF(MergeNamesTable[[#This Row],[Player 3 Handicap]]&gt;=54+'Course Information'!S$12,"••••",IF(MergeNamesTable[[#This Row],[Player 3 Handicap]]&gt;=36+'Course Information'!S$12,"•••",IF(MergeNamesTable[[#This Row],[Player 3 Handicap]]&gt;=18+'Course Information'!S$12,"••",IF(MergeNamesTable[[#This Row],[Player 3 Handicap]]&gt;='Course Information'!S$12,"•",IF(MergeNamesTable[[#This Row],[Player 3 Handicap]]&lt;='Course Information'!S$12-19,"+1",""))))),IF(MergeNamesTable[[#This Row],[Player 3 Handicap]]&gt;=54+'Course Information'!S$7,"••••",IF(MergeNamesTable[[#This Row],[Player 3 Handicap]]&gt;=36+'Course Information'!S$7,"•••",IF(MergeNamesTable[[#This Row],[Player 3 Handicap]]&gt;=18+'Course Information'!S$7,"••",IF(MergeNamesTable[[#This Row],[Player 3 Handicap]]&gt;='Course Information'!S$7,"•",IF(MergeNamesTable[[#This Row],[Player 3 Handicap]]&lt;='Course Information'!S$7-19,"+1",""))))))</f>
        <v/>
      </c>
      <c r="GM52" s="70" t="str">
        <f>IF(MergeNamesTable[[#This Row],[Player 3 Male]]="Female",IF(MergeNamesTable[[#This Row],[Player 3 Handicap]]&gt;=54+'Course Information'!T$12,"••••",IF(MergeNamesTable[[#This Row],[Player 3 Handicap]]&gt;=36+'Course Information'!T$12,"•••",IF(MergeNamesTable[[#This Row],[Player 3 Handicap]]&gt;=18+'Course Information'!T$12,"••",IF(MergeNamesTable[[#This Row],[Player 3 Handicap]]&gt;='Course Information'!T$12,"•",IF(MergeNamesTable[[#This Row],[Player 3 Handicap]]&lt;='Course Information'!T$12-19,"+1",""))))),IF(MergeNamesTable[[#This Row],[Player 3 Handicap]]&gt;=54+'Course Information'!T$7,"••••",IF(MergeNamesTable[[#This Row],[Player 3 Handicap]]&gt;=36+'Course Information'!T$7,"•••",IF(MergeNamesTable[[#This Row],[Player 3 Handicap]]&gt;=18+'Course Information'!T$7,"••",IF(MergeNamesTable[[#This Row],[Player 3 Handicap]]&gt;='Course Information'!T$7,"•",IF(MergeNamesTable[[#This Row],[Player 3 Handicap]]&lt;='Course Information'!T$7-19,"+1",""))))))</f>
        <v/>
      </c>
      <c r="GN52" s="196"/>
      <c r="GO52" s="70" t="str">
        <f>IF(MergeNamesTable[[#This Row],[Player 4 Male]]="Female",IF(MergeNamesTable[[#This Row],[Player 4 Handicap]]&gt;=54+'Course Information'!B$12,"••••",IF(MergeNamesTable[[#This Row],[Player 4 Handicap]]&gt;=36+'Course Information'!B$12,"•••",IF(MergeNamesTable[[#This Row],[Player 4 Handicap]]&gt;=18+'Course Information'!B$12,"••",IF(MergeNamesTable[[#This Row],[Player 4 Handicap]]&gt;='Course Information'!B$12,"•",IF(MergeNamesTable[[#This Row],[Player 4 Handicap]]&lt;='Course Information'!B$12-19,"+1",""))))),IF(MergeNamesTable[[#This Row],[Player 4 Handicap]]&gt;=54+'Course Information'!B$7,"••••",IF(MergeNamesTable[[#This Row],[Player 4 Handicap]]&gt;=36+'Course Information'!B$7,"•••",IF(MergeNamesTable[[#This Row],[Player 4 Handicap]]&gt;=18+'Course Information'!B$7,"••",IF(MergeNamesTable[[#This Row],[Player 4 Handicap]]&gt;='Course Information'!B$7,"•",IF(MergeNamesTable[[#This Row],[Player 4 Handicap]]&lt;='Course Information'!B$7-19,"+1",""))))))</f>
        <v/>
      </c>
      <c r="GP52" s="70" t="str">
        <f>IF(MergeNamesTable[[#This Row],[Player 4 Male]]="Female",IF(MergeNamesTable[[#This Row],[Player 4 Handicap]]&gt;=54+'Course Information'!C$12,"••••",IF(MergeNamesTable[[#This Row],[Player 4 Handicap]]&gt;=36+'Course Information'!C$12,"•••",IF(MergeNamesTable[[#This Row],[Player 4 Handicap]]&gt;=18+'Course Information'!C$12,"••",IF(MergeNamesTable[[#This Row],[Player 4 Handicap]]&gt;='Course Information'!C$12,"•",IF(MergeNamesTable[[#This Row],[Player 4 Handicap]]&lt;='Course Information'!C$12-19,"+1",""))))),IF(MergeNamesTable[[#This Row],[Player 4 Handicap]]&gt;=54+'Course Information'!C$7,"••••",IF(MergeNamesTable[[#This Row],[Player 4 Handicap]]&gt;=36+'Course Information'!C$7,"•••",IF(MergeNamesTable[[#This Row],[Player 4 Handicap]]&gt;=18+'Course Information'!C$7,"••",IF(MergeNamesTable[[#This Row],[Player 4 Handicap]]&gt;='Course Information'!C$7,"•",IF(MergeNamesTable[[#This Row],[Player 4 Handicap]]&lt;='Course Information'!C$7-19,"+1",""))))))</f>
        <v/>
      </c>
      <c r="GQ52" s="70" t="str">
        <f>IF(MergeNamesTable[[#This Row],[Player 4 Male]]="Female",IF(MergeNamesTable[[#This Row],[Player 4 Handicap]]&gt;=54+'Course Information'!D$12,"••••",IF(MergeNamesTable[[#This Row],[Player 4 Handicap]]&gt;=36+'Course Information'!D$12,"•••",IF(MergeNamesTable[[#This Row],[Player 4 Handicap]]&gt;=18+'Course Information'!D$12,"••",IF(MergeNamesTable[[#This Row],[Player 4 Handicap]]&gt;='Course Information'!D$12,"•",IF(MergeNamesTable[[#This Row],[Player 4 Handicap]]&lt;='Course Information'!D$12-19,"+1",""))))),IF(MergeNamesTable[[#This Row],[Player 4 Handicap]]&gt;=54+'Course Information'!D$7,"••••",IF(MergeNamesTable[[#This Row],[Player 4 Handicap]]&gt;=36+'Course Information'!D$7,"•••",IF(MergeNamesTable[[#This Row],[Player 4 Handicap]]&gt;=18+'Course Information'!D$7,"••",IF(MergeNamesTable[[#This Row],[Player 4 Handicap]]&gt;='Course Information'!D$7,"•",IF(MergeNamesTable[[#This Row],[Player 4 Handicap]]&lt;='Course Information'!D$7-19,"+1",""))))))</f>
        <v/>
      </c>
      <c r="GR52" s="70" t="str">
        <f>IF(MergeNamesTable[[#This Row],[Player 4 Male]]="Female",IF(MergeNamesTable[[#This Row],[Player 4 Handicap]]&gt;=54+'Course Information'!E$12,"••••",IF(MergeNamesTable[[#This Row],[Player 4 Handicap]]&gt;=36+'Course Information'!E$12,"•••",IF(MergeNamesTable[[#This Row],[Player 4 Handicap]]&gt;=18+'Course Information'!E$12,"••",IF(MergeNamesTable[[#This Row],[Player 4 Handicap]]&gt;='Course Information'!E$12,"•",IF(MergeNamesTable[[#This Row],[Player 4 Handicap]]&lt;='Course Information'!E$12-19,"+1",""))))),IF(MergeNamesTable[[#This Row],[Player 4 Handicap]]&gt;=54+'Course Information'!E$7,"••••",IF(MergeNamesTable[[#This Row],[Player 4 Handicap]]&gt;=36+'Course Information'!E$7,"•••",IF(MergeNamesTable[[#This Row],[Player 4 Handicap]]&gt;=18+'Course Information'!E$7,"••",IF(MergeNamesTable[[#This Row],[Player 4 Handicap]]&gt;='Course Information'!E$7,"•",IF(MergeNamesTable[[#This Row],[Player 4 Handicap]]&lt;='Course Information'!E$7-19,"+1",""))))))</f>
        <v/>
      </c>
      <c r="GS52" s="70" t="str">
        <f>IF(MergeNamesTable[[#This Row],[Player 4 Male]]="Female",IF(MergeNamesTable[[#This Row],[Player 4 Handicap]]&gt;=54+'Course Information'!F$12,"••••",IF(MergeNamesTable[[#This Row],[Player 4 Handicap]]&gt;=36+'Course Information'!F$12,"•••",IF(MergeNamesTable[[#This Row],[Player 4 Handicap]]&gt;=18+'Course Information'!F$12,"••",IF(MergeNamesTable[[#This Row],[Player 4 Handicap]]&gt;='Course Information'!F$12,"•",IF(MergeNamesTable[[#This Row],[Player 4 Handicap]]&lt;='Course Information'!F$12-19,"+1",""))))),IF(MergeNamesTable[[#This Row],[Player 4 Handicap]]&gt;=54+'Course Information'!F$7,"••••",IF(MergeNamesTable[[#This Row],[Player 4 Handicap]]&gt;=36+'Course Information'!F$7,"•••",IF(MergeNamesTable[[#This Row],[Player 4 Handicap]]&gt;=18+'Course Information'!F$7,"••",IF(MergeNamesTable[[#This Row],[Player 4 Handicap]]&gt;='Course Information'!F$7,"•",IF(MergeNamesTable[[#This Row],[Player 4 Handicap]]&lt;='Course Information'!F$7-19,"+1",""))))))</f>
        <v/>
      </c>
      <c r="GT52" s="70" t="str">
        <f>IF(MergeNamesTable[[#This Row],[Player 4 Male]]="Female",IF(MergeNamesTable[[#This Row],[Player 4 Handicap]]&gt;=54+'Course Information'!G$12,"••••",IF(MergeNamesTable[[#This Row],[Player 4 Handicap]]&gt;=36+'Course Information'!G$12,"•••",IF(MergeNamesTable[[#This Row],[Player 4 Handicap]]&gt;=18+'Course Information'!G$12,"••",IF(MergeNamesTable[[#This Row],[Player 4 Handicap]]&gt;='Course Information'!G$12,"•",IF(MergeNamesTable[[#This Row],[Player 4 Handicap]]&lt;='Course Information'!G$12-19,"+1",""))))),IF(MergeNamesTable[[#This Row],[Player 4 Handicap]]&gt;=54+'Course Information'!G$7,"••••",IF(MergeNamesTable[[#This Row],[Player 4 Handicap]]&gt;=36+'Course Information'!G$7,"•••",IF(MergeNamesTable[[#This Row],[Player 4 Handicap]]&gt;=18+'Course Information'!G$7,"••",IF(MergeNamesTable[[#This Row],[Player 4 Handicap]]&gt;='Course Information'!G$7,"•",IF(MergeNamesTable[[#This Row],[Player 4 Handicap]]&lt;='Course Information'!G$7-19,"+1",""))))))</f>
        <v/>
      </c>
      <c r="GU52" s="70" t="str">
        <f>IF(MergeNamesTable[[#This Row],[Player 4 Male]]="Female",IF(MergeNamesTable[[#This Row],[Player 4 Handicap]]&gt;=54+'Course Information'!H$12,"••••",IF(MergeNamesTable[[#This Row],[Player 4 Handicap]]&gt;=36+'Course Information'!H$12,"•••",IF(MergeNamesTable[[#This Row],[Player 4 Handicap]]&gt;=18+'Course Information'!H$12,"••",IF(MergeNamesTable[[#This Row],[Player 4 Handicap]]&gt;='Course Information'!H$12,"•",IF(MergeNamesTable[[#This Row],[Player 4 Handicap]]&lt;='Course Information'!H$12-19,"+1",""))))),IF(MergeNamesTable[[#This Row],[Player 4 Handicap]]&gt;=54+'Course Information'!H$7,"••••",IF(MergeNamesTable[[#This Row],[Player 4 Handicap]]&gt;=36+'Course Information'!H$7,"•••",IF(MergeNamesTable[[#This Row],[Player 4 Handicap]]&gt;=18+'Course Information'!H$7,"••",IF(MergeNamesTable[[#This Row],[Player 4 Handicap]]&gt;='Course Information'!H$7,"•",IF(MergeNamesTable[[#This Row],[Player 4 Handicap]]&lt;='Course Information'!H$7-19,"+1",""))))))</f>
        <v/>
      </c>
      <c r="GV52" s="70" t="str">
        <f>IF(MergeNamesTable[[#This Row],[Player 4 Male]]="Female",IF(MergeNamesTable[[#This Row],[Player 4 Handicap]]&gt;=54+'Course Information'!I$12,"••••",IF(MergeNamesTable[[#This Row],[Player 4 Handicap]]&gt;=36+'Course Information'!I$12,"•••",IF(MergeNamesTable[[#This Row],[Player 4 Handicap]]&gt;=18+'Course Information'!I$12,"••",IF(MergeNamesTable[[#This Row],[Player 4 Handicap]]&gt;='Course Information'!I$12,"•",IF(MergeNamesTable[[#This Row],[Player 4 Handicap]]&lt;='Course Information'!I$12-19,"+1",""))))),IF(MergeNamesTable[[#This Row],[Player 4 Handicap]]&gt;=54+'Course Information'!I$7,"••••",IF(MergeNamesTable[[#This Row],[Player 4 Handicap]]&gt;=36+'Course Information'!I$7,"•••",IF(MergeNamesTable[[#This Row],[Player 4 Handicap]]&gt;=18+'Course Information'!I$7,"••",IF(MergeNamesTable[[#This Row],[Player 4 Handicap]]&gt;='Course Information'!I$7,"•",IF(MergeNamesTable[[#This Row],[Player 4 Handicap]]&lt;='Course Information'!I$7-19,"+1",""))))))</f>
        <v/>
      </c>
      <c r="GW52" s="70" t="str">
        <f>IF(MergeNamesTable[[#This Row],[Player 4 Male]]="Female",IF(MergeNamesTable[[#This Row],[Player 4 Handicap]]&gt;=54+'Course Information'!J$12,"••••",IF(MergeNamesTable[[#This Row],[Player 4 Handicap]]&gt;=36+'Course Information'!J$12,"•••",IF(MergeNamesTable[[#This Row],[Player 4 Handicap]]&gt;=18+'Course Information'!J$12,"••",IF(MergeNamesTable[[#This Row],[Player 4 Handicap]]&gt;='Course Information'!J$12,"•",IF(MergeNamesTable[[#This Row],[Player 4 Handicap]]&lt;='Course Information'!J$12-19,"+1",""))))),IF(MergeNamesTable[[#This Row],[Player 4 Handicap]]&gt;=54+'Course Information'!J$7,"••••",IF(MergeNamesTable[[#This Row],[Player 4 Handicap]]&gt;=36+'Course Information'!J$7,"•••",IF(MergeNamesTable[[#This Row],[Player 4 Handicap]]&gt;=18+'Course Information'!J$7,"••",IF(MergeNamesTable[[#This Row],[Player 4 Handicap]]&gt;='Course Information'!J$7,"•",IF(MergeNamesTable[[#This Row],[Player 4 Handicap]]&lt;='Course Information'!J$7-19,"+1",""))))))</f>
        <v/>
      </c>
      <c r="GX52" s="196"/>
      <c r="GY52" s="70" t="str">
        <f>IF(MergeNamesTable[[#This Row],[Player 4 Male]]="Female",IF(MergeNamesTable[[#This Row],[Player 4 Handicap]]&gt;=54+'Course Information'!L$12,"••••",IF(MergeNamesTable[[#This Row],[Player 4 Handicap]]&gt;=36+'Course Information'!L$12,"•••",IF(MergeNamesTable[[#This Row],[Player 4 Handicap]]&gt;=18+'Course Information'!L$12,"••",IF(MergeNamesTable[[#This Row],[Player 4 Handicap]]&gt;='Course Information'!L$12,"•",IF(MergeNamesTable[[#This Row],[Player 4 Handicap]]&lt;='Course Information'!L$12-19,"+1",""))))),IF(MergeNamesTable[[#This Row],[Player 4 Handicap]]&gt;=54+'Course Information'!L$7,"••••",IF(MergeNamesTable[[#This Row],[Player 4 Handicap]]&gt;=36+'Course Information'!L$7,"•••",IF(MergeNamesTable[[#This Row],[Player 4 Handicap]]&gt;=18+'Course Information'!L$7,"••",IF(MergeNamesTable[[#This Row],[Player 4 Handicap]]&gt;='Course Information'!L$7,"•",IF(MergeNamesTable[[#This Row],[Player 4 Handicap]]&lt;='Course Information'!L$7-19,"+1",""))))))</f>
        <v/>
      </c>
      <c r="GZ52" s="70" t="str">
        <f>IF(MergeNamesTable[[#This Row],[Player 4 Male]]="Female",IF(MergeNamesTable[[#This Row],[Player 4 Handicap]]&gt;=54+'Course Information'!M$12,"••••",IF(MergeNamesTable[[#This Row],[Player 4 Handicap]]&gt;=36+'Course Information'!M$12,"•••",IF(MergeNamesTable[[#This Row],[Player 4 Handicap]]&gt;=18+'Course Information'!M$12,"••",IF(MergeNamesTable[[#This Row],[Player 4 Handicap]]&gt;='Course Information'!M$12,"•",IF(MergeNamesTable[[#This Row],[Player 4 Handicap]]&lt;='Course Information'!M$12-19,"+1",""))))),IF(MergeNamesTable[[#This Row],[Player 4 Handicap]]&gt;=54+'Course Information'!M$7,"••••",IF(MergeNamesTable[[#This Row],[Player 4 Handicap]]&gt;=36+'Course Information'!M$7,"•••",IF(MergeNamesTable[[#This Row],[Player 4 Handicap]]&gt;=18+'Course Information'!M$7,"••",IF(MergeNamesTable[[#This Row],[Player 4 Handicap]]&gt;='Course Information'!M$7,"•",IF(MergeNamesTable[[#This Row],[Player 4 Handicap]]&lt;='Course Information'!M$7-19,"+1",""))))))</f>
        <v/>
      </c>
      <c r="HA52" s="70" t="str">
        <f>IF(MergeNamesTable[[#This Row],[Player 4 Male]]="Female",IF(MergeNamesTable[[#This Row],[Player 4 Handicap]]&gt;=54+'Course Information'!N$12,"••••",IF(MergeNamesTable[[#This Row],[Player 4 Handicap]]&gt;=36+'Course Information'!N$12,"•••",IF(MergeNamesTable[[#This Row],[Player 4 Handicap]]&gt;=18+'Course Information'!N$12,"••",IF(MergeNamesTable[[#This Row],[Player 4 Handicap]]&gt;='Course Information'!N$12,"•",IF(MergeNamesTable[[#This Row],[Player 4 Handicap]]&lt;='Course Information'!N$12-19,"+1",""))))),IF(MergeNamesTable[[#This Row],[Player 4 Handicap]]&gt;=54+'Course Information'!N$7,"••••",IF(MergeNamesTable[[#This Row],[Player 4 Handicap]]&gt;=36+'Course Information'!N$7,"•••",IF(MergeNamesTable[[#This Row],[Player 4 Handicap]]&gt;=18+'Course Information'!N$7,"••",IF(MergeNamesTable[[#This Row],[Player 4 Handicap]]&gt;='Course Information'!N$7,"•",IF(MergeNamesTable[[#This Row],[Player 4 Handicap]]&lt;='Course Information'!N$7-19,"+1",""))))))</f>
        <v/>
      </c>
      <c r="HB52" s="70" t="str">
        <f>IF(MergeNamesTable[[#This Row],[Player 4 Male]]="Female",IF(MergeNamesTable[[#This Row],[Player 4 Handicap]]&gt;=54+'Course Information'!O$12,"••••",IF(MergeNamesTable[[#This Row],[Player 4 Handicap]]&gt;=36+'Course Information'!O$12,"•••",IF(MergeNamesTable[[#This Row],[Player 4 Handicap]]&gt;=18+'Course Information'!O$12,"••",IF(MergeNamesTable[[#This Row],[Player 4 Handicap]]&gt;='Course Information'!O$12,"•",IF(MergeNamesTable[[#This Row],[Player 4 Handicap]]&lt;='Course Information'!O$12-19,"+1",""))))),IF(MergeNamesTable[[#This Row],[Player 4 Handicap]]&gt;=54+'Course Information'!O$7,"••••",IF(MergeNamesTable[[#This Row],[Player 4 Handicap]]&gt;=36+'Course Information'!O$7,"•••",IF(MergeNamesTable[[#This Row],[Player 4 Handicap]]&gt;=18+'Course Information'!O$7,"••",IF(MergeNamesTable[[#This Row],[Player 4 Handicap]]&gt;='Course Information'!O$7,"•",IF(MergeNamesTable[[#This Row],[Player 4 Handicap]]&lt;='Course Information'!O$7-19,"+1",""))))))</f>
        <v/>
      </c>
      <c r="HC52" s="70" t="str">
        <f>IF(MergeNamesTable[[#This Row],[Player 4 Male]]="Female",IF(MergeNamesTable[[#This Row],[Player 4 Handicap]]&gt;=54+'Course Information'!P$12,"••••",IF(MergeNamesTable[[#This Row],[Player 4 Handicap]]&gt;=36+'Course Information'!P$12,"•••",IF(MergeNamesTable[[#This Row],[Player 4 Handicap]]&gt;=18+'Course Information'!P$12,"••",IF(MergeNamesTable[[#This Row],[Player 4 Handicap]]&gt;='Course Information'!P$12,"•",IF(MergeNamesTable[[#This Row],[Player 4 Handicap]]&lt;='Course Information'!P$12-19,"+1",""))))),IF(MergeNamesTable[[#This Row],[Player 4 Handicap]]&gt;=54+'Course Information'!P$7,"••••",IF(MergeNamesTable[[#This Row],[Player 4 Handicap]]&gt;=36+'Course Information'!P$7,"•••",IF(MergeNamesTable[[#This Row],[Player 4 Handicap]]&gt;=18+'Course Information'!P$7,"••",IF(MergeNamesTable[[#This Row],[Player 4 Handicap]]&gt;='Course Information'!P$7,"•",IF(MergeNamesTable[[#This Row],[Player 4 Handicap]]&lt;='Course Information'!P$7-19,"+1",""))))))</f>
        <v/>
      </c>
      <c r="HD52" s="70" t="str">
        <f>IF(MergeNamesTable[[#This Row],[Player 4 Male]]="Female",IF(MergeNamesTable[[#This Row],[Player 4 Handicap]]&gt;=54+'Course Information'!Q$12,"••••",IF(MergeNamesTable[[#This Row],[Player 4 Handicap]]&gt;=36+'Course Information'!Q$12,"•••",IF(MergeNamesTable[[#This Row],[Player 4 Handicap]]&gt;=18+'Course Information'!Q$12,"••",IF(MergeNamesTable[[#This Row],[Player 4 Handicap]]&gt;='Course Information'!Q$12,"•",IF(MergeNamesTable[[#This Row],[Player 4 Handicap]]&lt;='Course Information'!Q$12-19,"+1",""))))),IF(MergeNamesTable[[#This Row],[Player 4 Handicap]]&gt;=54+'Course Information'!Q$7,"••••",IF(MergeNamesTable[[#This Row],[Player 4 Handicap]]&gt;=36+'Course Information'!Q$7,"•••",IF(MergeNamesTable[[#This Row],[Player 4 Handicap]]&gt;=18+'Course Information'!Q$7,"••",IF(MergeNamesTable[[#This Row],[Player 4 Handicap]]&gt;='Course Information'!Q$7,"•",IF(MergeNamesTable[[#This Row],[Player 4 Handicap]]&lt;='Course Information'!Q$7-19,"+1",""))))))</f>
        <v/>
      </c>
      <c r="HE52" s="70" t="str">
        <f>IF(MergeNamesTable[[#This Row],[Player 4 Male]]="Female",IF(MergeNamesTable[[#This Row],[Player 4 Handicap]]&gt;=54+'Course Information'!R$12,"••••",IF(MergeNamesTable[[#This Row],[Player 4 Handicap]]&gt;=36+'Course Information'!R$12,"•••",IF(MergeNamesTable[[#This Row],[Player 4 Handicap]]&gt;=18+'Course Information'!R$12,"••",IF(MergeNamesTable[[#This Row],[Player 4 Handicap]]&gt;='Course Information'!R$12,"•",IF(MergeNamesTable[[#This Row],[Player 4 Handicap]]&lt;='Course Information'!R$12-19,"+1",""))))),IF(MergeNamesTable[[#This Row],[Player 4 Handicap]]&gt;=54+'Course Information'!R$7,"••••",IF(MergeNamesTable[[#This Row],[Player 4 Handicap]]&gt;=36+'Course Information'!R$7,"•••",IF(MergeNamesTable[[#This Row],[Player 4 Handicap]]&gt;=18+'Course Information'!R$7,"••",IF(MergeNamesTable[[#This Row],[Player 4 Handicap]]&gt;='Course Information'!R$7,"•",IF(MergeNamesTable[[#This Row],[Player 4 Handicap]]&lt;='Course Information'!R$7-19,"+1",""))))))</f>
        <v/>
      </c>
      <c r="HF52" s="70" t="str">
        <f>IF(MergeNamesTable[[#This Row],[Player 4 Male]]="Female",IF(MergeNamesTable[[#This Row],[Player 4 Handicap]]&gt;=54+'Course Information'!S$12,"••••",IF(MergeNamesTable[[#This Row],[Player 4 Handicap]]&gt;=36+'Course Information'!S$12,"•••",IF(MergeNamesTable[[#This Row],[Player 4 Handicap]]&gt;=18+'Course Information'!S$12,"••",IF(MergeNamesTable[[#This Row],[Player 4 Handicap]]&gt;='Course Information'!S$12,"•",IF(MergeNamesTable[[#This Row],[Player 4 Handicap]]&lt;='Course Information'!S$12-19,"+1",""))))),IF(MergeNamesTable[[#This Row],[Player 4 Handicap]]&gt;=54+'Course Information'!S$7,"••••",IF(MergeNamesTable[[#This Row],[Player 4 Handicap]]&gt;=36+'Course Information'!S$7,"•••",IF(MergeNamesTable[[#This Row],[Player 4 Handicap]]&gt;=18+'Course Information'!S$7,"••",IF(MergeNamesTable[[#This Row],[Player 4 Handicap]]&gt;='Course Information'!S$7,"•",IF(MergeNamesTable[[#This Row],[Player 4 Handicap]]&lt;='Course Information'!S$7-19,"+1",""))))))</f>
        <v/>
      </c>
      <c r="HG52" s="70" t="str">
        <f>IF(MergeNamesTable[[#This Row],[Player 4 Male]]="Female",IF(MergeNamesTable[[#This Row],[Player 4 Handicap]]&gt;=54+'Course Information'!T$12,"••••",IF(MergeNamesTable[[#This Row],[Player 4 Handicap]]&gt;=36+'Course Information'!T$12,"•••",IF(MergeNamesTable[[#This Row],[Player 4 Handicap]]&gt;=18+'Course Information'!T$12,"••",IF(MergeNamesTable[[#This Row],[Player 4 Handicap]]&gt;='Course Information'!T$12,"•",IF(MergeNamesTable[[#This Row],[Player 4 Handicap]]&lt;='Course Information'!T$12-19,"+1",""))))),IF(MergeNamesTable[[#This Row],[Player 4 Handicap]]&gt;=54+'Course Information'!T$7,"••••",IF(MergeNamesTable[[#This Row],[Player 4 Handicap]]&gt;=36+'Course Information'!T$7,"•••",IF(MergeNamesTable[[#This Row],[Player 4 Handicap]]&gt;=18+'Course Information'!T$7,"••",IF(MergeNamesTable[[#This Row],[Player 4 Handicap]]&gt;='Course Information'!T$7,"•",IF(MergeNamesTable[[#This Row],[Player 4 Handicap]]&lt;='Course Information'!T$7-19,"+1",""))))))</f>
        <v/>
      </c>
      <c r="HH52" s="197"/>
      <c r="HI52" s="165" t="str">
        <f>IF(MergeNamesTable[[#This Row],[Player 5 Male]]="Female",IF(MergeNamesTable[[#This Row],[Player 5 Handicap]]&gt;=54+'Course Information'!B$12,"••••",IF(MergeNamesTable[[#This Row],[Player 5 Handicap]]&gt;=36+'Course Information'!B$12,"•••",IF(MergeNamesTable[[#This Row],[Player 5 Handicap]]&gt;=18+'Course Information'!B$12,"••",IF(MergeNamesTable[[#This Row],[Player 5 Handicap]]&gt;='Course Information'!B$12,"•",IF(MergeNamesTable[[#This Row],[Player 5 Handicap]]&lt;='Course Information'!B$12-19,"+1",""))))),IF(MergeNamesTable[[#This Row],[Player 5 Handicap]]&gt;=54+'Course Information'!B$7,"••••",IF(MergeNamesTable[[#This Row],[Player 5 Handicap]]&gt;=36+'Course Information'!B$7,"•••",IF(MergeNamesTable[[#This Row],[Player 5 Handicap]]&gt;=18+'Course Information'!B$7,"••",IF(MergeNamesTable[[#This Row],[Player 5 Handicap]]&gt;='Course Information'!B$7,"•",IF(MergeNamesTable[[#This Row],[Player 5 Handicap]]&lt;='Course Information'!B$7-19,"+1",""))))))</f>
        <v/>
      </c>
      <c r="HJ52" s="165" t="str">
        <f>IF(MergeNamesTable[[#This Row],[Player 5 Male]]="Female",IF(MergeNamesTable[[#This Row],[Player 5 Handicap]]&gt;=54+'Course Information'!C$12,"••••",IF(MergeNamesTable[[#This Row],[Player 5 Handicap]]&gt;=36+'Course Information'!C$12,"•••",IF(MergeNamesTable[[#This Row],[Player 5 Handicap]]&gt;=18+'Course Information'!C$12,"••",IF(MergeNamesTable[[#This Row],[Player 5 Handicap]]&gt;='Course Information'!C$12,"•",IF(MergeNamesTable[[#This Row],[Player 5 Handicap]]&lt;='Course Information'!C$12-19,"+1",""))))),IF(MergeNamesTable[[#This Row],[Player 5 Handicap]]&gt;=54+'Course Information'!C$7,"••••",IF(MergeNamesTable[[#This Row],[Player 5 Handicap]]&gt;=36+'Course Information'!C$7,"•••",IF(MergeNamesTable[[#This Row],[Player 5 Handicap]]&gt;=18+'Course Information'!C$7,"••",IF(MergeNamesTable[[#This Row],[Player 5 Handicap]]&gt;='Course Information'!C$7,"•",IF(MergeNamesTable[[#This Row],[Player 5 Handicap]]&lt;='Course Information'!C$7-19,"+1",""))))))</f>
        <v/>
      </c>
      <c r="HK52" s="165" t="str">
        <f>IF(MergeNamesTable[[#This Row],[Player 5 Male]]="Female",IF(MergeNamesTable[[#This Row],[Player 5 Handicap]]&gt;=54+'Course Information'!D$12,"••••",IF(MergeNamesTable[[#This Row],[Player 5 Handicap]]&gt;=36+'Course Information'!D$12,"•••",IF(MergeNamesTable[[#This Row],[Player 5 Handicap]]&gt;=18+'Course Information'!D$12,"••",IF(MergeNamesTable[[#This Row],[Player 5 Handicap]]&gt;='Course Information'!D$12,"•",IF(MergeNamesTable[[#This Row],[Player 5 Handicap]]&lt;='Course Information'!D$12-19,"+1",""))))),IF(MergeNamesTable[[#This Row],[Player 5 Handicap]]&gt;=54+'Course Information'!D$7,"••••",IF(MergeNamesTable[[#This Row],[Player 5 Handicap]]&gt;=36+'Course Information'!D$7,"•••",IF(MergeNamesTable[[#This Row],[Player 5 Handicap]]&gt;=18+'Course Information'!D$7,"••",IF(MergeNamesTable[[#This Row],[Player 5 Handicap]]&gt;='Course Information'!D$7,"•",IF(MergeNamesTable[[#This Row],[Player 5 Handicap]]&lt;='Course Information'!D$7-19,"+1",""))))))</f>
        <v/>
      </c>
      <c r="HL52" s="165" t="str">
        <f>IF(MergeNamesTable[[#This Row],[Player 5 Male]]="Female",IF(MergeNamesTable[[#This Row],[Player 5 Handicap]]&gt;=54+'Course Information'!E$12,"••••",IF(MergeNamesTable[[#This Row],[Player 5 Handicap]]&gt;=36+'Course Information'!E$12,"•••",IF(MergeNamesTable[[#This Row],[Player 5 Handicap]]&gt;=18+'Course Information'!E$12,"••",IF(MergeNamesTable[[#This Row],[Player 5 Handicap]]&gt;='Course Information'!E$12,"•",IF(MergeNamesTable[[#This Row],[Player 5 Handicap]]&lt;='Course Information'!E$12-19,"+1",""))))),IF(MergeNamesTable[[#This Row],[Player 5 Handicap]]&gt;=54+'Course Information'!E$7,"••••",IF(MergeNamesTable[[#This Row],[Player 5 Handicap]]&gt;=36+'Course Information'!E$7,"•••",IF(MergeNamesTable[[#This Row],[Player 5 Handicap]]&gt;=18+'Course Information'!E$7,"••",IF(MergeNamesTable[[#This Row],[Player 5 Handicap]]&gt;='Course Information'!E$7,"•",IF(MergeNamesTable[[#This Row],[Player 5 Handicap]]&lt;='Course Information'!E$7-19,"+1",""))))))</f>
        <v/>
      </c>
      <c r="HM52" s="165" t="str">
        <f>IF(MergeNamesTable[[#This Row],[Player 5 Male]]="Female",IF(MergeNamesTable[[#This Row],[Player 5 Handicap]]&gt;=54+'Course Information'!F$12,"••••",IF(MergeNamesTable[[#This Row],[Player 5 Handicap]]&gt;=36+'Course Information'!F$12,"•••",IF(MergeNamesTable[[#This Row],[Player 5 Handicap]]&gt;=18+'Course Information'!F$12,"••",IF(MergeNamesTable[[#This Row],[Player 5 Handicap]]&gt;='Course Information'!F$12,"•",IF(MergeNamesTable[[#This Row],[Player 5 Handicap]]&lt;='Course Information'!F$12-19,"+1",""))))),IF(MergeNamesTable[[#This Row],[Player 5 Handicap]]&gt;=54+'Course Information'!F$7,"••••",IF(MergeNamesTable[[#This Row],[Player 5 Handicap]]&gt;=36+'Course Information'!F$7,"•••",IF(MergeNamesTable[[#This Row],[Player 5 Handicap]]&gt;=18+'Course Information'!F$7,"••",IF(MergeNamesTable[[#This Row],[Player 5 Handicap]]&gt;='Course Information'!F$7,"•",IF(MergeNamesTable[[#This Row],[Player 5 Handicap]]&lt;='Course Information'!F$7-19,"+1",""))))))</f>
        <v/>
      </c>
      <c r="HN52" s="165" t="str">
        <f>IF(MergeNamesTable[[#This Row],[Player 5 Male]]="Female",IF(MergeNamesTable[[#This Row],[Player 5 Handicap]]&gt;=54+'Course Information'!G$12,"••••",IF(MergeNamesTable[[#This Row],[Player 5 Handicap]]&gt;=36+'Course Information'!G$12,"•••",IF(MergeNamesTable[[#This Row],[Player 5 Handicap]]&gt;=18+'Course Information'!G$12,"••",IF(MergeNamesTable[[#This Row],[Player 5 Handicap]]&gt;='Course Information'!G$12,"•",IF(MergeNamesTable[[#This Row],[Player 5 Handicap]]&lt;='Course Information'!G$12-19,"+1",""))))),IF(MergeNamesTable[[#This Row],[Player 5 Handicap]]&gt;=54+'Course Information'!G$7,"••••",IF(MergeNamesTable[[#This Row],[Player 5 Handicap]]&gt;=36+'Course Information'!G$7,"•••",IF(MergeNamesTable[[#This Row],[Player 5 Handicap]]&gt;=18+'Course Information'!G$7,"••",IF(MergeNamesTable[[#This Row],[Player 5 Handicap]]&gt;='Course Information'!G$7,"•",IF(MergeNamesTable[[#This Row],[Player 5 Handicap]]&lt;='Course Information'!G$7-19,"+1",""))))))</f>
        <v/>
      </c>
      <c r="HO52" s="165" t="str">
        <f>IF(MergeNamesTable[[#This Row],[Player 5 Male]]="Female",IF(MergeNamesTable[[#This Row],[Player 5 Handicap]]&gt;=54+'Course Information'!H$12,"••••",IF(MergeNamesTable[[#This Row],[Player 5 Handicap]]&gt;=36+'Course Information'!H$12,"•••",IF(MergeNamesTable[[#This Row],[Player 5 Handicap]]&gt;=18+'Course Information'!H$12,"••",IF(MergeNamesTable[[#This Row],[Player 5 Handicap]]&gt;='Course Information'!H$12,"•",IF(MergeNamesTable[[#This Row],[Player 5 Handicap]]&lt;='Course Information'!H$12-19,"+1",""))))),IF(MergeNamesTable[[#This Row],[Player 5 Handicap]]&gt;=54+'Course Information'!H$7,"••••",IF(MergeNamesTable[[#This Row],[Player 5 Handicap]]&gt;=36+'Course Information'!H$7,"•••",IF(MergeNamesTable[[#This Row],[Player 5 Handicap]]&gt;=18+'Course Information'!H$7,"••",IF(MergeNamesTable[[#This Row],[Player 5 Handicap]]&gt;='Course Information'!H$7,"•",IF(MergeNamesTable[[#This Row],[Player 5 Handicap]]&lt;='Course Information'!H$7-19,"+1",""))))))</f>
        <v/>
      </c>
      <c r="HP52" s="165" t="str">
        <f>IF(MergeNamesTable[[#This Row],[Player 5 Male]]="Female",IF(MergeNamesTable[[#This Row],[Player 5 Handicap]]&gt;=54+'Course Information'!I$12,"••••",IF(MergeNamesTable[[#This Row],[Player 5 Handicap]]&gt;=36+'Course Information'!I$12,"•••",IF(MergeNamesTable[[#This Row],[Player 5 Handicap]]&gt;=18+'Course Information'!I$12,"••",IF(MergeNamesTable[[#This Row],[Player 5 Handicap]]&gt;='Course Information'!I$12,"•",IF(MergeNamesTable[[#This Row],[Player 5 Handicap]]&lt;='Course Information'!I$12-19,"+1",""))))),IF(MergeNamesTable[[#This Row],[Player 5 Handicap]]&gt;=54+'Course Information'!I$7,"••••",IF(MergeNamesTable[[#This Row],[Player 5 Handicap]]&gt;=36+'Course Information'!I$7,"•••",IF(MergeNamesTable[[#This Row],[Player 5 Handicap]]&gt;=18+'Course Information'!I$7,"••",IF(MergeNamesTable[[#This Row],[Player 5 Handicap]]&gt;='Course Information'!I$7,"•",IF(MergeNamesTable[[#This Row],[Player 5 Handicap]]&lt;='Course Information'!I$7-19,"+1",""))))))</f>
        <v/>
      </c>
      <c r="HQ52" s="165" t="str">
        <f>IF(MergeNamesTable[[#This Row],[Player 5 Male]]="Female",IF(MergeNamesTable[[#This Row],[Player 5 Handicap]]&gt;=54+'Course Information'!J$12,"••••",IF(MergeNamesTable[[#This Row],[Player 5 Handicap]]&gt;=36+'Course Information'!J$12,"•••",IF(MergeNamesTable[[#This Row],[Player 5 Handicap]]&gt;=18+'Course Information'!J$12,"••",IF(MergeNamesTable[[#This Row],[Player 5 Handicap]]&gt;='Course Information'!J$12,"•",IF(MergeNamesTable[[#This Row],[Player 5 Handicap]]&lt;='Course Information'!J$12-19,"+1",""))))),IF(MergeNamesTable[[#This Row],[Player 5 Handicap]]&gt;=54+'Course Information'!J$7,"••••",IF(MergeNamesTable[[#This Row],[Player 5 Handicap]]&gt;=36+'Course Information'!J$7,"•••",IF(MergeNamesTable[[#This Row],[Player 5 Handicap]]&gt;=18+'Course Information'!J$7,"••",IF(MergeNamesTable[[#This Row],[Player 5 Handicap]]&gt;='Course Information'!J$7,"•",IF(MergeNamesTable[[#This Row],[Player 5 Handicap]]&lt;='Course Information'!J$7-19,"+1",""))))))</f>
        <v/>
      </c>
      <c r="HR52" s="197"/>
      <c r="HS52" s="165" t="str">
        <f>IF(MergeNamesTable[[#This Row],[Player 5 Male]]="Female",IF(MergeNamesTable[[#This Row],[Player 5 Handicap]]&gt;=54+'Course Information'!L$12,"••••",IF(MergeNamesTable[[#This Row],[Player 5 Handicap]]&gt;=36+'Course Information'!L$12,"•••",IF(MergeNamesTable[[#This Row],[Player 5 Handicap]]&gt;=18+'Course Information'!L$12,"••",IF(MergeNamesTable[[#This Row],[Player 5 Handicap]]&gt;='Course Information'!L$12,"•",IF(MergeNamesTable[[#This Row],[Player 5 Handicap]]&lt;='Course Information'!L$12-19,"+1",""))))),IF(MergeNamesTable[[#This Row],[Player 5 Handicap]]&gt;=54+'Course Information'!L$7,"••••",IF(MergeNamesTable[[#This Row],[Player 5 Handicap]]&gt;=36+'Course Information'!L$7,"•••",IF(MergeNamesTable[[#This Row],[Player 5 Handicap]]&gt;=18+'Course Information'!L$7,"••",IF(MergeNamesTable[[#This Row],[Player 5 Handicap]]&gt;='Course Information'!L$7,"•",IF(MergeNamesTable[[#This Row],[Player 5 Handicap]]&lt;='Course Information'!L$7-19,"+1",""))))))</f>
        <v/>
      </c>
      <c r="HT52" s="165" t="str">
        <f>IF(MergeNamesTable[[#This Row],[Player 5 Male]]="Female",IF(MergeNamesTable[[#This Row],[Player 5 Handicap]]&gt;=54+'Course Information'!M$12,"••••",IF(MergeNamesTable[[#This Row],[Player 5 Handicap]]&gt;=36+'Course Information'!M$12,"•••",IF(MergeNamesTable[[#This Row],[Player 5 Handicap]]&gt;=18+'Course Information'!M$12,"••",IF(MergeNamesTable[[#This Row],[Player 5 Handicap]]&gt;='Course Information'!M$12,"•",IF(MergeNamesTable[[#This Row],[Player 5 Handicap]]&lt;='Course Information'!M$12-19,"+1",""))))),IF(MergeNamesTable[[#This Row],[Player 5 Handicap]]&gt;=54+'Course Information'!M$7,"••••",IF(MergeNamesTable[[#This Row],[Player 5 Handicap]]&gt;=36+'Course Information'!M$7,"•••",IF(MergeNamesTable[[#This Row],[Player 5 Handicap]]&gt;=18+'Course Information'!M$7,"••",IF(MergeNamesTable[[#This Row],[Player 5 Handicap]]&gt;='Course Information'!M$7,"•",IF(MergeNamesTable[[#This Row],[Player 5 Handicap]]&lt;='Course Information'!M$7-19,"+1",""))))))</f>
        <v/>
      </c>
      <c r="HU52" s="165" t="str">
        <f>IF(MergeNamesTable[[#This Row],[Player 5 Male]]="Female",IF(MergeNamesTable[[#This Row],[Player 5 Handicap]]&gt;=54+'Course Information'!N$12,"••••",IF(MergeNamesTable[[#This Row],[Player 5 Handicap]]&gt;=36+'Course Information'!N$12,"•••",IF(MergeNamesTable[[#This Row],[Player 5 Handicap]]&gt;=18+'Course Information'!N$12,"••",IF(MergeNamesTable[[#This Row],[Player 5 Handicap]]&gt;='Course Information'!N$12,"•",IF(MergeNamesTable[[#This Row],[Player 5 Handicap]]&lt;='Course Information'!N$12-19,"+1",""))))),IF(MergeNamesTable[[#This Row],[Player 5 Handicap]]&gt;=54+'Course Information'!N$7,"••••",IF(MergeNamesTable[[#This Row],[Player 5 Handicap]]&gt;=36+'Course Information'!N$7,"•••",IF(MergeNamesTable[[#This Row],[Player 5 Handicap]]&gt;=18+'Course Information'!N$7,"••",IF(MergeNamesTable[[#This Row],[Player 5 Handicap]]&gt;='Course Information'!N$7,"•",IF(MergeNamesTable[[#This Row],[Player 5 Handicap]]&lt;='Course Information'!N$7-19,"+1",""))))))</f>
        <v/>
      </c>
      <c r="HV52" s="165" t="str">
        <f>IF(MergeNamesTable[[#This Row],[Player 5 Male]]="Female",IF(MergeNamesTable[[#This Row],[Player 5 Handicap]]&gt;=54+'Course Information'!O$12,"••••",IF(MergeNamesTable[[#This Row],[Player 5 Handicap]]&gt;=36+'Course Information'!O$12,"•••",IF(MergeNamesTable[[#This Row],[Player 5 Handicap]]&gt;=18+'Course Information'!O$12,"••",IF(MergeNamesTable[[#This Row],[Player 5 Handicap]]&gt;='Course Information'!O$12,"•",IF(MergeNamesTable[[#This Row],[Player 5 Handicap]]&lt;='Course Information'!O$12-19,"+1",""))))),IF(MergeNamesTable[[#This Row],[Player 5 Handicap]]&gt;=54+'Course Information'!O$7,"••••",IF(MergeNamesTable[[#This Row],[Player 5 Handicap]]&gt;=36+'Course Information'!O$7,"•••",IF(MergeNamesTable[[#This Row],[Player 5 Handicap]]&gt;=18+'Course Information'!O$7,"••",IF(MergeNamesTable[[#This Row],[Player 5 Handicap]]&gt;='Course Information'!O$7,"•",IF(MergeNamesTable[[#This Row],[Player 5 Handicap]]&lt;='Course Information'!O$7-19,"+1",""))))))</f>
        <v/>
      </c>
      <c r="HW52" s="165" t="str">
        <f>IF(MergeNamesTable[[#This Row],[Player 5 Male]]="Female",IF(MergeNamesTable[[#This Row],[Player 5 Handicap]]&gt;=54+'Course Information'!P$12,"••••",IF(MergeNamesTable[[#This Row],[Player 5 Handicap]]&gt;=36+'Course Information'!P$12,"•••",IF(MergeNamesTable[[#This Row],[Player 5 Handicap]]&gt;=18+'Course Information'!P$12,"••",IF(MergeNamesTable[[#This Row],[Player 5 Handicap]]&gt;='Course Information'!P$12,"•",IF(MergeNamesTable[[#This Row],[Player 5 Handicap]]&lt;='Course Information'!P$12-19,"+1",""))))),IF(MergeNamesTable[[#This Row],[Player 5 Handicap]]&gt;=54+'Course Information'!P$7,"••••",IF(MergeNamesTable[[#This Row],[Player 5 Handicap]]&gt;=36+'Course Information'!P$7,"•••",IF(MergeNamesTable[[#This Row],[Player 5 Handicap]]&gt;=18+'Course Information'!P$7,"••",IF(MergeNamesTable[[#This Row],[Player 5 Handicap]]&gt;='Course Information'!P$7,"•",IF(MergeNamesTable[[#This Row],[Player 5 Handicap]]&lt;='Course Information'!P$7-19,"+1",""))))))</f>
        <v/>
      </c>
      <c r="HX52" s="165" t="str">
        <f>IF(MergeNamesTable[[#This Row],[Player 5 Male]]="Female",IF(MergeNamesTable[[#This Row],[Player 5 Handicap]]&gt;=54+'Course Information'!Q$12,"••••",IF(MergeNamesTable[[#This Row],[Player 5 Handicap]]&gt;=36+'Course Information'!Q$12,"•••",IF(MergeNamesTable[[#This Row],[Player 5 Handicap]]&gt;=18+'Course Information'!Q$12,"••",IF(MergeNamesTable[[#This Row],[Player 5 Handicap]]&gt;='Course Information'!Q$12,"•",IF(MergeNamesTable[[#This Row],[Player 5 Handicap]]&lt;='Course Information'!Q$12-19,"+1",""))))),IF(MergeNamesTable[[#This Row],[Player 5 Handicap]]&gt;=54+'Course Information'!Q$7,"••••",IF(MergeNamesTable[[#This Row],[Player 5 Handicap]]&gt;=36+'Course Information'!Q$7,"•••",IF(MergeNamesTable[[#This Row],[Player 5 Handicap]]&gt;=18+'Course Information'!Q$7,"••",IF(MergeNamesTable[[#This Row],[Player 5 Handicap]]&gt;='Course Information'!Q$7,"•",IF(MergeNamesTable[[#This Row],[Player 5 Handicap]]&lt;='Course Information'!Q$7-19,"+1",""))))))</f>
        <v/>
      </c>
      <c r="HY52" s="165" t="str">
        <f>IF(MergeNamesTable[[#This Row],[Player 5 Male]]="Female",IF(MergeNamesTable[[#This Row],[Player 5 Handicap]]&gt;=54+'Course Information'!R$12,"••••",IF(MergeNamesTable[[#This Row],[Player 5 Handicap]]&gt;=36+'Course Information'!R$12,"•••",IF(MergeNamesTable[[#This Row],[Player 5 Handicap]]&gt;=18+'Course Information'!R$12,"••",IF(MergeNamesTable[[#This Row],[Player 5 Handicap]]&gt;='Course Information'!R$12,"•",IF(MergeNamesTable[[#This Row],[Player 5 Handicap]]&lt;='Course Information'!R$12-19,"+1",""))))),IF(MergeNamesTable[[#This Row],[Player 5 Handicap]]&gt;=54+'Course Information'!R$7,"••••",IF(MergeNamesTable[[#This Row],[Player 5 Handicap]]&gt;=36+'Course Information'!R$7,"•••",IF(MergeNamesTable[[#This Row],[Player 5 Handicap]]&gt;=18+'Course Information'!R$7,"••",IF(MergeNamesTable[[#This Row],[Player 5 Handicap]]&gt;='Course Information'!R$7,"•",IF(MergeNamesTable[[#This Row],[Player 5 Handicap]]&lt;='Course Information'!R$7-19,"+1",""))))))</f>
        <v/>
      </c>
      <c r="HZ52" s="165" t="str">
        <f>IF(MergeNamesTable[[#This Row],[Player 5 Male]]="Female",IF(MergeNamesTable[[#This Row],[Player 5 Handicap]]&gt;=54+'Course Information'!S$12,"••••",IF(MergeNamesTable[[#This Row],[Player 5 Handicap]]&gt;=36+'Course Information'!S$12,"•••",IF(MergeNamesTable[[#This Row],[Player 5 Handicap]]&gt;=18+'Course Information'!S$12,"••",IF(MergeNamesTable[[#This Row],[Player 5 Handicap]]&gt;='Course Information'!S$12,"•",IF(MergeNamesTable[[#This Row],[Player 5 Handicap]]&lt;='Course Information'!S$12-19,"+1",""))))),IF(MergeNamesTable[[#This Row],[Player 5 Handicap]]&gt;=54+'Course Information'!S$7,"••••",IF(MergeNamesTable[[#This Row],[Player 5 Handicap]]&gt;=36+'Course Information'!S$7,"•••",IF(MergeNamesTable[[#This Row],[Player 5 Handicap]]&gt;=18+'Course Information'!S$7,"••",IF(MergeNamesTable[[#This Row],[Player 5 Handicap]]&gt;='Course Information'!S$7,"•",IF(MergeNamesTable[[#This Row],[Player 5 Handicap]]&lt;='Course Information'!S$7-19,"+1",""))))))</f>
        <v/>
      </c>
      <c r="IA52" s="165" t="str">
        <f>IF(MergeNamesTable[[#This Row],[Player 5 Male]]="Female",IF(MergeNamesTable[[#This Row],[Player 5 Handicap]]&gt;=54+'Course Information'!T$12,"••••",IF(MergeNamesTable[[#This Row],[Player 5 Handicap]]&gt;=36+'Course Information'!T$12,"•••",IF(MergeNamesTable[[#This Row],[Player 5 Handicap]]&gt;=18+'Course Information'!T$12,"••",IF(MergeNamesTable[[#This Row],[Player 5 Handicap]]&gt;='Course Information'!T$12,"•",IF(MergeNamesTable[[#This Row],[Player 5 Handicap]]&lt;='Course Information'!T$12-19,"+1",""))))),IF(MergeNamesTable[[#This Row],[Player 5 Handicap]]&gt;=54+'Course Information'!T$7,"••••",IF(MergeNamesTable[[#This Row],[Player 5 Handicap]]&gt;=36+'Course Information'!T$7,"•••",IF(MergeNamesTable[[#This Row],[Player 5 Handicap]]&gt;=18+'Course Information'!T$7,"••",IF(MergeNamesTable[[#This Row],[Player 5 Handicap]]&gt;='Course Information'!T$7,"•",IF(MergeNamesTable[[#This Row],[Player 5 Handicap]]&lt;='Course Information'!T$7-19,"+1",""))))))</f>
        <v/>
      </c>
      <c r="IB52" s="78"/>
    </row>
    <row r="53" spans="1:236" ht="21" customHeight="1" thickTop="1" thickBot="1">
      <c r="A53" s="366"/>
      <c r="B53" s="364"/>
      <c r="C53" s="80"/>
      <c r="D53" s="81"/>
      <c r="E53" s="82"/>
      <c r="F53" s="83"/>
      <c r="G53" s="84"/>
      <c r="H53" s="84"/>
      <c r="I53" s="84"/>
      <c r="J53" s="85"/>
      <c r="K53" s="86"/>
      <c r="L53" s="202"/>
      <c r="M53" s="87"/>
      <c r="N53" s="81"/>
      <c r="O53" s="84"/>
      <c r="P53" s="84"/>
      <c r="Q53" s="84"/>
      <c r="R53" s="232"/>
      <c r="S53" s="84"/>
      <c r="T53" s="202"/>
      <c r="U53" s="202"/>
      <c r="V53" s="202"/>
      <c r="W53" s="208"/>
      <c r="X53" s="88"/>
      <c r="Y53" s="80"/>
      <c r="Z53" s="81"/>
      <c r="AA53" s="81"/>
      <c r="AB53" s="81"/>
      <c r="AC53" s="81"/>
      <c r="AD53" s="82"/>
      <c r="AE53" s="80"/>
      <c r="AF53" s="81"/>
      <c r="AG53" s="81"/>
      <c r="AH53" s="81"/>
      <c r="AI53" s="82"/>
      <c r="AJ53" s="80"/>
      <c r="AK53" s="81"/>
      <c r="AL53" s="81"/>
      <c r="AM53" s="345"/>
      <c r="AN53" s="345"/>
      <c r="AO53" s="83"/>
      <c r="AP53" s="84"/>
      <c r="AQ53" s="84"/>
      <c r="AR53" s="88"/>
      <c r="AS53" s="88"/>
      <c r="AT53" s="80"/>
      <c r="AU53" s="81"/>
      <c r="AV53" s="81"/>
      <c r="AW53" s="345"/>
      <c r="AX53" s="345"/>
      <c r="AY53" s="80"/>
      <c r="AZ53" s="81"/>
      <c r="BA53" s="81"/>
      <c r="BB53" s="345"/>
      <c r="BC53" s="345"/>
      <c r="BD53" s="80"/>
      <c r="BE53" s="81"/>
      <c r="BF53" s="81"/>
      <c r="BG53" s="345"/>
      <c r="BH53" s="345"/>
      <c r="BI53" s="80"/>
      <c r="BJ53" s="81"/>
      <c r="BK53" s="81"/>
      <c r="BL53" s="82"/>
      <c r="BM53" s="82"/>
      <c r="BN53" s="215"/>
      <c r="BO53" s="81"/>
      <c r="BP53" s="89"/>
      <c r="BQ53" s="89"/>
      <c r="BR53" s="89"/>
      <c r="BS53" s="89"/>
      <c r="BT53" s="89"/>
      <c r="BU53" s="235"/>
      <c r="BV53" s="235"/>
      <c r="BW53" s="235"/>
      <c r="BX53" s="90"/>
      <c r="BY53" s="90"/>
      <c r="BZ53" s="88"/>
      <c r="CA53" s="222"/>
      <c r="CB53" s="215"/>
      <c r="CC53" s="91"/>
      <c r="CD53" s="81"/>
      <c r="CE53" s="81"/>
      <c r="CF53" s="81"/>
      <c r="CG53" s="81"/>
      <c r="CH53" s="81"/>
      <c r="CI53" s="237"/>
      <c r="CJ53" s="237"/>
      <c r="CK53" s="237"/>
      <c r="CL53" s="84"/>
      <c r="CM53" s="84"/>
      <c r="CN53" s="88"/>
      <c r="CO53" s="222"/>
      <c r="CP53" s="215"/>
      <c r="CQ53" s="91"/>
      <c r="CR53" s="81"/>
      <c r="CS53" s="81"/>
      <c r="CT53" s="81"/>
      <c r="CU53" s="81"/>
      <c r="CV53" s="81"/>
      <c r="CW53" s="237"/>
      <c r="CX53" s="237"/>
      <c r="CY53" s="237"/>
      <c r="CZ53" s="84"/>
      <c r="DA53" s="84"/>
      <c r="DB53" s="88"/>
      <c r="DC53" s="222"/>
      <c r="DD53" s="215"/>
      <c r="DE53" s="92"/>
      <c r="DF53" s="81"/>
      <c r="DG53" s="81"/>
      <c r="DH53" s="81"/>
      <c r="DI53" s="81"/>
      <c r="DJ53" s="81"/>
      <c r="DK53" s="237"/>
      <c r="DL53" s="237"/>
      <c r="DM53" s="237"/>
      <c r="DN53" s="84"/>
      <c r="DO53" s="84"/>
      <c r="DP53" s="88"/>
      <c r="DQ53" s="227"/>
      <c r="DR53" s="228"/>
      <c r="DS53" s="82"/>
      <c r="DT53" s="82"/>
      <c r="DU53" s="82"/>
      <c r="DV53" s="82"/>
      <c r="DW53" s="82"/>
      <c r="DX53" s="82"/>
      <c r="DY53" s="240"/>
      <c r="DZ53" s="240"/>
      <c r="EA53" s="240"/>
      <c r="EB53" s="88"/>
      <c r="EC53" s="88"/>
      <c r="ED53" s="88"/>
      <c r="EE53" s="222"/>
      <c r="EF53" s="93"/>
      <c r="EG53" s="94"/>
      <c r="EH53" s="84"/>
      <c r="EI53" s="84"/>
      <c r="EJ53" s="84"/>
      <c r="EK53" s="84"/>
      <c r="EL53" s="84"/>
      <c r="EM53" s="84"/>
      <c r="EN53" s="84"/>
      <c r="EO53" s="95"/>
      <c r="EP53" s="105"/>
      <c r="EQ53" s="94"/>
      <c r="ER53" s="84"/>
      <c r="ES53" s="84"/>
      <c r="ET53" s="84"/>
      <c r="EU53" s="84"/>
      <c r="EV53" s="84"/>
      <c r="EW53" s="84"/>
      <c r="EX53" s="84"/>
      <c r="EY53" s="95"/>
      <c r="EZ53" s="96"/>
      <c r="FA53" s="94"/>
      <c r="FB53" s="84"/>
      <c r="FC53" s="84"/>
      <c r="FD53" s="84"/>
      <c r="FE53" s="84"/>
      <c r="FF53" s="84"/>
      <c r="FG53" s="84"/>
      <c r="FH53" s="84"/>
      <c r="FI53" s="95"/>
      <c r="FJ53" s="108"/>
      <c r="FK53" s="94"/>
      <c r="FL53" s="84"/>
      <c r="FM53" s="84"/>
      <c r="FN53" s="84"/>
      <c r="FO53" s="84"/>
      <c r="FP53" s="84"/>
      <c r="FQ53" s="84"/>
      <c r="FR53" s="84"/>
      <c r="FS53" s="95"/>
      <c r="FT53" s="96"/>
      <c r="FU53" s="94"/>
      <c r="FV53" s="84"/>
      <c r="FW53" s="84"/>
      <c r="FX53" s="84"/>
      <c r="FY53" s="84"/>
      <c r="FZ53" s="84"/>
      <c r="GA53" s="84"/>
      <c r="GB53" s="84"/>
      <c r="GC53" s="95"/>
      <c r="GD53" s="105"/>
      <c r="GE53" s="94"/>
      <c r="GF53" s="84"/>
      <c r="GG53" s="84"/>
      <c r="GH53" s="84"/>
      <c r="GI53" s="84"/>
      <c r="GJ53" s="84"/>
      <c r="GK53" s="84"/>
      <c r="GL53" s="84"/>
      <c r="GM53" s="95"/>
      <c r="GN53" s="96"/>
      <c r="GO53" s="94"/>
      <c r="GP53" s="84"/>
      <c r="GQ53" s="84"/>
      <c r="GR53" s="84"/>
      <c r="GS53" s="84"/>
      <c r="GT53" s="84"/>
      <c r="GU53" s="84"/>
      <c r="GV53" s="84"/>
      <c r="GW53" s="95"/>
      <c r="GX53" s="96"/>
      <c r="GY53" s="94"/>
      <c r="GZ53" s="84"/>
      <c r="HA53" s="84"/>
      <c r="HB53" s="84"/>
      <c r="HC53" s="84"/>
      <c r="HD53" s="84"/>
      <c r="HE53" s="84"/>
      <c r="HF53" s="84"/>
      <c r="HG53" s="95"/>
      <c r="HH53" s="97">
        <f>SUBTOTAL(103,MergeNamesTable[Spacer 83])</f>
        <v>0</v>
      </c>
      <c r="HI53" s="84"/>
      <c r="HJ53" s="84"/>
      <c r="HK53" s="84"/>
      <c r="HL53" s="84"/>
      <c r="HM53" s="84"/>
      <c r="HN53" s="84"/>
      <c r="HO53" s="84"/>
      <c r="HP53" s="84"/>
      <c r="HQ53" s="84"/>
      <c r="HR53" s="97"/>
      <c r="HS53" s="84"/>
      <c r="HT53" s="84"/>
      <c r="HU53" s="84"/>
      <c r="HV53" s="84"/>
      <c r="HW53" s="84"/>
      <c r="HX53" s="84"/>
      <c r="HY53" s="84"/>
      <c r="HZ53" s="84"/>
      <c r="IA53" s="84"/>
      <c r="IB53" s="198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dataValidations count="5">
    <dataValidation type="list" allowBlank="1" showInputMessage="1" showErrorMessage="1" sqref="DR2 DD2:DD52 CP2:CP52 CB2:CB52 BN2:BN52">
      <formula1>PopUpLookUpName</formula1>
    </dataValidation>
    <dataValidation type="list" allowBlank="1" showInputMessage="1" showErrorMessage="1" sqref="L2:M52">
      <formula1>PopUpFlights</formula1>
    </dataValidation>
    <dataValidation type="list" allowBlank="1" showInputMessage="1" showErrorMessage="1" sqref="DM2:DM52 CY2:CY52 CK2:CK52 BW2:BW52 W2:W52">
      <formula1>PopUpTeeMarkers</formula1>
    </dataValidation>
    <dataValidation type="list" allowBlank="1" showInputMessage="1" showErrorMessage="1" sqref="BU2:BU52 DK2:DK52 CW2:CW52 CI2:CI52">
      <formula1>PopUpGender</formula1>
    </dataValidation>
    <dataValidation type="list" allowBlank="1" showInputMessage="1" showErrorMessage="1" sqref="BV2:BV52 DL2:DL52 CX2:CX52 CJ2:CJ52">
      <formula1>PopUpClubName</formula1>
    </dataValidation>
  </dataValidations>
  <pageMargins left="0.75" right="0.75" top="1" bottom="1" header="0.5" footer="0.5"/>
  <pageSetup orientation="portrait" horizontalDpi="4294967292" verticalDpi="4294967292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20"/>
  <sheetViews>
    <sheetView showGridLines="0" workbookViewId="0">
      <selection activeCell="C15" sqref="C15"/>
    </sheetView>
  </sheetViews>
  <sheetFormatPr defaultColWidth="10.6640625" defaultRowHeight="18"/>
  <cols>
    <col min="1" max="1" width="4" style="4" customWidth="1"/>
    <col min="2" max="2" width="21.5546875" style="2" customWidth="1"/>
    <col min="3" max="3" width="21.5546875" style="98" customWidth="1"/>
    <col min="4" max="6" width="21.5546875" style="2" customWidth="1"/>
    <col min="7" max="7" width="22.88671875" style="98" customWidth="1"/>
    <col min="8" max="8" width="11.44140625" style="4" customWidth="1"/>
    <col min="9" max="12" width="22.88671875" style="2" hidden="1" customWidth="1"/>
    <col min="13" max="13" width="23.88671875" style="2" hidden="1" customWidth="1"/>
    <col min="14" max="14" width="24" style="4" hidden="1" customWidth="1"/>
    <col min="15" max="16384" width="10.6640625" style="4"/>
  </cols>
  <sheetData>
    <row r="1" spans="1:15" s="127" customFormat="1" ht="62.1" customHeight="1">
      <c r="A1" s="367"/>
      <c r="B1" s="168" t="s">
        <v>7</v>
      </c>
      <c r="C1" s="320" t="s">
        <v>8</v>
      </c>
      <c r="D1" s="320" t="s">
        <v>344</v>
      </c>
      <c r="E1" s="320" t="s">
        <v>345</v>
      </c>
      <c r="F1" s="320" t="s">
        <v>346</v>
      </c>
      <c r="G1" s="320" t="s">
        <v>347</v>
      </c>
      <c r="H1" s="321" t="s">
        <v>348</v>
      </c>
      <c r="I1" s="322" t="s">
        <v>349</v>
      </c>
      <c r="J1" s="243" t="s">
        <v>350</v>
      </c>
      <c r="K1" s="243" t="s">
        <v>351</v>
      </c>
      <c r="L1" s="243" t="s">
        <v>352</v>
      </c>
      <c r="M1" s="243" t="s">
        <v>353</v>
      </c>
      <c r="N1" s="243" t="s">
        <v>354</v>
      </c>
      <c r="O1" s="126"/>
    </row>
    <row r="2" spans="1:15" ht="23.1" customHeight="1">
      <c r="A2" s="7">
        <v>1</v>
      </c>
      <c r="B2" s="5" t="str">
        <f>IF(OR('Hole Event List'!$C2&lt;&gt;"",'Hole Event List'!$D2&lt;&gt;"",'Hole Event List'!$E2&lt;&gt;"",'Hole Event List'!$G2&lt;&gt;""),'Defaults and Lookup Lists'!$B$2,"")</f>
        <v>Christmas Cup</v>
      </c>
      <c r="C2" s="250" t="s">
        <v>355</v>
      </c>
      <c r="D2" s="325" t="s">
        <v>356</v>
      </c>
      <c r="E2" s="250" t="s">
        <v>357</v>
      </c>
      <c r="F2" s="250" t="s">
        <v>151</v>
      </c>
      <c r="G2" s="250" t="s">
        <v>358</v>
      </c>
      <c r="H2" s="324">
        <v>50</v>
      </c>
      <c r="I2" s="5" t="str">
        <f>TEXT('Hole Event List'!$H2,"$###,##0.00")</f>
        <v>$50.00</v>
      </c>
      <c r="J2" s="5" t="str">
        <f>UPPER('Hole Event List'!$B2)</f>
        <v>CHRISTMAS CUP</v>
      </c>
      <c r="K2" s="5" t="str">
        <f>UPPER('Hole Event List'!$C2)</f>
        <v>ALL DIVISIONS</v>
      </c>
      <c r="L2" s="5" t="str">
        <f>UPPER('Hole Event List'!$E2)</f>
        <v>SHORTEST DRIVE </v>
      </c>
      <c r="M2" s="5" t="str">
        <f>UPPER('Hole Event List'!$F2)</f>
        <v/>
      </c>
      <c r="N2" s="5" t="str">
        <f>UPPER('Hole Event List'!$G2)</f>
        <v>OPEN TO ALL</v>
      </c>
    </row>
    <row r="3" spans="1:15" ht="23.1" customHeight="1">
      <c r="A3" s="7">
        <v>2</v>
      </c>
      <c r="B3" s="5" t="str">
        <f>IF(OR('Hole Event List'!$C3&lt;&gt;"",'Hole Event List'!$D3&lt;&gt;"",'Hole Event List'!$E3&lt;&gt;"",'Hole Event List'!$G3&lt;&gt;""),'Defaults and Lookup Lists'!$B$2,"")</f>
        <v>Christmas Cup</v>
      </c>
      <c r="C3" s="250" t="s">
        <v>355</v>
      </c>
      <c r="D3" s="325" t="s">
        <v>359</v>
      </c>
      <c r="E3" s="250" t="s">
        <v>360</v>
      </c>
      <c r="F3" s="250" t="s">
        <v>361</v>
      </c>
      <c r="G3" s="250" t="s">
        <v>358</v>
      </c>
      <c r="H3" s="324">
        <v>50</v>
      </c>
      <c r="I3" s="5" t="str">
        <f>TEXT('Hole Event List'!$H3,"$###,##0.00")</f>
        <v>$50.00</v>
      </c>
      <c r="J3" s="5" t="str">
        <f>UPPER('Hole Event List'!$B3)</f>
        <v>CHRISTMAS CUP</v>
      </c>
      <c r="K3" s="5" t="str">
        <f>UPPER('Hole Event List'!$C3)</f>
        <v>ALL DIVISIONS</v>
      </c>
      <c r="L3" s="5" t="str">
        <f>UPPER('Hole Event List'!$E3)</f>
        <v>CLOSEST 3RD SHOT</v>
      </c>
      <c r="M3" s="5" t="str">
        <f>UPPER('Hole Event List'!$F3)</f>
        <v xml:space="preserve"> PAY FIRST IN IF TIE</v>
      </c>
      <c r="N3" s="5" t="str">
        <f>UPPER('Hole Event List'!$G3)</f>
        <v>OPEN TO ALL</v>
      </c>
    </row>
    <row r="4" spans="1:15" ht="23.1" customHeight="1">
      <c r="A4" s="7">
        <v>3</v>
      </c>
      <c r="B4" s="5" t="str">
        <f>IF(OR('Hole Event List'!$C4&lt;&gt;"",'Hole Event List'!$D4&lt;&gt;"",'Hole Event List'!$E4&lt;&gt;"",'Hole Event List'!$G4&lt;&gt;""),'Defaults and Lookup Lists'!$B$2,"")</f>
        <v>Christmas Cup</v>
      </c>
      <c r="C4" s="250" t="s">
        <v>362</v>
      </c>
      <c r="D4" s="325" t="s">
        <v>363</v>
      </c>
      <c r="E4" s="250" t="s">
        <v>364</v>
      </c>
      <c r="F4" s="250"/>
      <c r="G4" s="250" t="s">
        <v>365</v>
      </c>
      <c r="H4" s="324">
        <v>50</v>
      </c>
      <c r="I4" s="5" t="str">
        <f>TEXT('Hole Event List'!$H4,"$###,##0.00")</f>
        <v>$50.00</v>
      </c>
      <c r="J4" s="5" t="str">
        <f>UPPER('Hole Event List'!$B4)</f>
        <v>CHRISTMAS CUP</v>
      </c>
      <c r="K4" s="5" t="str">
        <f>UPPER('Hole Event List'!$C4)</f>
        <v>MEN'S DIVISION</v>
      </c>
      <c r="L4" s="5" t="str">
        <f>UPPER('Hole Event List'!$E4)</f>
        <v>STRAIGHTEST DRIVE</v>
      </c>
      <c r="M4" s="5" t="str">
        <f>UPPER('Hole Event List'!$F4)</f>
        <v/>
      </c>
      <c r="N4" s="5" t="str">
        <f>UPPER('Hole Event List'!$G4)</f>
        <v>MEN ONLY</v>
      </c>
    </row>
    <row r="5" spans="1:15" ht="23.1" customHeight="1">
      <c r="A5" s="7">
        <v>4</v>
      </c>
      <c r="B5" s="5" t="str">
        <f>IF(OR('Hole Event List'!$C6&lt;&gt;"",'Hole Event List'!$D6&lt;&gt;"",'Hole Event List'!$E6&lt;&gt;"",'Hole Event List'!$G6&lt;&gt;""),'Defaults and Lookup Lists'!$B$2,"")</f>
        <v>Christmas Cup</v>
      </c>
      <c r="C5" s="250" t="s">
        <v>367</v>
      </c>
      <c r="D5" s="325" t="s">
        <v>363</v>
      </c>
      <c r="E5" s="250" t="s">
        <v>364</v>
      </c>
      <c r="F5" s="250" t="s">
        <v>151</v>
      </c>
      <c r="G5" s="250" t="s">
        <v>368</v>
      </c>
      <c r="H5" s="324">
        <v>50</v>
      </c>
      <c r="I5" s="5" t="str">
        <f>TEXT('Hole Event List'!$H6,"$###,##0.00")</f>
        <v>$50.00</v>
      </c>
      <c r="J5" s="5" t="str">
        <f>UPPER('Hole Event List'!$B6)</f>
        <v>CHRISTMAS CUP</v>
      </c>
      <c r="K5" s="5" t="str">
        <f>UPPER('Hole Event List'!$C6)</f>
        <v>ALL DIVISIONS</v>
      </c>
      <c r="L5" s="5" t="str">
        <f>UPPER('Hole Event List'!$E6)</f>
        <v>LONGEST PUTT</v>
      </c>
      <c r="M5" s="5" t="str">
        <f>UPPER('Hole Event List'!$F6)</f>
        <v/>
      </c>
      <c r="N5" s="5" t="str">
        <f>UPPER('Hole Event List'!$G6)</f>
        <v>OPEN TO ALL</v>
      </c>
    </row>
    <row r="6" spans="1:15" ht="23.1" customHeight="1">
      <c r="A6" s="7">
        <v>5</v>
      </c>
      <c r="B6" s="5" t="str">
        <f>IF(OR('Hole Event List'!$C5&lt;&gt;"",'Hole Event List'!$D5&lt;&gt;"",'Hole Event List'!$E5&lt;&gt;"",'Hole Event List'!$G5&lt;&gt;""),'Defaults and Lookup Lists'!$B$2,"")</f>
        <v>Christmas Cup</v>
      </c>
      <c r="C6" s="250" t="s">
        <v>355</v>
      </c>
      <c r="D6" s="325" t="s">
        <v>363</v>
      </c>
      <c r="E6" s="250" t="s">
        <v>366</v>
      </c>
      <c r="F6" s="250" t="s">
        <v>151</v>
      </c>
      <c r="G6" s="250" t="s">
        <v>358</v>
      </c>
      <c r="H6" s="324">
        <v>50</v>
      </c>
      <c r="I6" s="5" t="str">
        <f>TEXT('Hole Event List'!$H5,"$###,##0.00")</f>
        <v>$50.00</v>
      </c>
      <c r="J6" s="5" t="str">
        <f>UPPER('Hole Event List'!$B5)</f>
        <v>CHRISTMAS CUP</v>
      </c>
      <c r="K6" s="5" t="str">
        <f>UPPER('Hole Event List'!$C5)</f>
        <v>WOMEN'S DIVISION</v>
      </c>
      <c r="L6" s="5" t="str">
        <f>UPPER('Hole Event List'!$E5)</f>
        <v>STRAIGHTEST DRIVE</v>
      </c>
      <c r="M6" s="5" t="str">
        <f>UPPER('Hole Event List'!$F5)</f>
        <v/>
      </c>
      <c r="N6" s="5" t="str">
        <f>UPPER('Hole Event List'!$G5)</f>
        <v>WOMEN ONLY</v>
      </c>
    </row>
    <row r="7" spans="1:15" ht="23.1" customHeight="1">
      <c r="A7" s="7">
        <v>6</v>
      </c>
      <c r="B7" s="5" t="str">
        <f>IF(OR('Hole Event List'!$C7&lt;&gt;"",'Hole Event List'!$D7&lt;&gt;"",'Hole Event List'!$E7&lt;&gt;"",'Hole Event List'!$G7&lt;&gt;""),'Defaults and Lookup Lists'!$B$2,"")</f>
        <v>Christmas Cup</v>
      </c>
      <c r="C7" s="250" t="s">
        <v>355</v>
      </c>
      <c r="D7" s="325" t="s">
        <v>369</v>
      </c>
      <c r="E7" s="250" t="s">
        <v>370</v>
      </c>
      <c r="F7" s="250" t="s">
        <v>151</v>
      </c>
      <c r="G7" s="250" t="s">
        <v>358</v>
      </c>
      <c r="H7" s="324">
        <v>50</v>
      </c>
      <c r="I7" s="5" t="str">
        <f>TEXT('Hole Event List'!$H7,"$###,##0.00")</f>
        <v>$50.00</v>
      </c>
      <c r="J7" s="5" t="str">
        <f>UPPER('Hole Event List'!$B7)</f>
        <v>CHRISTMAS CUP</v>
      </c>
      <c r="K7" s="5" t="str">
        <f>UPPER('Hole Event List'!$C7)</f>
        <v>ALL DIVISIONS</v>
      </c>
      <c r="L7" s="5" t="str">
        <f>UPPER('Hole Event List'!$E7)</f>
        <v>CLOSEST CHIP   </v>
      </c>
      <c r="M7" s="5" t="str">
        <f>UPPER('Hole Event List'!$F7)</f>
        <v/>
      </c>
      <c r="N7" s="5" t="str">
        <f>UPPER('Hole Event List'!$G7)</f>
        <v>OPEN TO ALL</v>
      </c>
    </row>
    <row r="8" spans="1:15" ht="23.1" customHeight="1">
      <c r="A8" s="7">
        <v>7</v>
      </c>
      <c r="B8" s="5" t="str">
        <f>IF(OR('Hole Event List'!$C8&lt;&gt;"",'Hole Event List'!$D8&lt;&gt;"",'Hole Event List'!$E8&lt;&gt;"",'Hole Event List'!$G8&lt;&gt;""),'Defaults and Lookup Lists'!$B$2,"")</f>
        <v>Christmas Cup</v>
      </c>
      <c r="C8" s="250" t="s">
        <v>367</v>
      </c>
      <c r="D8" s="325" t="s">
        <v>371</v>
      </c>
      <c r="E8" s="250" t="s">
        <v>372</v>
      </c>
      <c r="F8" s="250" t="s">
        <v>151</v>
      </c>
      <c r="G8" s="250" t="s">
        <v>368</v>
      </c>
      <c r="H8" s="324">
        <v>50</v>
      </c>
      <c r="I8" s="5" t="str">
        <f>TEXT('Hole Event List'!$H8,"$###,##0.00")</f>
        <v>$50.00</v>
      </c>
      <c r="J8" s="5" t="str">
        <f>UPPER('Hole Event List'!$B8)</f>
        <v>CHRISTMAS CUP</v>
      </c>
      <c r="K8" s="5" t="str">
        <f>UPPER('Hole Event List'!$C8)</f>
        <v>WOMEN'S DIVISION</v>
      </c>
      <c r="L8" s="5" t="str">
        <f>UPPER('Hole Event List'!$E8)</f>
        <v>LONGEST PUTT  </v>
      </c>
      <c r="M8" s="5" t="str">
        <f>UPPER('Hole Event List'!$F8)</f>
        <v/>
      </c>
      <c r="N8" s="5" t="str">
        <f>UPPER('Hole Event List'!$G8)</f>
        <v>WOMEN ONLY</v>
      </c>
    </row>
    <row r="9" spans="1:15" ht="23.1" customHeight="1">
      <c r="A9" s="7">
        <v>8</v>
      </c>
      <c r="B9" s="5" t="str">
        <f>IF(OR('Hole Event List'!$C9&lt;&gt;"",'Hole Event List'!$D9&lt;&gt;"",'Hole Event List'!$E9&lt;&gt;"",'Hole Event List'!$G9&lt;&gt;""),'Defaults and Lookup Lists'!$B$2,"")</f>
        <v>Christmas Cup</v>
      </c>
      <c r="C9" s="250" t="s">
        <v>355</v>
      </c>
      <c r="D9" s="325" t="s">
        <v>373</v>
      </c>
      <c r="E9" s="250" t="s">
        <v>374</v>
      </c>
      <c r="F9" s="250" t="s">
        <v>151</v>
      </c>
      <c r="G9" s="250" t="s">
        <v>358</v>
      </c>
      <c r="H9" s="324">
        <v>50</v>
      </c>
      <c r="I9" s="5" t="str">
        <f>TEXT('Hole Event List'!$H9,"$###,##0.00")</f>
        <v>$50.00</v>
      </c>
      <c r="J9" s="5" t="str">
        <f>UPPER('Hole Event List'!$B9)</f>
        <v>CHRISTMAS CUP</v>
      </c>
      <c r="K9" s="5" t="str">
        <f>UPPER('Hole Event List'!$C9)</f>
        <v>ALL DIVISIONS</v>
      </c>
      <c r="L9" s="5" t="str">
        <f>UPPER('Hole Event List'!$E9)</f>
        <v>CLOSEST 2ND SHOT </v>
      </c>
      <c r="M9" s="5" t="str">
        <f>UPPER('Hole Event List'!$F9)</f>
        <v/>
      </c>
      <c r="N9" s="5" t="str">
        <f>UPPER('Hole Event List'!$G9)</f>
        <v>OPEN TO ALL</v>
      </c>
    </row>
    <row r="10" spans="1:15" ht="23.1" customHeight="1">
      <c r="A10" s="7">
        <v>9</v>
      </c>
      <c r="B10" s="5" t="str">
        <f>IF(OR('Hole Event List'!$C10&lt;&gt;"",'Hole Event List'!$D10&lt;&gt;"",'Hole Event List'!$E10&lt;&gt;"",'Hole Event List'!$G10&lt;&gt;""),'Defaults and Lookup Lists'!$B$2,"")</f>
        <v>Christmas Cup</v>
      </c>
      <c r="C10" s="250" t="s">
        <v>367</v>
      </c>
      <c r="D10" s="325" t="s">
        <v>375</v>
      </c>
      <c r="E10" s="250" t="s">
        <v>376</v>
      </c>
      <c r="F10" s="250" t="s">
        <v>151</v>
      </c>
      <c r="G10" s="250" t="s">
        <v>368</v>
      </c>
      <c r="H10" s="324">
        <v>50</v>
      </c>
      <c r="I10" s="5" t="str">
        <f>TEXT('Hole Event List'!$H10,"$###,##0.00")</f>
        <v>$50.00</v>
      </c>
      <c r="J10" s="5" t="str">
        <f>UPPER('Hole Event List'!$B10)</f>
        <v>CHRISTMAS CUP</v>
      </c>
      <c r="K10" s="5" t="str">
        <f>UPPER('Hole Event List'!$C10)</f>
        <v>WOMEN'S DIVISION</v>
      </c>
      <c r="L10" s="5" t="str">
        <f>UPPER('Hole Event List'!$E10)</f>
        <v>CLOSEST 2ND SHOT</v>
      </c>
      <c r="M10" s="5" t="str">
        <f>UPPER('Hole Event List'!$F10)</f>
        <v/>
      </c>
      <c r="N10" s="5" t="str">
        <f>UPPER('Hole Event List'!$G10)</f>
        <v>WOMEN ONLY</v>
      </c>
    </row>
    <row r="11" spans="1:15" ht="23.1" customHeight="1">
      <c r="A11" s="7">
        <v>10</v>
      </c>
      <c r="B11" s="5" t="str">
        <f>IF(OR('Hole Event List'!$C11&lt;&gt;"",'Hole Event List'!$D11&lt;&gt;"",'Hole Event List'!$E11&lt;&gt;"",'Hole Event List'!$G11&lt;&gt;""),'Defaults and Lookup Lists'!$B$2,"")</f>
        <v>Christmas Cup</v>
      </c>
      <c r="C11" s="250" t="s">
        <v>355</v>
      </c>
      <c r="D11" s="325" t="s">
        <v>377</v>
      </c>
      <c r="E11" s="250" t="s">
        <v>378</v>
      </c>
      <c r="F11" s="250" t="s">
        <v>151</v>
      </c>
      <c r="G11" s="250" t="s">
        <v>358</v>
      </c>
      <c r="H11" s="324">
        <v>50</v>
      </c>
      <c r="I11" s="5" t="str">
        <f>TEXT('Hole Event List'!$H11,"$###,##0.00")</f>
        <v>$50.00</v>
      </c>
      <c r="J11" s="5" t="str">
        <f>UPPER('Hole Event List'!$B11)</f>
        <v>CHRISTMAS CUP</v>
      </c>
      <c r="K11" s="5" t="str">
        <f>UPPER('Hole Event List'!$C11)</f>
        <v>ALL DIVISIONS</v>
      </c>
      <c r="L11" s="5" t="str">
        <f>UPPER('Hole Event List'!$E11)</f>
        <v>SHORTEST DRIVE  </v>
      </c>
      <c r="M11" s="5" t="str">
        <f>UPPER('Hole Event List'!$F11)</f>
        <v/>
      </c>
      <c r="N11" s="5" t="str">
        <f>UPPER('Hole Event List'!$G11)</f>
        <v>OPEN TO ALL</v>
      </c>
    </row>
    <row r="12" spans="1:15" ht="23.1" customHeight="1">
      <c r="A12" s="7">
        <v>11</v>
      </c>
      <c r="B12" s="5" t="str">
        <f>IF(OR('Hole Event List'!$C12&lt;&gt;"",'Hole Event List'!$D12&lt;&gt;"",'Hole Event List'!$E12&lt;&gt;"",'Hole Event List'!$G12&lt;&gt;""),'Defaults and Lookup Lists'!$B$2,"")</f>
        <v>Christmas Cup</v>
      </c>
      <c r="C12" s="250" t="s">
        <v>355</v>
      </c>
      <c r="D12" s="325" t="s">
        <v>379</v>
      </c>
      <c r="E12" s="250" t="s">
        <v>380</v>
      </c>
      <c r="F12" s="250" t="s">
        <v>151</v>
      </c>
      <c r="G12" s="250" t="s">
        <v>358</v>
      </c>
      <c r="H12" s="324">
        <v>50</v>
      </c>
      <c r="I12" s="5" t="str">
        <f>TEXT('Hole Event List'!$H12,"$###,##0.00")</f>
        <v>$50.00</v>
      </c>
      <c r="J12" s="5" t="str">
        <f>UPPER('Hole Event List'!$B12)</f>
        <v>CHRISTMAS CUP</v>
      </c>
      <c r="K12" s="5" t="str">
        <f>UPPER('Hole Event List'!$C12)</f>
        <v>ALL DIVISIONS</v>
      </c>
      <c r="L12" s="5" t="str">
        <f>UPPER('Hole Event List'!$E12)</f>
        <v>CLOSEST CHIP  </v>
      </c>
      <c r="M12" s="5" t="str">
        <f>UPPER('Hole Event List'!$F12)</f>
        <v/>
      </c>
      <c r="N12" s="5" t="str">
        <f>UPPER('Hole Event List'!$G12)</f>
        <v>OPEN TO ALL</v>
      </c>
    </row>
    <row r="13" spans="1:15" ht="23.1" customHeight="1">
      <c r="A13" s="7">
        <v>12</v>
      </c>
      <c r="B13" s="5" t="str">
        <f>IF(OR('Hole Event List'!$C13&lt;&gt;"",'Hole Event List'!$D13&lt;&gt;"",'Hole Event List'!$E13&lt;&gt;"",'Hole Event List'!$G13&lt;&gt;""),'Defaults and Lookup Lists'!$B$2,"")</f>
        <v>Christmas Cup</v>
      </c>
      <c r="C13" s="250" t="s">
        <v>362</v>
      </c>
      <c r="D13" s="325" t="s">
        <v>381</v>
      </c>
      <c r="E13" s="250" t="s">
        <v>382</v>
      </c>
      <c r="F13" s="250" t="s">
        <v>151</v>
      </c>
      <c r="G13" s="250" t="s">
        <v>365</v>
      </c>
      <c r="H13" s="324">
        <v>50</v>
      </c>
      <c r="I13" s="5" t="str">
        <f>TEXT('Hole Event List'!$H13,"$###,##0.00")</f>
        <v>$50.00</v>
      </c>
      <c r="J13" s="5" t="str">
        <f>UPPER('Hole Event List'!$B13)</f>
        <v>CHRISTMAS CUP</v>
      </c>
      <c r="K13" s="5" t="str">
        <f>UPPER('Hole Event List'!$C13)</f>
        <v>MEN'S DIVISION</v>
      </c>
      <c r="L13" s="5" t="str">
        <f>UPPER('Hole Event List'!$E13)</f>
        <v>CLOSEST 2ND SHOT   </v>
      </c>
      <c r="M13" s="5" t="str">
        <f>UPPER('Hole Event List'!$F13)</f>
        <v/>
      </c>
      <c r="N13" s="5" t="str">
        <f>UPPER('Hole Event List'!$G13)</f>
        <v>MEN ONLY</v>
      </c>
    </row>
    <row r="14" spans="1:15" ht="23.1" customHeight="1">
      <c r="A14" s="7">
        <v>13</v>
      </c>
      <c r="B14" s="5" t="str">
        <f>IF(OR('Hole Event List'!$C15&lt;&gt;"",'Hole Event List'!$D15&lt;&gt;"",'Hole Event List'!$E15&lt;&gt;"",'Hole Event List'!$G15&lt;&gt;""),'Defaults and Lookup Lists'!$B$2,"")</f>
        <v>Christmas Cup</v>
      </c>
      <c r="C14" s="250" t="s">
        <v>367</v>
      </c>
      <c r="D14" s="325" t="s">
        <v>383</v>
      </c>
      <c r="E14" s="250" t="s">
        <v>384</v>
      </c>
      <c r="F14" s="250" t="s">
        <v>151</v>
      </c>
      <c r="G14" s="250" t="s">
        <v>368</v>
      </c>
      <c r="H14" s="324">
        <v>50</v>
      </c>
      <c r="I14" s="5" t="str">
        <f>TEXT('Hole Event List'!$H15,"$###,##0.00")</f>
        <v>$50.00</v>
      </c>
      <c r="J14" s="5" t="str">
        <f>UPPER('Hole Event List'!$B15)</f>
        <v>CHRISTMAS CUP</v>
      </c>
      <c r="K14" s="5" t="str">
        <f>UPPER('Hole Event List'!$C15)</f>
        <v>ALL DIVISIONS</v>
      </c>
      <c r="L14" s="5" t="str">
        <f>UPPER('Hole Event List'!$E15)</f>
        <v>CLOSEST 3RD SHOT</v>
      </c>
      <c r="M14" s="5" t="str">
        <f>UPPER('Hole Event List'!$F15)</f>
        <v xml:space="preserve"> PAY FIRST IN IF TIE</v>
      </c>
      <c r="N14" s="5" t="str">
        <f>UPPER('Hole Event List'!$G15)</f>
        <v>OPEN TO ALL</v>
      </c>
    </row>
    <row r="15" spans="1:15" ht="23.1" customHeight="1">
      <c r="A15" s="7">
        <v>14</v>
      </c>
      <c r="B15" s="5" t="str">
        <f>IF(OR('Hole Event List'!$C14&lt;&gt;"",'Hole Event List'!$D14&lt;&gt;"",'Hole Event List'!$E14&lt;&gt;"",'Hole Event List'!$G14&lt;&gt;""),'Defaults and Lookup Lists'!$B$2,"")</f>
        <v>Christmas Cup</v>
      </c>
      <c r="C15" s="250" t="s">
        <v>355</v>
      </c>
      <c r="D15" s="325" t="s">
        <v>383</v>
      </c>
      <c r="E15" s="250" t="s">
        <v>360</v>
      </c>
      <c r="F15" s="250" t="s">
        <v>361</v>
      </c>
      <c r="G15" s="250" t="s">
        <v>358</v>
      </c>
      <c r="H15" s="324">
        <v>50</v>
      </c>
      <c r="I15" s="5" t="str">
        <f>TEXT('Hole Event List'!$H14,"$###,##0.00")</f>
        <v>$50.00</v>
      </c>
      <c r="J15" s="5" t="str">
        <f>UPPER('Hole Event List'!$B14)</f>
        <v>CHRISTMAS CUP</v>
      </c>
      <c r="K15" s="5" t="str">
        <f>UPPER('Hole Event List'!$C14)</f>
        <v>WOMEN'S DIVISION</v>
      </c>
      <c r="L15" s="5" t="str">
        <f>UPPER('Hole Event List'!$E14)</f>
        <v>LONGEST DRIVE    </v>
      </c>
      <c r="M15" s="5" t="str">
        <f>UPPER('Hole Event List'!$F14)</f>
        <v/>
      </c>
      <c r="N15" s="5" t="str">
        <f>UPPER('Hole Event List'!$G14)</f>
        <v>WOMEN ONLY</v>
      </c>
    </row>
    <row r="16" spans="1:15" ht="23.1" customHeight="1">
      <c r="A16" s="7">
        <v>15</v>
      </c>
      <c r="B16" s="5" t="str">
        <f>IF(OR('Hole Event List'!$C16&lt;&gt;"",'Hole Event List'!$D16&lt;&gt;"",'Hole Event List'!$E16&lt;&gt;"",'Hole Event List'!$G16&lt;&gt;""),'Defaults and Lookup Lists'!$B$2,"")</f>
        <v>Christmas Cup</v>
      </c>
      <c r="C16" s="250" t="s">
        <v>355</v>
      </c>
      <c r="D16" s="325" t="s">
        <v>385</v>
      </c>
      <c r="E16" s="250" t="s">
        <v>386</v>
      </c>
      <c r="F16" s="250" t="s">
        <v>151</v>
      </c>
      <c r="G16" s="250" t="s">
        <v>358</v>
      </c>
      <c r="H16" s="324">
        <v>50</v>
      </c>
      <c r="I16" s="5" t="str">
        <f>TEXT('Hole Event List'!$H16,"$###,##0.00")</f>
        <v>$50.00</v>
      </c>
      <c r="J16" s="5" t="str">
        <f>UPPER('Hole Event List'!$B16)</f>
        <v>CHRISTMAS CUP</v>
      </c>
      <c r="K16" s="5" t="str">
        <f>UPPER('Hole Event List'!$C16)</f>
        <v>ALL DIVISIONS</v>
      </c>
      <c r="L16" s="5" t="str">
        <f>UPPER('Hole Event List'!$E16)</f>
        <v>CLOSEST 2ND SHOT    </v>
      </c>
      <c r="M16" s="5" t="str">
        <f>UPPER('Hole Event List'!$F16)</f>
        <v/>
      </c>
      <c r="N16" s="5" t="str">
        <f>UPPER('Hole Event List'!$G16)</f>
        <v>OPEN TO ALL</v>
      </c>
    </row>
    <row r="17" spans="1:14" ht="23.1" customHeight="1">
      <c r="A17" s="7">
        <v>16</v>
      </c>
      <c r="B17" s="5" t="str">
        <f>IF(OR('Hole Event List'!$C17&lt;&gt;"",'Hole Event List'!$D17&lt;&gt;"",'Hole Event List'!$E17&lt;&gt;"",'Hole Event List'!$G17&lt;&gt;""),'Defaults and Lookup Lists'!$B$2,"")</f>
        <v>Christmas Cup</v>
      </c>
      <c r="C17" s="250" t="s">
        <v>362</v>
      </c>
      <c r="D17" s="325" t="s">
        <v>387</v>
      </c>
      <c r="E17" s="250" t="s">
        <v>388</v>
      </c>
      <c r="F17" s="250" t="s">
        <v>151</v>
      </c>
      <c r="G17" s="250" t="s">
        <v>365</v>
      </c>
      <c r="H17" s="324">
        <v>50</v>
      </c>
      <c r="I17" s="5" t="str">
        <f>TEXT('Hole Event List'!$H17,"$###,##0.00")</f>
        <v>$50.00</v>
      </c>
      <c r="J17" s="5" t="str">
        <f>UPPER('Hole Event List'!$B17)</f>
        <v>CHRISTMAS CUP</v>
      </c>
      <c r="K17" s="5" t="str">
        <f>UPPER('Hole Event List'!$C17)</f>
        <v>MEN'S DIVISION</v>
      </c>
      <c r="L17" s="5" t="str">
        <f>UPPER('Hole Event List'!$E17)</f>
        <v>LONGEST DRIVE</v>
      </c>
      <c r="M17" s="5" t="str">
        <f>UPPER('Hole Event List'!$F17)</f>
        <v/>
      </c>
      <c r="N17" s="5" t="str">
        <f>UPPER('Hole Event List'!$G17)</f>
        <v>MEN ONLY</v>
      </c>
    </row>
    <row r="18" spans="1:14" ht="23.1" customHeight="1">
      <c r="A18" s="7">
        <v>17</v>
      </c>
      <c r="B18" s="5" t="str">
        <f>IF(OR('Hole Event List'!$C18&lt;&gt;"",'Hole Event List'!$D18&lt;&gt;"",'Hole Event List'!$E18&lt;&gt;"",'Hole Event List'!$G18&lt;&gt;""),'Defaults and Lookup Lists'!$B$2,"")</f>
        <v>Christmas Cup</v>
      </c>
      <c r="C18" s="250" t="s">
        <v>355</v>
      </c>
      <c r="D18" s="325" t="s">
        <v>387</v>
      </c>
      <c r="E18" s="250" t="s">
        <v>380</v>
      </c>
      <c r="F18" s="250" t="s">
        <v>151</v>
      </c>
      <c r="G18" s="250" t="s">
        <v>358</v>
      </c>
      <c r="H18" s="324">
        <v>50</v>
      </c>
      <c r="I18" s="5" t="str">
        <f>TEXT('Hole Event List'!$H18,"$###,##0.00")</f>
        <v>$50.00</v>
      </c>
      <c r="J18" s="5" t="str">
        <f>UPPER('Hole Event List'!$B18)</f>
        <v>CHRISTMAS CUP</v>
      </c>
      <c r="K18" s="5" t="str">
        <f>UPPER('Hole Event List'!$C18)</f>
        <v>ALL DIVISIONS</v>
      </c>
      <c r="L18" s="5" t="str">
        <f>UPPER('Hole Event List'!$E18)</f>
        <v>CLOSEST CHIP  </v>
      </c>
      <c r="M18" s="5" t="str">
        <f>UPPER('Hole Event List'!$F18)</f>
        <v/>
      </c>
      <c r="N18" s="5" t="str">
        <f>UPPER('Hole Event List'!$G18)</f>
        <v>OPEN TO ALL</v>
      </c>
    </row>
    <row r="19" spans="1:14" ht="23.1" customHeight="1">
      <c r="A19" s="7">
        <v>18</v>
      </c>
      <c r="B19" s="5" t="str">
        <f>IF(OR('Hole Event List'!$C19&lt;&gt;"",'Hole Event List'!$D19&lt;&gt;"",'Hole Event List'!$E19&lt;&gt;"",'Hole Event List'!$G19&lt;&gt;""),'Defaults and Lookup Lists'!$B$2,"")</f>
        <v>Christmas Cup</v>
      </c>
      <c r="C19" s="250" t="s">
        <v>362</v>
      </c>
      <c r="D19" s="325" t="s">
        <v>389</v>
      </c>
      <c r="E19" s="250" t="s">
        <v>372</v>
      </c>
      <c r="F19" s="250" t="s">
        <v>151</v>
      </c>
      <c r="G19" s="250" t="s">
        <v>365</v>
      </c>
      <c r="H19" s="324">
        <v>50</v>
      </c>
      <c r="I19" s="5" t="str">
        <f>TEXT('Hole Event List'!$H19,"$###,##0.00")</f>
        <v>$50.00</v>
      </c>
      <c r="J19" s="5" t="str">
        <f>UPPER('Hole Event List'!$B19)</f>
        <v>CHRISTMAS CUP</v>
      </c>
      <c r="K19" s="5" t="str">
        <f>UPPER('Hole Event List'!$C19)</f>
        <v>MEN'S DIVISION</v>
      </c>
      <c r="L19" s="5" t="str">
        <f>UPPER('Hole Event List'!$E19)</f>
        <v>LONGEST PUTT  </v>
      </c>
      <c r="M19" s="5" t="str">
        <f>UPPER('Hole Event List'!$F19)</f>
        <v/>
      </c>
      <c r="N19" s="5" t="str">
        <f>UPPER('Hole Event List'!$G19)</f>
        <v>MEN ONLY</v>
      </c>
    </row>
    <row r="20" spans="1:14" ht="11.1" customHeight="1">
      <c r="A20" s="65"/>
      <c r="B20" s="5"/>
      <c r="C20" s="5"/>
      <c r="D20" s="323"/>
      <c r="E20" s="5"/>
      <c r="F20" s="5"/>
      <c r="G20" s="5"/>
      <c r="H20" s="5"/>
      <c r="I20" s="5"/>
      <c r="J20" s="5"/>
      <c r="K20" s="5"/>
      <c r="L20" s="5"/>
      <c r="M20" s="5"/>
      <c r="N20" s="5"/>
    </row>
  </sheetData>
  <sheetProtection sheet="1" formatCells="0" formatColumns="0" formatRows="0" insertColumns="0" insertRows="0" insertHyperlinks="0" deleteColumns="0" deleteRows="0" selectLockedCells="1" sort="0" autoFilter="0" pivotTables="0"/>
  <dataValidations count="4">
    <dataValidation type="list" allowBlank="1" showInputMessage="1" showErrorMessage="1" sqref="G2:G20">
      <formula1>PopUpEventOpenTo</formula1>
    </dataValidation>
    <dataValidation type="list" allowBlank="1" showInputMessage="1" showErrorMessage="1" sqref="F2:F20">
      <formula1>PopUpExtraRule</formula1>
    </dataValidation>
    <dataValidation type="list" allowBlank="1" showInputMessage="1" showErrorMessage="1" sqref="E2:E20">
      <formula1>PopUpHoleEvent</formula1>
    </dataValidation>
    <dataValidation type="list" allowBlank="1" showInputMessage="1" showErrorMessage="1" sqref="C2:C20">
      <formula1>PopUpFlights</formula1>
    </dataValidation>
  </dataValidations>
  <pageMargins left="0.75" right="0.75" top="1" bottom="1" header="0.5" footer="0.5"/>
  <pageSetup orientation="portrait" horizontalDpi="4294967292" verticalDpi="4294967292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I60"/>
  <sheetViews>
    <sheetView showGridLines="0" workbookViewId="0">
      <selection activeCell="E10" sqref="E10"/>
    </sheetView>
  </sheetViews>
  <sheetFormatPr defaultColWidth="10.6640625" defaultRowHeight="23.25"/>
  <cols>
    <col min="1" max="1" width="4.44140625" style="377" customWidth="1"/>
    <col min="2" max="3" width="23.33203125" style="377" customWidth="1"/>
    <col min="4" max="4" width="23.33203125" style="378" customWidth="1"/>
    <col min="5" max="5" width="19.33203125" style="378" customWidth="1"/>
    <col min="6" max="8" width="27" style="379" hidden="1" customWidth="1"/>
    <col min="9" max="9" width="23.44140625" style="377" hidden="1" customWidth="1"/>
    <col min="10" max="16384" width="10.6640625" style="377"/>
  </cols>
  <sheetData>
    <row r="1" spans="1:9" s="126" customFormat="1" ht="63" customHeight="1">
      <c r="A1" s="368"/>
      <c r="B1" s="168" t="s">
        <v>7</v>
      </c>
      <c r="C1" s="168" t="s">
        <v>390</v>
      </c>
      <c r="D1" s="168" t="s">
        <v>391</v>
      </c>
      <c r="E1" s="169" t="s">
        <v>348</v>
      </c>
      <c r="F1" s="241" t="s">
        <v>392</v>
      </c>
      <c r="G1" s="242" t="s">
        <v>350</v>
      </c>
      <c r="H1" s="242" t="s">
        <v>393</v>
      </c>
      <c r="I1" s="242" t="s">
        <v>394</v>
      </c>
    </row>
    <row r="2" spans="1:9" s="375" customFormat="1" ht="26.1" customHeight="1">
      <c r="A2" s="369">
        <v>1</v>
      </c>
      <c r="B2" s="370" t="str">
        <f>IF(OR(TableGiftCards[[#This Row],[Division]]&lt;&gt;"",TableGiftCards[[#This Row],[Description]]&lt;&gt;"",TableGiftCards[[#This Row],[Prize]]&lt;&gt;0),'Defaults and Lookup Lists'!$B$2,"")</f>
        <v>Christmas Cup</v>
      </c>
      <c r="C2" s="371" t="s">
        <v>367</v>
      </c>
      <c r="D2" s="371" t="s">
        <v>395</v>
      </c>
      <c r="E2" s="372">
        <v>60</v>
      </c>
      <c r="F2" s="373" t="str">
        <f t="shared" ref="F2:F33" si="0">TEXT(E2,"$###,##0.00")</f>
        <v>$60.00</v>
      </c>
      <c r="G2" s="374" t="str">
        <f>UPPER(TableGiftCards[[#This Row],[Tournament]])</f>
        <v>CHRISTMAS CUP</v>
      </c>
      <c r="H2" s="374" t="str">
        <f>UPPER(TableGiftCards[[#This Row],[Division]])</f>
        <v>WOMEN'S DIVISION</v>
      </c>
      <c r="I2" s="374" t="str">
        <f>UPPER(TableGiftCards[[#This Row],[Description]])</f>
        <v>1ST PLACE</v>
      </c>
    </row>
    <row r="3" spans="1:9" s="375" customFormat="1" ht="26.1" customHeight="1">
      <c r="A3" s="369">
        <v>2</v>
      </c>
      <c r="B3" s="370" t="str">
        <f>IF(OR(TableGiftCards[[#This Row],[Division]]&lt;&gt;"",TableGiftCards[[#This Row],[Description]]&lt;&gt;"",TableGiftCards[[#This Row],[Prize]]&lt;&gt;0),'Defaults and Lookup Lists'!$B$2,"")</f>
        <v>Christmas Cup</v>
      </c>
      <c r="C3" s="371" t="s">
        <v>367</v>
      </c>
      <c r="D3" s="371" t="s">
        <v>395</v>
      </c>
      <c r="E3" s="372">
        <v>60</v>
      </c>
      <c r="F3" s="373" t="str">
        <f t="shared" si="0"/>
        <v>$60.00</v>
      </c>
      <c r="G3" s="374" t="str">
        <f>UPPER(TableGiftCards[[#This Row],[Tournament]])</f>
        <v>CHRISTMAS CUP</v>
      </c>
      <c r="H3" s="374" t="str">
        <f>UPPER(TableGiftCards[[#This Row],[Division]])</f>
        <v>WOMEN'S DIVISION</v>
      </c>
      <c r="I3" s="374" t="str">
        <f>UPPER(TableGiftCards[[#This Row],[Description]])</f>
        <v>1ST PLACE</v>
      </c>
    </row>
    <row r="4" spans="1:9" s="375" customFormat="1" ht="26.1" customHeight="1">
      <c r="A4" s="369">
        <v>3</v>
      </c>
      <c r="B4" s="370" t="str">
        <f>IF(OR(TableGiftCards[[#This Row],[Division]]&lt;&gt;"",TableGiftCards[[#This Row],[Description]]&lt;&gt;"",TableGiftCards[[#This Row],[Prize]]&lt;&gt;0),'Defaults and Lookup Lists'!$B$2,"")</f>
        <v>Christmas Cup</v>
      </c>
      <c r="C4" s="371" t="s">
        <v>367</v>
      </c>
      <c r="D4" s="371" t="s">
        <v>395</v>
      </c>
      <c r="E4" s="372">
        <v>60</v>
      </c>
      <c r="F4" s="373" t="str">
        <f t="shared" si="0"/>
        <v>$60.00</v>
      </c>
      <c r="G4" s="374" t="str">
        <f>UPPER(TableGiftCards[[#This Row],[Tournament]])</f>
        <v>CHRISTMAS CUP</v>
      </c>
      <c r="H4" s="374" t="str">
        <f>UPPER(TableGiftCards[[#This Row],[Division]])</f>
        <v>WOMEN'S DIVISION</v>
      </c>
      <c r="I4" s="374" t="str">
        <f>UPPER(TableGiftCards[[#This Row],[Description]])</f>
        <v>1ST PLACE</v>
      </c>
    </row>
    <row r="5" spans="1:9" s="375" customFormat="1" ht="26.1" customHeight="1">
      <c r="A5" s="369">
        <v>4</v>
      </c>
      <c r="B5" s="370" t="str">
        <f>IF(OR(TableGiftCards[[#This Row],[Division]]&lt;&gt;"",TableGiftCards[[#This Row],[Description]]&lt;&gt;"",TableGiftCards[[#This Row],[Prize]]&lt;&gt;0),'Defaults and Lookup Lists'!$B$2,"")</f>
        <v>Christmas Cup</v>
      </c>
      <c r="C5" s="371" t="s">
        <v>367</v>
      </c>
      <c r="D5" s="371" t="s">
        <v>395</v>
      </c>
      <c r="E5" s="372">
        <v>60</v>
      </c>
      <c r="F5" s="373" t="str">
        <f t="shared" si="0"/>
        <v>$60.00</v>
      </c>
      <c r="G5" s="374" t="str">
        <f>UPPER(TableGiftCards[[#This Row],[Tournament]])</f>
        <v>CHRISTMAS CUP</v>
      </c>
      <c r="H5" s="374" t="str">
        <f>UPPER(TableGiftCards[[#This Row],[Division]])</f>
        <v>WOMEN'S DIVISION</v>
      </c>
      <c r="I5" s="374" t="str">
        <f>UPPER(TableGiftCards[[#This Row],[Description]])</f>
        <v>1ST PLACE</v>
      </c>
    </row>
    <row r="6" spans="1:9" s="375" customFormat="1" ht="26.1" customHeight="1">
      <c r="A6" s="369">
        <v>5</v>
      </c>
      <c r="B6" s="370" t="str">
        <f>IF(OR(TableGiftCards[[#This Row],[Division]]&lt;&gt;"",TableGiftCards[[#This Row],[Description]]&lt;&gt;"",TableGiftCards[[#This Row],[Prize]]&lt;&gt;0),'Defaults and Lookup Lists'!$B$2,"")</f>
        <v>Christmas Cup</v>
      </c>
      <c r="C6" s="371" t="s">
        <v>367</v>
      </c>
      <c r="D6" s="371" t="s">
        <v>396</v>
      </c>
      <c r="E6" s="372">
        <v>30</v>
      </c>
      <c r="F6" s="373" t="str">
        <f t="shared" si="0"/>
        <v>$30.00</v>
      </c>
      <c r="G6" s="374" t="str">
        <f>UPPER(TableGiftCards[[#This Row],[Tournament]])</f>
        <v>CHRISTMAS CUP</v>
      </c>
      <c r="H6" s="374" t="str">
        <f>UPPER(TableGiftCards[[#This Row],[Division]])</f>
        <v>WOMEN'S DIVISION</v>
      </c>
      <c r="I6" s="374" t="str">
        <f>UPPER(TableGiftCards[[#This Row],[Description]])</f>
        <v>2ND PLACE</v>
      </c>
    </row>
    <row r="7" spans="1:9" s="375" customFormat="1" ht="26.1" customHeight="1">
      <c r="A7" s="369">
        <v>6</v>
      </c>
      <c r="B7" s="370" t="str">
        <f>IF(OR(TableGiftCards[[#This Row],[Division]]&lt;&gt;"",TableGiftCards[[#This Row],[Description]]&lt;&gt;"",TableGiftCards[[#This Row],[Prize]]&lt;&gt;0),'Defaults and Lookup Lists'!$B$2,"")</f>
        <v>Christmas Cup</v>
      </c>
      <c r="C7" s="371" t="s">
        <v>367</v>
      </c>
      <c r="D7" s="371" t="s">
        <v>396</v>
      </c>
      <c r="E7" s="372">
        <v>30</v>
      </c>
      <c r="F7" s="373" t="str">
        <f t="shared" si="0"/>
        <v>$30.00</v>
      </c>
      <c r="G7" s="374" t="str">
        <f>UPPER(TableGiftCards[[#This Row],[Tournament]])</f>
        <v>CHRISTMAS CUP</v>
      </c>
      <c r="H7" s="374" t="str">
        <f>UPPER(TableGiftCards[[#This Row],[Division]])</f>
        <v>WOMEN'S DIVISION</v>
      </c>
      <c r="I7" s="374" t="str">
        <f>UPPER(TableGiftCards[[#This Row],[Description]])</f>
        <v>2ND PLACE</v>
      </c>
    </row>
    <row r="8" spans="1:9" s="375" customFormat="1" ht="26.1" customHeight="1">
      <c r="A8" s="369">
        <v>7</v>
      </c>
      <c r="B8" s="370" t="str">
        <f>IF(OR(TableGiftCards[[#This Row],[Division]]&lt;&gt;"",TableGiftCards[[#This Row],[Description]]&lt;&gt;"",TableGiftCards[[#This Row],[Prize]]&lt;&gt;0),'Defaults and Lookup Lists'!$B$2,"")</f>
        <v>Christmas Cup</v>
      </c>
      <c r="C8" s="371" t="s">
        <v>367</v>
      </c>
      <c r="D8" s="371" t="s">
        <v>396</v>
      </c>
      <c r="E8" s="372">
        <v>30</v>
      </c>
      <c r="F8" s="373" t="str">
        <f t="shared" si="0"/>
        <v>$30.00</v>
      </c>
      <c r="G8" s="374" t="str">
        <f>UPPER(TableGiftCards[[#This Row],[Tournament]])</f>
        <v>CHRISTMAS CUP</v>
      </c>
      <c r="H8" s="374" t="str">
        <f>UPPER(TableGiftCards[[#This Row],[Division]])</f>
        <v>WOMEN'S DIVISION</v>
      </c>
      <c r="I8" s="374" t="str">
        <f>UPPER(TableGiftCards[[#This Row],[Description]])</f>
        <v>2ND PLACE</v>
      </c>
    </row>
    <row r="9" spans="1:9" s="375" customFormat="1" ht="26.1" customHeight="1">
      <c r="A9" s="369">
        <v>8</v>
      </c>
      <c r="B9" s="370" t="str">
        <f>IF(OR(TableGiftCards[[#This Row],[Division]]&lt;&gt;"",TableGiftCards[[#This Row],[Description]]&lt;&gt;"",TableGiftCards[[#This Row],[Prize]]&lt;&gt;0),'Defaults and Lookup Lists'!$B$2,"")</f>
        <v>Christmas Cup</v>
      </c>
      <c r="C9" s="371" t="s">
        <v>367</v>
      </c>
      <c r="D9" s="371" t="s">
        <v>396</v>
      </c>
      <c r="E9" s="372">
        <v>30</v>
      </c>
      <c r="F9" s="373" t="str">
        <f t="shared" si="0"/>
        <v>$30.00</v>
      </c>
      <c r="G9" s="374" t="str">
        <f>UPPER(TableGiftCards[[#This Row],[Tournament]])</f>
        <v>CHRISTMAS CUP</v>
      </c>
      <c r="H9" s="374" t="str">
        <f>UPPER(TableGiftCards[[#This Row],[Division]])</f>
        <v>WOMEN'S DIVISION</v>
      </c>
      <c r="I9" s="374" t="str">
        <f>UPPER(TableGiftCards[[#This Row],[Description]])</f>
        <v>2ND PLACE</v>
      </c>
    </row>
    <row r="10" spans="1:9" s="375" customFormat="1" ht="26.1" customHeight="1">
      <c r="A10" s="369">
        <v>9</v>
      </c>
      <c r="B10" s="370" t="str">
        <f>IF(OR(TableGiftCards[[#This Row],[Division]]&lt;&gt;"",TableGiftCards[[#This Row],[Description]]&lt;&gt;"",TableGiftCards[[#This Row],[Prize]]&lt;&gt;0),'Defaults and Lookup Lists'!$B$2,"")</f>
        <v>Christmas Cup</v>
      </c>
      <c r="C10" s="371" t="s">
        <v>367</v>
      </c>
      <c r="D10" s="371" t="s">
        <v>397</v>
      </c>
      <c r="E10" s="372">
        <v>15</v>
      </c>
      <c r="F10" s="373" t="str">
        <f t="shared" si="0"/>
        <v>$15.00</v>
      </c>
      <c r="G10" s="374" t="str">
        <f>UPPER(TableGiftCards[[#This Row],[Tournament]])</f>
        <v>CHRISTMAS CUP</v>
      </c>
      <c r="H10" s="374" t="str">
        <f>UPPER(TableGiftCards[[#This Row],[Division]])</f>
        <v>WOMEN'S DIVISION</v>
      </c>
      <c r="I10" s="374" t="str">
        <f>UPPER(TableGiftCards[[#This Row],[Description]])</f>
        <v>3RD PLACE</v>
      </c>
    </row>
    <row r="11" spans="1:9" s="375" customFormat="1" ht="26.1" customHeight="1">
      <c r="A11" s="369">
        <v>10</v>
      </c>
      <c r="B11" s="370" t="str">
        <f>IF(OR(TableGiftCards[[#This Row],[Division]]&lt;&gt;"",TableGiftCards[[#This Row],[Description]]&lt;&gt;"",TableGiftCards[[#This Row],[Prize]]&lt;&gt;0),'Defaults and Lookup Lists'!$B$2,"")</f>
        <v>Christmas Cup</v>
      </c>
      <c r="C11" s="371" t="s">
        <v>367</v>
      </c>
      <c r="D11" s="371" t="s">
        <v>397</v>
      </c>
      <c r="E11" s="372">
        <v>15</v>
      </c>
      <c r="F11" s="373" t="str">
        <f t="shared" si="0"/>
        <v>$15.00</v>
      </c>
      <c r="G11" s="374" t="str">
        <f>UPPER(TableGiftCards[[#This Row],[Tournament]])</f>
        <v>CHRISTMAS CUP</v>
      </c>
      <c r="H11" s="374" t="str">
        <f>UPPER(TableGiftCards[[#This Row],[Division]])</f>
        <v>WOMEN'S DIVISION</v>
      </c>
      <c r="I11" s="374" t="str">
        <f>UPPER(TableGiftCards[[#This Row],[Description]])</f>
        <v>3RD PLACE</v>
      </c>
    </row>
    <row r="12" spans="1:9" s="375" customFormat="1" ht="26.1" customHeight="1">
      <c r="A12" s="369">
        <v>11</v>
      </c>
      <c r="B12" s="370" t="str">
        <f>IF(OR(TableGiftCards[[#This Row],[Division]]&lt;&gt;"",TableGiftCards[[#This Row],[Description]]&lt;&gt;"",TableGiftCards[[#This Row],[Prize]]&lt;&gt;0),'Defaults and Lookup Lists'!$B$2,"")</f>
        <v>Christmas Cup</v>
      </c>
      <c r="C12" s="371" t="s">
        <v>367</v>
      </c>
      <c r="D12" s="371" t="s">
        <v>397</v>
      </c>
      <c r="E12" s="372">
        <v>15</v>
      </c>
      <c r="F12" s="373" t="str">
        <f t="shared" si="0"/>
        <v>$15.00</v>
      </c>
      <c r="G12" s="374" t="str">
        <f>UPPER(TableGiftCards[[#This Row],[Tournament]])</f>
        <v>CHRISTMAS CUP</v>
      </c>
      <c r="H12" s="374" t="str">
        <f>UPPER(TableGiftCards[[#This Row],[Division]])</f>
        <v>WOMEN'S DIVISION</v>
      </c>
      <c r="I12" s="374" t="str">
        <f>UPPER(TableGiftCards[[#This Row],[Description]])</f>
        <v>3RD PLACE</v>
      </c>
    </row>
    <row r="13" spans="1:9" s="375" customFormat="1" ht="26.1" customHeight="1">
      <c r="A13" s="369">
        <v>12</v>
      </c>
      <c r="B13" s="370" t="str">
        <f>IF(OR(TableGiftCards[[#This Row],[Division]]&lt;&gt;"",TableGiftCards[[#This Row],[Description]]&lt;&gt;"",TableGiftCards[[#This Row],[Prize]]&lt;&gt;0),'Defaults and Lookup Lists'!$B$2,"")</f>
        <v>Christmas Cup</v>
      </c>
      <c r="C13" s="371" t="s">
        <v>367</v>
      </c>
      <c r="D13" s="371" t="s">
        <v>397</v>
      </c>
      <c r="E13" s="372">
        <v>15</v>
      </c>
      <c r="F13" s="373" t="str">
        <f t="shared" si="0"/>
        <v>$15.00</v>
      </c>
      <c r="G13" s="374" t="str">
        <f>UPPER(TableGiftCards[[#This Row],[Tournament]])</f>
        <v>CHRISTMAS CUP</v>
      </c>
      <c r="H13" s="374" t="str">
        <f>UPPER(TableGiftCards[[#This Row],[Division]])</f>
        <v>WOMEN'S DIVISION</v>
      </c>
      <c r="I13" s="374" t="str">
        <f>UPPER(TableGiftCards[[#This Row],[Description]])</f>
        <v>3RD PLACE</v>
      </c>
    </row>
    <row r="14" spans="1:9" s="375" customFormat="1" ht="26.1" customHeight="1">
      <c r="A14" s="369">
        <v>13</v>
      </c>
      <c r="B14" s="370" t="str">
        <f>IF(OR(TableGiftCards[[#This Row],[Division]]&lt;&gt;"",TableGiftCards[[#This Row],[Description]]&lt;&gt;"",TableGiftCards[[#This Row],[Prize]]&lt;&gt;0),'Defaults and Lookup Lists'!$B$2,"")</f>
        <v>Christmas Cup</v>
      </c>
      <c r="C14" s="371" t="s">
        <v>398</v>
      </c>
      <c r="D14" s="371" t="s">
        <v>395</v>
      </c>
      <c r="E14" s="372">
        <v>60</v>
      </c>
      <c r="F14" s="373" t="str">
        <f t="shared" si="0"/>
        <v>$60.00</v>
      </c>
      <c r="G14" s="374" t="str">
        <f>UPPER(TableGiftCards[[#This Row],[Tournament]])</f>
        <v>CHRISTMAS CUP</v>
      </c>
      <c r="H14" s="374" t="str">
        <f>UPPER(TableGiftCards[[#This Row],[Division]])</f>
        <v>MIXED DIVISION</v>
      </c>
      <c r="I14" s="374" t="str">
        <f>UPPER(TableGiftCards[[#This Row],[Description]])</f>
        <v>1ST PLACE</v>
      </c>
    </row>
    <row r="15" spans="1:9" s="375" customFormat="1" ht="26.1" customHeight="1">
      <c r="A15" s="369">
        <v>14</v>
      </c>
      <c r="B15" s="370" t="str">
        <f>IF(OR(TableGiftCards[[#This Row],[Division]]&lt;&gt;"",TableGiftCards[[#This Row],[Description]]&lt;&gt;"",TableGiftCards[[#This Row],[Prize]]&lt;&gt;0),'Defaults and Lookup Lists'!$B$2,"")</f>
        <v>Christmas Cup</v>
      </c>
      <c r="C15" s="371" t="s">
        <v>398</v>
      </c>
      <c r="D15" s="371" t="s">
        <v>395</v>
      </c>
      <c r="E15" s="372">
        <v>60</v>
      </c>
      <c r="F15" s="373" t="str">
        <f t="shared" si="0"/>
        <v>$60.00</v>
      </c>
      <c r="G15" s="374" t="str">
        <f>UPPER(TableGiftCards[[#This Row],[Tournament]])</f>
        <v>CHRISTMAS CUP</v>
      </c>
      <c r="H15" s="374" t="str">
        <f>UPPER(TableGiftCards[[#This Row],[Division]])</f>
        <v>MIXED DIVISION</v>
      </c>
      <c r="I15" s="374" t="str">
        <f>UPPER(TableGiftCards[[#This Row],[Description]])</f>
        <v>1ST PLACE</v>
      </c>
    </row>
    <row r="16" spans="1:9" s="375" customFormat="1" ht="26.1" customHeight="1">
      <c r="A16" s="369">
        <v>15</v>
      </c>
      <c r="B16" s="370" t="str">
        <f>IF(OR(TableGiftCards[[#This Row],[Division]]&lt;&gt;"",TableGiftCards[[#This Row],[Description]]&lt;&gt;"",TableGiftCards[[#This Row],[Prize]]&lt;&gt;0),'Defaults and Lookup Lists'!$B$2,"")</f>
        <v>Christmas Cup</v>
      </c>
      <c r="C16" s="371" t="s">
        <v>398</v>
      </c>
      <c r="D16" s="371" t="s">
        <v>395</v>
      </c>
      <c r="E16" s="372">
        <v>60</v>
      </c>
      <c r="F16" s="373" t="str">
        <f t="shared" si="0"/>
        <v>$60.00</v>
      </c>
      <c r="G16" s="374" t="str">
        <f>UPPER(TableGiftCards[[#This Row],[Tournament]])</f>
        <v>CHRISTMAS CUP</v>
      </c>
      <c r="H16" s="374" t="str">
        <f>UPPER(TableGiftCards[[#This Row],[Division]])</f>
        <v>MIXED DIVISION</v>
      </c>
      <c r="I16" s="374" t="str">
        <f>UPPER(TableGiftCards[[#This Row],[Description]])</f>
        <v>1ST PLACE</v>
      </c>
    </row>
    <row r="17" spans="1:9" s="375" customFormat="1" ht="26.1" customHeight="1">
      <c r="A17" s="369">
        <v>16</v>
      </c>
      <c r="B17" s="370" t="str">
        <f>IF(OR(TableGiftCards[[#This Row],[Division]]&lt;&gt;"",TableGiftCards[[#This Row],[Description]]&lt;&gt;"",TableGiftCards[[#This Row],[Prize]]&lt;&gt;0),'Defaults and Lookup Lists'!$B$2,"")</f>
        <v>Christmas Cup</v>
      </c>
      <c r="C17" s="371" t="s">
        <v>398</v>
      </c>
      <c r="D17" s="371" t="s">
        <v>395</v>
      </c>
      <c r="E17" s="372">
        <v>60</v>
      </c>
      <c r="F17" s="373" t="str">
        <f t="shared" si="0"/>
        <v>$60.00</v>
      </c>
      <c r="G17" s="374" t="str">
        <f>UPPER(TableGiftCards[[#This Row],[Tournament]])</f>
        <v>CHRISTMAS CUP</v>
      </c>
      <c r="H17" s="374" t="str">
        <f>UPPER(TableGiftCards[[#This Row],[Division]])</f>
        <v>MIXED DIVISION</v>
      </c>
      <c r="I17" s="374" t="str">
        <f>UPPER(TableGiftCards[[#This Row],[Description]])</f>
        <v>1ST PLACE</v>
      </c>
    </row>
    <row r="18" spans="1:9" s="375" customFormat="1" ht="26.1" customHeight="1">
      <c r="A18" s="369">
        <v>17</v>
      </c>
      <c r="B18" s="370" t="str">
        <f>IF(OR(TableGiftCards[[#This Row],[Division]]&lt;&gt;"",TableGiftCards[[#This Row],[Description]]&lt;&gt;"",TableGiftCards[[#This Row],[Prize]]&lt;&gt;0),'Defaults and Lookup Lists'!$B$2,"")</f>
        <v>Christmas Cup</v>
      </c>
      <c r="C18" s="371" t="s">
        <v>398</v>
      </c>
      <c r="D18" s="371" t="s">
        <v>396</v>
      </c>
      <c r="E18" s="372">
        <v>30</v>
      </c>
      <c r="F18" s="373" t="str">
        <f t="shared" si="0"/>
        <v>$30.00</v>
      </c>
      <c r="G18" s="374" t="str">
        <f>UPPER(TableGiftCards[[#This Row],[Tournament]])</f>
        <v>CHRISTMAS CUP</v>
      </c>
      <c r="H18" s="374" t="str">
        <f>UPPER(TableGiftCards[[#This Row],[Division]])</f>
        <v>MIXED DIVISION</v>
      </c>
      <c r="I18" s="374" t="str">
        <f>UPPER(TableGiftCards[[#This Row],[Description]])</f>
        <v>2ND PLACE</v>
      </c>
    </row>
    <row r="19" spans="1:9" s="375" customFormat="1" ht="26.1" customHeight="1">
      <c r="A19" s="369">
        <v>18</v>
      </c>
      <c r="B19" s="370" t="str">
        <f>IF(OR(TableGiftCards[[#This Row],[Division]]&lt;&gt;"",TableGiftCards[[#This Row],[Description]]&lt;&gt;"",TableGiftCards[[#This Row],[Prize]]&lt;&gt;0),'Defaults and Lookup Lists'!$B$2,"")</f>
        <v>Christmas Cup</v>
      </c>
      <c r="C19" s="371" t="s">
        <v>398</v>
      </c>
      <c r="D19" s="371" t="s">
        <v>396</v>
      </c>
      <c r="E19" s="372">
        <v>30</v>
      </c>
      <c r="F19" s="373" t="str">
        <f t="shared" si="0"/>
        <v>$30.00</v>
      </c>
      <c r="G19" s="374" t="str">
        <f>UPPER(TableGiftCards[[#This Row],[Tournament]])</f>
        <v>CHRISTMAS CUP</v>
      </c>
      <c r="H19" s="374" t="str">
        <f>UPPER(TableGiftCards[[#This Row],[Division]])</f>
        <v>MIXED DIVISION</v>
      </c>
      <c r="I19" s="374" t="str">
        <f>UPPER(TableGiftCards[[#This Row],[Description]])</f>
        <v>2ND PLACE</v>
      </c>
    </row>
    <row r="20" spans="1:9" s="375" customFormat="1" ht="26.1" customHeight="1">
      <c r="A20" s="369">
        <v>19</v>
      </c>
      <c r="B20" s="370" t="str">
        <f>IF(OR(TableGiftCards[[#This Row],[Division]]&lt;&gt;"",TableGiftCards[[#This Row],[Description]]&lt;&gt;"",TableGiftCards[[#This Row],[Prize]]&lt;&gt;0),'Defaults and Lookup Lists'!$B$2,"")</f>
        <v>Christmas Cup</v>
      </c>
      <c r="C20" s="371" t="s">
        <v>398</v>
      </c>
      <c r="D20" s="371" t="s">
        <v>396</v>
      </c>
      <c r="E20" s="372">
        <v>30</v>
      </c>
      <c r="F20" s="373" t="str">
        <f t="shared" si="0"/>
        <v>$30.00</v>
      </c>
      <c r="G20" s="374" t="str">
        <f>UPPER(TableGiftCards[[#This Row],[Tournament]])</f>
        <v>CHRISTMAS CUP</v>
      </c>
      <c r="H20" s="374" t="str">
        <f>UPPER(TableGiftCards[[#This Row],[Division]])</f>
        <v>MIXED DIVISION</v>
      </c>
      <c r="I20" s="374" t="str">
        <f>UPPER(TableGiftCards[[#This Row],[Description]])</f>
        <v>2ND PLACE</v>
      </c>
    </row>
    <row r="21" spans="1:9" s="375" customFormat="1" ht="26.1" customHeight="1">
      <c r="A21" s="369">
        <v>20</v>
      </c>
      <c r="B21" s="370" t="str">
        <f>IF(OR(TableGiftCards[[#This Row],[Division]]&lt;&gt;"",TableGiftCards[[#This Row],[Description]]&lt;&gt;"",TableGiftCards[[#This Row],[Prize]]&lt;&gt;0),'Defaults and Lookup Lists'!$B$2,"")</f>
        <v>Christmas Cup</v>
      </c>
      <c r="C21" s="371" t="s">
        <v>398</v>
      </c>
      <c r="D21" s="371" t="s">
        <v>396</v>
      </c>
      <c r="E21" s="372">
        <v>30</v>
      </c>
      <c r="F21" s="373" t="str">
        <f t="shared" si="0"/>
        <v>$30.00</v>
      </c>
      <c r="G21" s="374" t="str">
        <f>UPPER(TableGiftCards[[#This Row],[Tournament]])</f>
        <v>CHRISTMAS CUP</v>
      </c>
      <c r="H21" s="374" t="str">
        <f>UPPER(TableGiftCards[[#This Row],[Division]])</f>
        <v>MIXED DIVISION</v>
      </c>
      <c r="I21" s="374" t="str">
        <f>UPPER(TableGiftCards[[#This Row],[Description]])</f>
        <v>2ND PLACE</v>
      </c>
    </row>
    <row r="22" spans="1:9" s="375" customFormat="1" ht="26.1" customHeight="1">
      <c r="A22" s="369">
        <v>21</v>
      </c>
      <c r="B22" s="370" t="str">
        <f>IF(OR(TableGiftCards[[#This Row],[Division]]&lt;&gt;"",TableGiftCards[[#This Row],[Description]]&lt;&gt;"",TableGiftCards[[#This Row],[Prize]]&lt;&gt;0),'Defaults and Lookup Lists'!$B$2,"")</f>
        <v>Christmas Cup</v>
      </c>
      <c r="C22" s="371" t="s">
        <v>398</v>
      </c>
      <c r="D22" s="371" t="s">
        <v>397</v>
      </c>
      <c r="E22" s="372">
        <v>15</v>
      </c>
      <c r="F22" s="373" t="str">
        <f t="shared" si="0"/>
        <v>$15.00</v>
      </c>
      <c r="G22" s="374" t="str">
        <f>UPPER(TableGiftCards[[#This Row],[Tournament]])</f>
        <v>CHRISTMAS CUP</v>
      </c>
      <c r="H22" s="374" t="str">
        <f>UPPER(TableGiftCards[[#This Row],[Division]])</f>
        <v>MIXED DIVISION</v>
      </c>
      <c r="I22" s="374" t="str">
        <f>UPPER(TableGiftCards[[#This Row],[Description]])</f>
        <v>3RD PLACE</v>
      </c>
    </row>
    <row r="23" spans="1:9" s="375" customFormat="1" ht="26.1" customHeight="1">
      <c r="A23" s="369">
        <v>22</v>
      </c>
      <c r="B23" s="370" t="str">
        <f>IF(OR(TableGiftCards[[#This Row],[Division]]&lt;&gt;"",TableGiftCards[[#This Row],[Description]]&lt;&gt;"",TableGiftCards[[#This Row],[Prize]]&lt;&gt;0),'Defaults and Lookup Lists'!$B$2,"")</f>
        <v>Christmas Cup</v>
      </c>
      <c r="C23" s="371" t="s">
        <v>398</v>
      </c>
      <c r="D23" s="371" t="s">
        <v>397</v>
      </c>
      <c r="E23" s="372">
        <v>15</v>
      </c>
      <c r="F23" s="373" t="str">
        <f t="shared" si="0"/>
        <v>$15.00</v>
      </c>
      <c r="G23" s="374" t="str">
        <f>UPPER(TableGiftCards[[#This Row],[Tournament]])</f>
        <v>CHRISTMAS CUP</v>
      </c>
      <c r="H23" s="374" t="str">
        <f>UPPER(TableGiftCards[[#This Row],[Division]])</f>
        <v>MIXED DIVISION</v>
      </c>
      <c r="I23" s="374" t="str">
        <f>UPPER(TableGiftCards[[#This Row],[Description]])</f>
        <v>3RD PLACE</v>
      </c>
    </row>
    <row r="24" spans="1:9" s="375" customFormat="1" ht="26.1" customHeight="1">
      <c r="A24" s="369">
        <v>23</v>
      </c>
      <c r="B24" s="370" t="str">
        <f>IF(OR(TableGiftCards[[#This Row],[Division]]&lt;&gt;"",TableGiftCards[[#This Row],[Description]]&lt;&gt;"",TableGiftCards[[#This Row],[Prize]]&lt;&gt;0),'Defaults and Lookup Lists'!$B$2,"")</f>
        <v>Christmas Cup</v>
      </c>
      <c r="C24" s="371" t="s">
        <v>398</v>
      </c>
      <c r="D24" s="371" t="s">
        <v>397</v>
      </c>
      <c r="E24" s="372">
        <v>15</v>
      </c>
      <c r="F24" s="373" t="str">
        <f t="shared" si="0"/>
        <v>$15.00</v>
      </c>
      <c r="G24" s="374" t="str">
        <f>UPPER(TableGiftCards[[#This Row],[Tournament]])</f>
        <v>CHRISTMAS CUP</v>
      </c>
      <c r="H24" s="374" t="str">
        <f>UPPER(TableGiftCards[[#This Row],[Division]])</f>
        <v>MIXED DIVISION</v>
      </c>
      <c r="I24" s="374" t="str">
        <f>UPPER(TableGiftCards[[#This Row],[Description]])</f>
        <v>3RD PLACE</v>
      </c>
    </row>
    <row r="25" spans="1:9" s="375" customFormat="1" ht="26.1" customHeight="1">
      <c r="A25" s="369">
        <v>24</v>
      </c>
      <c r="B25" s="370" t="str">
        <f>IF(OR(TableGiftCards[[#This Row],[Division]]&lt;&gt;"",TableGiftCards[[#This Row],[Description]]&lt;&gt;"",TableGiftCards[[#This Row],[Prize]]&lt;&gt;0),'Defaults and Lookup Lists'!$B$2,"")</f>
        <v>Christmas Cup</v>
      </c>
      <c r="C25" s="371" t="s">
        <v>398</v>
      </c>
      <c r="D25" s="371" t="s">
        <v>397</v>
      </c>
      <c r="E25" s="372">
        <v>15</v>
      </c>
      <c r="F25" s="373" t="str">
        <f t="shared" si="0"/>
        <v>$15.00</v>
      </c>
      <c r="G25" s="374" t="str">
        <f>UPPER(TableGiftCards[[#This Row],[Tournament]])</f>
        <v>CHRISTMAS CUP</v>
      </c>
      <c r="H25" s="374" t="str">
        <f>UPPER(TableGiftCards[[#This Row],[Division]])</f>
        <v>MIXED DIVISION</v>
      </c>
      <c r="I25" s="374" t="str">
        <f>UPPER(TableGiftCards[[#This Row],[Description]])</f>
        <v>3RD PLACE</v>
      </c>
    </row>
    <row r="26" spans="1:9" s="375" customFormat="1" ht="26.1" customHeight="1">
      <c r="A26" s="369">
        <v>25</v>
      </c>
      <c r="B26" s="370" t="str">
        <f>IF(OR(TableGiftCards[[#This Row],[Division]]&lt;&gt;"",TableGiftCards[[#This Row],[Description]]&lt;&gt;"",TableGiftCards[[#This Row],[Prize]]&lt;&gt;0),'Defaults and Lookup Lists'!$B$2,"")</f>
        <v>Christmas Cup</v>
      </c>
      <c r="C26" s="371" t="s">
        <v>362</v>
      </c>
      <c r="D26" s="371" t="s">
        <v>395</v>
      </c>
      <c r="E26" s="372">
        <v>60</v>
      </c>
      <c r="F26" s="373" t="str">
        <f t="shared" si="0"/>
        <v>$60.00</v>
      </c>
      <c r="G26" s="374" t="str">
        <f>UPPER(TableGiftCards[[#This Row],[Tournament]])</f>
        <v>CHRISTMAS CUP</v>
      </c>
      <c r="H26" s="374" t="str">
        <f>UPPER(TableGiftCards[[#This Row],[Division]])</f>
        <v>MEN'S DIVISION</v>
      </c>
      <c r="I26" s="374" t="str">
        <f>UPPER(TableGiftCards[[#This Row],[Description]])</f>
        <v>1ST PLACE</v>
      </c>
    </row>
    <row r="27" spans="1:9" s="375" customFormat="1" ht="26.1" customHeight="1">
      <c r="A27" s="369">
        <v>26</v>
      </c>
      <c r="B27" s="370" t="str">
        <f>IF(OR(TableGiftCards[[#This Row],[Division]]&lt;&gt;"",TableGiftCards[[#This Row],[Description]]&lt;&gt;"",TableGiftCards[[#This Row],[Prize]]&lt;&gt;0),'Defaults and Lookup Lists'!$B$2,"")</f>
        <v>Christmas Cup</v>
      </c>
      <c r="C27" s="371" t="s">
        <v>362</v>
      </c>
      <c r="D27" s="371" t="s">
        <v>395</v>
      </c>
      <c r="E27" s="372">
        <v>60</v>
      </c>
      <c r="F27" s="373" t="str">
        <f t="shared" si="0"/>
        <v>$60.00</v>
      </c>
      <c r="G27" s="374" t="str">
        <f>UPPER(TableGiftCards[[#This Row],[Tournament]])</f>
        <v>CHRISTMAS CUP</v>
      </c>
      <c r="H27" s="374" t="str">
        <f>UPPER(TableGiftCards[[#This Row],[Division]])</f>
        <v>MEN'S DIVISION</v>
      </c>
      <c r="I27" s="374" t="str">
        <f>UPPER(TableGiftCards[[#This Row],[Description]])</f>
        <v>1ST PLACE</v>
      </c>
    </row>
    <row r="28" spans="1:9" s="375" customFormat="1" ht="26.1" customHeight="1">
      <c r="A28" s="369">
        <v>27</v>
      </c>
      <c r="B28" s="370" t="str">
        <f>IF(OR(TableGiftCards[[#This Row],[Division]]&lt;&gt;"",TableGiftCards[[#This Row],[Description]]&lt;&gt;"",TableGiftCards[[#This Row],[Prize]]&lt;&gt;0),'Defaults and Lookup Lists'!$B$2,"")</f>
        <v>Christmas Cup</v>
      </c>
      <c r="C28" s="371" t="s">
        <v>362</v>
      </c>
      <c r="D28" s="371" t="s">
        <v>395</v>
      </c>
      <c r="E28" s="372">
        <v>60</v>
      </c>
      <c r="F28" s="373" t="str">
        <f t="shared" si="0"/>
        <v>$60.00</v>
      </c>
      <c r="G28" s="374" t="str">
        <f>UPPER(TableGiftCards[[#This Row],[Tournament]])</f>
        <v>CHRISTMAS CUP</v>
      </c>
      <c r="H28" s="374" t="str">
        <f>UPPER(TableGiftCards[[#This Row],[Division]])</f>
        <v>MEN'S DIVISION</v>
      </c>
      <c r="I28" s="374" t="str">
        <f>UPPER(TableGiftCards[[#This Row],[Description]])</f>
        <v>1ST PLACE</v>
      </c>
    </row>
    <row r="29" spans="1:9" s="375" customFormat="1" ht="26.1" customHeight="1">
      <c r="A29" s="369">
        <v>28</v>
      </c>
      <c r="B29" s="370" t="str">
        <f>IF(OR(TableGiftCards[[#This Row],[Division]]&lt;&gt;"",TableGiftCards[[#This Row],[Description]]&lt;&gt;"",TableGiftCards[[#This Row],[Prize]]&lt;&gt;0),'Defaults and Lookup Lists'!$B$2,"")</f>
        <v>Christmas Cup</v>
      </c>
      <c r="C29" s="371" t="s">
        <v>362</v>
      </c>
      <c r="D29" s="371" t="s">
        <v>395</v>
      </c>
      <c r="E29" s="372">
        <v>60</v>
      </c>
      <c r="F29" s="373" t="str">
        <f t="shared" si="0"/>
        <v>$60.00</v>
      </c>
      <c r="G29" s="374" t="str">
        <f>UPPER(TableGiftCards[[#This Row],[Tournament]])</f>
        <v>CHRISTMAS CUP</v>
      </c>
      <c r="H29" s="374" t="str">
        <f>UPPER(TableGiftCards[[#This Row],[Division]])</f>
        <v>MEN'S DIVISION</v>
      </c>
      <c r="I29" s="374" t="str">
        <f>UPPER(TableGiftCards[[#This Row],[Description]])</f>
        <v>1ST PLACE</v>
      </c>
    </row>
    <row r="30" spans="1:9" s="375" customFormat="1" ht="26.1" customHeight="1">
      <c r="A30" s="369">
        <v>29</v>
      </c>
      <c r="B30" s="370" t="str">
        <f>IF(OR(TableGiftCards[[#This Row],[Division]]&lt;&gt;"",TableGiftCards[[#This Row],[Description]]&lt;&gt;"",TableGiftCards[[#This Row],[Prize]]&lt;&gt;0),'Defaults and Lookup Lists'!$B$2,"")</f>
        <v>Christmas Cup</v>
      </c>
      <c r="C30" s="371" t="s">
        <v>362</v>
      </c>
      <c r="D30" s="371" t="s">
        <v>396</v>
      </c>
      <c r="E30" s="372">
        <v>30</v>
      </c>
      <c r="F30" s="373" t="str">
        <f t="shared" si="0"/>
        <v>$30.00</v>
      </c>
      <c r="G30" s="374" t="str">
        <f>UPPER(TableGiftCards[[#This Row],[Tournament]])</f>
        <v>CHRISTMAS CUP</v>
      </c>
      <c r="H30" s="374" t="str">
        <f>UPPER(TableGiftCards[[#This Row],[Division]])</f>
        <v>MEN'S DIVISION</v>
      </c>
      <c r="I30" s="374" t="str">
        <f>UPPER(TableGiftCards[[#This Row],[Description]])</f>
        <v>2ND PLACE</v>
      </c>
    </row>
    <row r="31" spans="1:9" s="375" customFormat="1" ht="26.1" customHeight="1">
      <c r="A31" s="369">
        <v>30</v>
      </c>
      <c r="B31" s="370" t="str">
        <f>IF(OR(TableGiftCards[[#This Row],[Division]]&lt;&gt;"",TableGiftCards[[#This Row],[Description]]&lt;&gt;"",TableGiftCards[[#This Row],[Prize]]&lt;&gt;0),'Defaults and Lookup Lists'!$B$2,"")</f>
        <v>Christmas Cup</v>
      </c>
      <c r="C31" s="371" t="s">
        <v>362</v>
      </c>
      <c r="D31" s="371" t="s">
        <v>396</v>
      </c>
      <c r="E31" s="372">
        <v>30</v>
      </c>
      <c r="F31" s="373" t="str">
        <f t="shared" si="0"/>
        <v>$30.00</v>
      </c>
      <c r="G31" s="374" t="str">
        <f>UPPER(TableGiftCards[[#This Row],[Tournament]])</f>
        <v>CHRISTMAS CUP</v>
      </c>
      <c r="H31" s="374" t="str">
        <f>UPPER(TableGiftCards[[#This Row],[Division]])</f>
        <v>MEN'S DIVISION</v>
      </c>
      <c r="I31" s="374" t="str">
        <f>UPPER(TableGiftCards[[#This Row],[Description]])</f>
        <v>2ND PLACE</v>
      </c>
    </row>
    <row r="32" spans="1:9" s="375" customFormat="1" ht="26.1" customHeight="1">
      <c r="A32" s="369">
        <v>31</v>
      </c>
      <c r="B32" s="370" t="str">
        <f>IF(OR(TableGiftCards[[#This Row],[Division]]&lt;&gt;"",TableGiftCards[[#This Row],[Description]]&lt;&gt;"",TableGiftCards[[#This Row],[Prize]]&lt;&gt;0),'Defaults and Lookup Lists'!$B$2,"")</f>
        <v>Christmas Cup</v>
      </c>
      <c r="C32" s="371" t="s">
        <v>362</v>
      </c>
      <c r="D32" s="371" t="s">
        <v>396</v>
      </c>
      <c r="E32" s="372">
        <v>30</v>
      </c>
      <c r="F32" s="373" t="str">
        <f t="shared" si="0"/>
        <v>$30.00</v>
      </c>
      <c r="G32" s="374" t="str">
        <f>UPPER(TableGiftCards[[#This Row],[Tournament]])</f>
        <v>CHRISTMAS CUP</v>
      </c>
      <c r="H32" s="374" t="str">
        <f>UPPER(TableGiftCards[[#This Row],[Division]])</f>
        <v>MEN'S DIVISION</v>
      </c>
      <c r="I32" s="374" t="str">
        <f>UPPER(TableGiftCards[[#This Row],[Description]])</f>
        <v>2ND PLACE</v>
      </c>
    </row>
    <row r="33" spans="1:9" s="375" customFormat="1" ht="26.1" customHeight="1">
      <c r="A33" s="369">
        <v>32</v>
      </c>
      <c r="B33" s="370" t="str">
        <f>IF(OR(TableGiftCards[[#This Row],[Division]]&lt;&gt;"",TableGiftCards[[#This Row],[Description]]&lt;&gt;"",TableGiftCards[[#This Row],[Prize]]&lt;&gt;0),'Defaults and Lookup Lists'!$B$2,"")</f>
        <v>Christmas Cup</v>
      </c>
      <c r="C33" s="371" t="s">
        <v>362</v>
      </c>
      <c r="D33" s="371" t="s">
        <v>396</v>
      </c>
      <c r="E33" s="372">
        <v>30</v>
      </c>
      <c r="F33" s="373" t="str">
        <f t="shared" si="0"/>
        <v>$30.00</v>
      </c>
      <c r="G33" s="374" t="str">
        <f>UPPER(TableGiftCards[[#This Row],[Tournament]])</f>
        <v>CHRISTMAS CUP</v>
      </c>
      <c r="H33" s="374" t="str">
        <f>UPPER(TableGiftCards[[#This Row],[Division]])</f>
        <v>MEN'S DIVISION</v>
      </c>
      <c r="I33" s="374" t="str">
        <f>UPPER(TableGiftCards[[#This Row],[Description]])</f>
        <v>2ND PLACE</v>
      </c>
    </row>
    <row r="34" spans="1:9" s="375" customFormat="1" ht="26.1" customHeight="1">
      <c r="A34" s="369">
        <v>33</v>
      </c>
      <c r="B34" s="370" t="str">
        <f>IF(OR(TableGiftCards[[#This Row],[Division]]&lt;&gt;"",TableGiftCards[[#This Row],[Description]]&lt;&gt;"",TableGiftCards[[#This Row],[Prize]]&lt;&gt;0),'Defaults and Lookup Lists'!$B$2,"")</f>
        <v>Christmas Cup</v>
      </c>
      <c r="C34" s="371" t="s">
        <v>362</v>
      </c>
      <c r="D34" s="371" t="s">
        <v>397</v>
      </c>
      <c r="E34" s="372">
        <v>15</v>
      </c>
      <c r="F34" s="373" t="str">
        <f t="shared" ref="F34:F56" si="1">TEXT(E34,"$###,##0.00")</f>
        <v>$15.00</v>
      </c>
      <c r="G34" s="374" t="str">
        <f>UPPER(TableGiftCards[[#This Row],[Tournament]])</f>
        <v>CHRISTMAS CUP</v>
      </c>
      <c r="H34" s="374" t="str">
        <f>UPPER(TableGiftCards[[#This Row],[Division]])</f>
        <v>MEN'S DIVISION</v>
      </c>
      <c r="I34" s="374" t="str">
        <f>UPPER(TableGiftCards[[#This Row],[Description]])</f>
        <v>3RD PLACE</v>
      </c>
    </row>
    <row r="35" spans="1:9" s="375" customFormat="1" ht="26.1" customHeight="1">
      <c r="A35" s="369">
        <v>34</v>
      </c>
      <c r="B35" s="370" t="str">
        <f>IF(OR(TableGiftCards[[#This Row],[Division]]&lt;&gt;"",TableGiftCards[[#This Row],[Description]]&lt;&gt;"",TableGiftCards[[#This Row],[Prize]]&lt;&gt;0),'Defaults and Lookup Lists'!$B$2,"")</f>
        <v>Christmas Cup</v>
      </c>
      <c r="C35" s="371" t="s">
        <v>362</v>
      </c>
      <c r="D35" s="371" t="s">
        <v>397</v>
      </c>
      <c r="E35" s="372">
        <v>15</v>
      </c>
      <c r="F35" s="373" t="str">
        <f t="shared" si="1"/>
        <v>$15.00</v>
      </c>
      <c r="G35" s="374" t="str">
        <f>UPPER(TableGiftCards[[#This Row],[Tournament]])</f>
        <v>CHRISTMAS CUP</v>
      </c>
      <c r="H35" s="374" t="str">
        <f>UPPER(TableGiftCards[[#This Row],[Division]])</f>
        <v>MEN'S DIVISION</v>
      </c>
      <c r="I35" s="374" t="str">
        <f>UPPER(TableGiftCards[[#This Row],[Description]])</f>
        <v>3RD PLACE</v>
      </c>
    </row>
    <row r="36" spans="1:9" s="375" customFormat="1" ht="26.1" customHeight="1">
      <c r="A36" s="369">
        <v>35</v>
      </c>
      <c r="B36" s="370" t="str">
        <f>IF(OR(TableGiftCards[[#This Row],[Division]]&lt;&gt;"",TableGiftCards[[#This Row],[Description]]&lt;&gt;"",TableGiftCards[[#This Row],[Prize]]&lt;&gt;0),'Defaults and Lookup Lists'!$B$2,"")</f>
        <v>Christmas Cup</v>
      </c>
      <c r="C36" s="371" t="s">
        <v>362</v>
      </c>
      <c r="D36" s="371" t="s">
        <v>397</v>
      </c>
      <c r="E36" s="372">
        <v>15</v>
      </c>
      <c r="F36" s="373" t="str">
        <f t="shared" si="1"/>
        <v>$15.00</v>
      </c>
      <c r="G36" s="374" t="str">
        <f>UPPER(TableGiftCards[[#This Row],[Tournament]])</f>
        <v>CHRISTMAS CUP</v>
      </c>
      <c r="H36" s="374" t="str">
        <f>UPPER(TableGiftCards[[#This Row],[Division]])</f>
        <v>MEN'S DIVISION</v>
      </c>
      <c r="I36" s="374" t="str">
        <f>UPPER(TableGiftCards[[#This Row],[Description]])</f>
        <v>3RD PLACE</v>
      </c>
    </row>
    <row r="37" spans="1:9" s="375" customFormat="1" ht="26.1" customHeight="1">
      <c r="A37" s="369">
        <v>36</v>
      </c>
      <c r="B37" s="370" t="str">
        <f>IF(OR(TableGiftCards[[#This Row],[Division]]&lt;&gt;"",TableGiftCards[[#This Row],[Description]]&lt;&gt;"",TableGiftCards[[#This Row],[Prize]]&lt;&gt;0),'Defaults and Lookup Lists'!$B$2,"")</f>
        <v>Christmas Cup</v>
      </c>
      <c r="C37" s="371" t="s">
        <v>362</v>
      </c>
      <c r="D37" s="371" t="s">
        <v>397</v>
      </c>
      <c r="E37" s="372">
        <v>15</v>
      </c>
      <c r="F37" s="373" t="str">
        <f t="shared" si="1"/>
        <v>$15.00</v>
      </c>
      <c r="G37" s="374" t="str">
        <f>UPPER(TableGiftCards[[#This Row],[Tournament]])</f>
        <v>CHRISTMAS CUP</v>
      </c>
      <c r="H37" s="374" t="str">
        <f>UPPER(TableGiftCards[[#This Row],[Division]])</f>
        <v>MEN'S DIVISION</v>
      </c>
      <c r="I37" s="374" t="str">
        <f>UPPER(TableGiftCards[[#This Row],[Description]])</f>
        <v>3RD PLACE</v>
      </c>
    </row>
    <row r="38" spans="1:9" s="375" customFormat="1" ht="26.1" customHeight="1">
      <c r="A38" s="369">
        <v>37</v>
      </c>
      <c r="B38" s="370" t="str">
        <f>IF(OR(TableGiftCards[[#This Row],[Division]]&lt;&gt;"",TableGiftCards[[#This Row],[Description]]&lt;&gt;"",TableGiftCards[[#This Row],[Prize]]&lt;&gt;0),'Defaults and Lookup Lists'!$B$2,"")</f>
        <v>Christmas Cup</v>
      </c>
      <c r="C38" s="371" t="s">
        <v>355</v>
      </c>
      <c r="D38" s="371" t="s">
        <v>399</v>
      </c>
      <c r="E38" s="372">
        <v>400</v>
      </c>
      <c r="F38" s="373" t="str">
        <f t="shared" si="1"/>
        <v>$400.00</v>
      </c>
      <c r="G38" s="374" t="str">
        <f>UPPER(TableGiftCards[[#This Row],[Tournament]])</f>
        <v>CHRISTMAS CUP</v>
      </c>
      <c r="H38" s="374" t="str">
        <f>UPPER(TableGiftCards[[#This Row],[Division]])</f>
        <v>ALL DIVISIONS</v>
      </c>
      <c r="I38" s="374" t="str">
        <f>UPPER(TableGiftCards[[#This Row],[Description]])</f>
        <v>GRAND PRIZE</v>
      </c>
    </row>
    <row r="39" spans="1:9" s="375" customFormat="1" ht="26.1" customHeight="1">
      <c r="A39" s="369">
        <v>38</v>
      </c>
      <c r="B39" s="370" t="str">
        <f>IF(OR(TableGiftCards[[#This Row],[Division]]&lt;&gt;"",TableGiftCards[[#This Row],[Description]]&lt;&gt;"",TableGiftCards[[#This Row],[Prize]]&lt;&gt;0),'Defaults and Lookup Lists'!$B$2,"")</f>
        <v>Christmas Cup</v>
      </c>
      <c r="C39" s="371" t="s">
        <v>103</v>
      </c>
      <c r="D39" s="371" t="s">
        <v>364</v>
      </c>
      <c r="E39" s="372">
        <v>50</v>
      </c>
      <c r="F39" s="373" t="str">
        <f t="shared" si="1"/>
        <v>$50.00</v>
      </c>
      <c r="G39" s="374" t="str">
        <f>UPPER(TableGiftCards[[#This Row],[Tournament]])</f>
        <v>CHRISTMAS CUP</v>
      </c>
      <c r="H39" s="374" t="str">
        <f>UPPER(TableGiftCards[[#This Row],[Division]])</f>
        <v>MEN</v>
      </c>
      <c r="I39" s="374" t="str">
        <f>UPPER(TableGiftCards[[#This Row],[Description]])</f>
        <v>STRAIGHTEST DRIVE</v>
      </c>
    </row>
    <row r="40" spans="1:9" s="375" customFormat="1" ht="26.1" customHeight="1">
      <c r="A40" s="369">
        <v>39</v>
      </c>
      <c r="B40" s="370" t="str">
        <f>IF(OR(TableGiftCards[[#This Row],[Division]]&lt;&gt;"",TableGiftCards[[#This Row],[Description]]&lt;&gt;"",TableGiftCards[[#This Row],[Prize]]&lt;&gt;0),'Defaults and Lookup Lists'!$B$2,"")</f>
        <v>Christmas Cup</v>
      </c>
      <c r="C40" s="371" t="s">
        <v>103</v>
      </c>
      <c r="D40" s="371" t="s">
        <v>382</v>
      </c>
      <c r="E40" s="372">
        <v>50</v>
      </c>
      <c r="F40" s="373" t="str">
        <f t="shared" si="1"/>
        <v>$50.00</v>
      </c>
      <c r="G40" s="374" t="str">
        <f>UPPER(TableGiftCards[[#This Row],[Tournament]])</f>
        <v>CHRISTMAS CUP</v>
      </c>
      <c r="H40" s="374" t="str">
        <f>UPPER(TableGiftCards[[#This Row],[Division]])</f>
        <v>MEN</v>
      </c>
      <c r="I40" s="374" t="str">
        <f>UPPER(TableGiftCards[[#This Row],[Description]])</f>
        <v>CLOSEST 2ND SHOT   </v>
      </c>
    </row>
    <row r="41" spans="1:9" s="375" customFormat="1" ht="26.1" customHeight="1">
      <c r="A41" s="369">
        <v>40</v>
      </c>
      <c r="B41" s="370" t="str">
        <f>IF(OR(TableGiftCards[[#This Row],[Division]]&lt;&gt;"",TableGiftCards[[#This Row],[Description]]&lt;&gt;"",TableGiftCards[[#This Row],[Prize]]&lt;&gt;0),'Defaults and Lookup Lists'!$B$2,"")</f>
        <v>Christmas Cup</v>
      </c>
      <c r="C41" s="371" t="s">
        <v>103</v>
      </c>
      <c r="D41" s="371" t="s">
        <v>388</v>
      </c>
      <c r="E41" s="372">
        <v>50</v>
      </c>
      <c r="F41" s="373" t="str">
        <f t="shared" si="1"/>
        <v>$50.00</v>
      </c>
      <c r="G41" s="374" t="str">
        <f>UPPER(TableGiftCards[[#This Row],[Tournament]])</f>
        <v>CHRISTMAS CUP</v>
      </c>
      <c r="H41" s="374" t="str">
        <f>UPPER(TableGiftCards[[#This Row],[Division]])</f>
        <v>MEN</v>
      </c>
      <c r="I41" s="374" t="str">
        <f>UPPER(TableGiftCards[[#This Row],[Description]])</f>
        <v>LONGEST DRIVE</v>
      </c>
    </row>
    <row r="42" spans="1:9" s="375" customFormat="1" ht="26.1" customHeight="1">
      <c r="A42" s="369">
        <v>41</v>
      </c>
      <c r="B42" s="370" t="str">
        <f>IF(OR(TableGiftCards[[#This Row],[Division]]&lt;&gt;"",TableGiftCards[[#This Row],[Description]]&lt;&gt;"",TableGiftCards[[#This Row],[Prize]]&lt;&gt;0),'Defaults and Lookup Lists'!$B$2,"")</f>
        <v>Christmas Cup</v>
      </c>
      <c r="C42" s="371" t="s">
        <v>103</v>
      </c>
      <c r="D42" s="371" t="s">
        <v>372</v>
      </c>
      <c r="E42" s="372">
        <v>50</v>
      </c>
      <c r="F42" s="373" t="str">
        <f t="shared" si="1"/>
        <v>$50.00</v>
      </c>
      <c r="G42" s="374" t="str">
        <f>UPPER(TableGiftCards[[#This Row],[Tournament]])</f>
        <v>CHRISTMAS CUP</v>
      </c>
      <c r="H42" s="374" t="str">
        <f>UPPER(TableGiftCards[[#This Row],[Division]])</f>
        <v>MEN</v>
      </c>
      <c r="I42" s="374" t="str">
        <f>UPPER(TableGiftCards[[#This Row],[Description]])</f>
        <v>LONGEST PUTT  </v>
      </c>
    </row>
    <row r="43" spans="1:9" s="375" customFormat="1" ht="26.1" customHeight="1">
      <c r="A43" s="369">
        <v>42</v>
      </c>
      <c r="B43" s="370" t="str">
        <f>IF(OR(TableGiftCards[[#This Row],[Division]]&lt;&gt;"",TableGiftCards[[#This Row],[Description]]&lt;&gt;"",TableGiftCards[[#This Row],[Prize]]&lt;&gt;0),'Defaults and Lookup Lists'!$B$2,"")</f>
        <v>Christmas Cup</v>
      </c>
      <c r="C43" s="371" t="s">
        <v>400</v>
      </c>
      <c r="D43" s="371" t="s">
        <v>357</v>
      </c>
      <c r="E43" s="372">
        <v>50</v>
      </c>
      <c r="F43" s="373" t="str">
        <f t="shared" si="1"/>
        <v>$50.00</v>
      </c>
      <c r="G43" s="374" t="str">
        <f>UPPER(TableGiftCards[[#This Row],[Tournament]])</f>
        <v>CHRISTMAS CUP</v>
      </c>
      <c r="H43" s="374" t="str">
        <f>UPPER(TableGiftCards[[#This Row],[Division]])</f>
        <v>OPEN</v>
      </c>
      <c r="I43" s="374" t="str">
        <f>UPPER(TableGiftCards[[#This Row],[Description]])</f>
        <v>SHORTEST DRIVE </v>
      </c>
    </row>
    <row r="44" spans="1:9" s="375" customFormat="1" ht="26.1" customHeight="1">
      <c r="A44" s="369">
        <v>43</v>
      </c>
      <c r="B44" s="370" t="str">
        <f>IF(OR(TableGiftCards[[#This Row],[Division]]&lt;&gt;"",TableGiftCards[[#This Row],[Description]]&lt;&gt;"",TableGiftCards[[#This Row],[Prize]]&lt;&gt;0),'Defaults and Lookup Lists'!$B$2,"")</f>
        <v>Christmas Cup</v>
      </c>
      <c r="C44" s="371" t="s">
        <v>400</v>
      </c>
      <c r="D44" s="371" t="s">
        <v>360</v>
      </c>
      <c r="E44" s="372">
        <v>50</v>
      </c>
      <c r="F44" s="373" t="str">
        <f t="shared" si="1"/>
        <v>$50.00</v>
      </c>
      <c r="G44" s="374" t="str">
        <f>UPPER(TableGiftCards[[#This Row],[Tournament]])</f>
        <v>CHRISTMAS CUP</v>
      </c>
      <c r="H44" s="374" t="str">
        <f>UPPER(TableGiftCards[[#This Row],[Division]])</f>
        <v>OPEN</v>
      </c>
      <c r="I44" s="374" t="str">
        <f>UPPER(TableGiftCards[[#This Row],[Description]])</f>
        <v>CLOSEST 3RD SHOT</v>
      </c>
    </row>
    <row r="45" spans="1:9" s="375" customFormat="1" ht="26.1" customHeight="1">
      <c r="A45" s="369">
        <v>44</v>
      </c>
      <c r="B45" s="370" t="str">
        <f>IF(OR(TableGiftCards[[#This Row],[Division]]&lt;&gt;"",TableGiftCards[[#This Row],[Description]]&lt;&gt;"",TableGiftCards[[#This Row],[Prize]]&lt;&gt;0),'Defaults and Lookup Lists'!$B$2,"")</f>
        <v>Christmas Cup</v>
      </c>
      <c r="C45" s="371" t="s">
        <v>400</v>
      </c>
      <c r="D45" s="371" t="s">
        <v>366</v>
      </c>
      <c r="E45" s="372">
        <v>50</v>
      </c>
      <c r="F45" s="373" t="str">
        <f t="shared" si="1"/>
        <v>$50.00</v>
      </c>
      <c r="G45" s="374" t="str">
        <f>UPPER(TableGiftCards[[#This Row],[Tournament]])</f>
        <v>CHRISTMAS CUP</v>
      </c>
      <c r="H45" s="374" t="str">
        <f>UPPER(TableGiftCards[[#This Row],[Division]])</f>
        <v>OPEN</v>
      </c>
      <c r="I45" s="374" t="str">
        <f>UPPER(TableGiftCards[[#This Row],[Description]])</f>
        <v>LONGEST PUTT</v>
      </c>
    </row>
    <row r="46" spans="1:9" s="375" customFormat="1" ht="26.1" customHeight="1">
      <c r="A46" s="369">
        <v>45</v>
      </c>
      <c r="B46" s="370" t="str">
        <f>IF(OR(TableGiftCards[[#This Row],[Division]]&lt;&gt;"",TableGiftCards[[#This Row],[Description]]&lt;&gt;"",TableGiftCards[[#This Row],[Prize]]&lt;&gt;0),'Defaults and Lookup Lists'!$B$2,"")</f>
        <v>Christmas Cup</v>
      </c>
      <c r="C46" s="371" t="s">
        <v>400</v>
      </c>
      <c r="D46" s="371" t="s">
        <v>370</v>
      </c>
      <c r="E46" s="372">
        <v>50</v>
      </c>
      <c r="F46" s="373" t="str">
        <f t="shared" si="1"/>
        <v>$50.00</v>
      </c>
      <c r="G46" s="374" t="str">
        <f>UPPER(TableGiftCards[[#This Row],[Tournament]])</f>
        <v>CHRISTMAS CUP</v>
      </c>
      <c r="H46" s="374" t="str">
        <f>UPPER(TableGiftCards[[#This Row],[Division]])</f>
        <v>OPEN</v>
      </c>
      <c r="I46" s="374" t="str">
        <f>UPPER(TableGiftCards[[#This Row],[Description]])</f>
        <v>CLOSEST CHIP   </v>
      </c>
    </row>
    <row r="47" spans="1:9" s="375" customFormat="1" ht="26.1" customHeight="1">
      <c r="A47" s="369">
        <v>46</v>
      </c>
      <c r="B47" s="370" t="str">
        <f>IF(OR(TableGiftCards[[#This Row],[Division]]&lt;&gt;"",TableGiftCards[[#This Row],[Description]]&lt;&gt;"",TableGiftCards[[#This Row],[Prize]]&lt;&gt;0),'Defaults and Lookup Lists'!$B$2,"")</f>
        <v>Christmas Cup</v>
      </c>
      <c r="C47" s="371" t="s">
        <v>400</v>
      </c>
      <c r="D47" s="371" t="s">
        <v>374</v>
      </c>
      <c r="E47" s="372">
        <v>50</v>
      </c>
      <c r="F47" s="373" t="str">
        <f t="shared" si="1"/>
        <v>$50.00</v>
      </c>
      <c r="G47" s="374" t="str">
        <f>UPPER(TableGiftCards[[#This Row],[Tournament]])</f>
        <v>CHRISTMAS CUP</v>
      </c>
      <c r="H47" s="374" t="str">
        <f>UPPER(TableGiftCards[[#This Row],[Division]])</f>
        <v>OPEN</v>
      </c>
      <c r="I47" s="374" t="str">
        <f>UPPER(TableGiftCards[[#This Row],[Description]])</f>
        <v>CLOSEST 2ND SHOT </v>
      </c>
    </row>
    <row r="48" spans="1:9" s="375" customFormat="1" ht="26.1" customHeight="1">
      <c r="A48" s="369">
        <v>47</v>
      </c>
      <c r="B48" s="370" t="str">
        <f>IF(OR(TableGiftCards[[#This Row],[Division]]&lt;&gt;"",TableGiftCards[[#This Row],[Description]]&lt;&gt;"",TableGiftCards[[#This Row],[Prize]]&lt;&gt;0),'Defaults and Lookup Lists'!$B$2,"")</f>
        <v>Christmas Cup</v>
      </c>
      <c r="C48" s="371" t="s">
        <v>400</v>
      </c>
      <c r="D48" s="371" t="s">
        <v>378</v>
      </c>
      <c r="E48" s="372">
        <v>50</v>
      </c>
      <c r="F48" s="373" t="str">
        <f t="shared" si="1"/>
        <v>$50.00</v>
      </c>
      <c r="G48" s="374" t="str">
        <f>UPPER(TableGiftCards[[#This Row],[Tournament]])</f>
        <v>CHRISTMAS CUP</v>
      </c>
      <c r="H48" s="374" t="str">
        <f>UPPER(TableGiftCards[[#This Row],[Division]])</f>
        <v>OPEN</v>
      </c>
      <c r="I48" s="374" t="str">
        <f>UPPER(TableGiftCards[[#This Row],[Description]])</f>
        <v>SHORTEST DRIVE  </v>
      </c>
    </row>
    <row r="49" spans="1:9" s="375" customFormat="1" ht="26.1" customHeight="1">
      <c r="A49" s="369">
        <v>48</v>
      </c>
      <c r="B49" s="370" t="str">
        <f>IF(OR(TableGiftCards[[#This Row],[Division]]&lt;&gt;"",TableGiftCards[[#This Row],[Description]]&lt;&gt;"",TableGiftCards[[#This Row],[Prize]]&lt;&gt;0),'Defaults and Lookup Lists'!$B$2,"")</f>
        <v>Christmas Cup</v>
      </c>
      <c r="C49" s="371" t="s">
        <v>400</v>
      </c>
      <c r="D49" s="371" t="s">
        <v>380</v>
      </c>
      <c r="E49" s="372">
        <v>50</v>
      </c>
      <c r="F49" s="373" t="str">
        <f t="shared" si="1"/>
        <v>$50.00</v>
      </c>
      <c r="G49" s="374" t="str">
        <f>UPPER(TableGiftCards[[#This Row],[Tournament]])</f>
        <v>CHRISTMAS CUP</v>
      </c>
      <c r="H49" s="374" t="str">
        <f>UPPER(TableGiftCards[[#This Row],[Division]])</f>
        <v>OPEN</v>
      </c>
      <c r="I49" s="374" t="str">
        <f>UPPER(TableGiftCards[[#This Row],[Description]])</f>
        <v>CLOSEST CHIP  </v>
      </c>
    </row>
    <row r="50" spans="1:9" s="375" customFormat="1" ht="26.1" customHeight="1">
      <c r="A50" s="369">
        <v>49</v>
      </c>
      <c r="B50" s="370" t="str">
        <f>IF(OR(TableGiftCards[[#This Row],[Division]]&lt;&gt;"",TableGiftCards[[#This Row],[Description]]&lt;&gt;"",TableGiftCards[[#This Row],[Prize]]&lt;&gt;0),'Defaults and Lookup Lists'!$B$2,"")</f>
        <v>Christmas Cup</v>
      </c>
      <c r="C50" s="371" t="s">
        <v>400</v>
      </c>
      <c r="D50" s="371" t="s">
        <v>360</v>
      </c>
      <c r="E50" s="372">
        <v>50</v>
      </c>
      <c r="F50" s="373" t="str">
        <f t="shared" si="1"/>
        <v>$50.00</v>
      </c>
      <c r="G50" s="374" t="str">
        <f>UPPER(TableGiftCards[[#This Row],[Tournament]])</f>
        <v>CHRISTMAS CUP</v>
      </c>
      <c r="H50" s="374" t="str">
        <f>UPPER(TableGiftCards[[#This Row],[Division]])</f>
        <v>OPEN</v>
      </c>
      <c r="I50" s="374" t="str">
        <f>UPPER(TableGiftCards[[#This Row],[Description]])</f>
        <v>CLOSEST 3RD SHOT</v>
      </c>
    </row>
    <row r="51" spans="1:9" s="375" customFormat="1" ht="26.1" customHeight="1">
      <c r="A51" s="369">
        <v>50</v>
      </c>
      <c r="B51" s="370" t="str">
        <f>IF(OR(TableGiftCards[[#This Row],[Division]]&lt;&gt;"",TableGiftCards[[#This Row],[Description]]&lt;&gt;"",TableGiftCards[[#This Row],[Prize]]&lt;&gt;0),'Defaults and Lookup Lists'!$B$2,"")</f>
        <v>Christmas Cup</v>
      </c>
      <c r="C51" s="371" t="s">
        <v>400</v>
      </c>
      <c r="D51" s="371" t="s">
        <v>386</v>
      </c>
      <c r="E51" s="372">
        <v>50</v>
      </c>
      <c r="F51" s="373" t="str">
        <f t="shared" si="1"/>
        <v>$50.00</v>
      </c>
      <c r="G51" s="374" t="str">
        <f>UPPER(TableGiftCards[[#This Row],[Tournament]])</f>
        <v>CHRISTMAS CUP</v>
      </c>
      <c r="H51" s="374" t="str">
        <f>UPPER(TableGiftCards[[#This Row],[Division]])</f>
        <v>OPEN</v>
      </c>
      <c r="I51" s="374" t="str">
        <f>UPPER(TableGiftCards[[#This Row],[Description]])</f>
        <v>CLOSEST 2ND SHOT    </v>
      </c>
    </row>
    <row r="52" spans="1:9" s="375" customFormat="1" ht="26.1" customHeight="1">
      <c r="A52" s="369">
        <v>51</v>
      </c>
      <c r="B52" s="370" t="str">
        <f>IF(OR(TableGiftCards[[#This Row],[Division]]&lt;&gt;"",TableGiftCards[[#This Row],[Description]]&lt;&gt;"",TableGiftCards[[#This Row],[Prize]]&lt;&gt;0),'Defaults and Lookup Lists'!$B$2,"")</f>
        <v>Christmas Cup</v>
      </c>
      <c r="C52" s="371" t="s">
        <v>400</v>
      </c>
      <c r="D52" s="371" t="s">
        <v>380</v>
      </c>
      <c r="E52" s="372">
        <v>50</v>
      </c>
      <c r="F52" s="373" t="str">
        <f t="shared" si="1"/>
        <v>$50.00</v>
      </c>
      <c r="G52" s="374" t="str">
        <f>UPPER(TableGiftCards[[#This Row],[Tournament]])</f>
        <v>CHRISTMAS CUP</v>
      </c>
      <c r="H52" s="374" t="str">
        <f>UPPER(TableGiftCards[[#This Row],[Division]])</f>
        <v>OPEN</v>
      </c>
      <c r="I52" s="374" t="str">
        <f>UPPER(TableGiftCards[[#This Row],[Description]])</f>
        <v>CLOSEST CHIP  </v>
      </c>
    </row>
    <row r="53" spans="1:9" s="375" customFormat="1" ht="26.1" customHeight="1">
      <c r="A53" s="369">
        <v>52</v>
      </c>
      <c r="B53" s="370" t="str">
        <f>IF(OR(TableGiftCards[[#This Row],[Division]]&lt;&gt;"",TableGiftCards[[#This Row],[Description]]&lt;&gt;"",TableGiftCards[[#This Row],[Prize]]&lt;&gt;0),'Defaults and Lookup Lists'!$B$2,"")</f>
        <v>Christmas Cup</v>
      </c>
      <c r="C53" s="371" t="s">
        <v>104</v>
      </c>
      <c r="D53" s="371" t="s">
        <v>364</v>
      </c>
      <c r="E53" s="372">
        <v>50</v>
      </c>
      <c r="F53" s="373" t="str">
        <f t="shared" si="1"/>
        <v>$50.00</v>
      </c>
      <c r="G53" s="374" t="str">
        <f>UPPER(TableGiftCards[[#This Row],[Tournament]])</f>
        <v>CHRISTMAS CUP</v>
      </c>
      <c r="H53" s="374" t="str">
        <f>UPPER(TableGiftCards[[#This Row],[Division]])</f>
        <v>WOMEN</v>
      </c>
      <c r="I53" s="374" t="str">
        <f>UPPER(TableGiftCards[[#This Row],[Description]])</f>
        <v>STRAIGHTEST DRIVE</v>
      </c>
    </row>
    <row r="54" spans="1:9" s="375" customFormat="1" ht="26.1" customHeight="1">
      <c r="A54" s="369">
        <v>53</v>
      </c>
      <c r="B54" s="370" t="str">
        <f>IF(OR(TableGiftCards[[#This Row],[Division]]&lt;&gt;"",TableGiftCards[[#This Row],[Description]]&lt;&gt;"",TableGiftCards[[#This Row],[Prize]]&lt;&gt;0),'Defaults and Lookup Lists'!$B$2,"")</f>
        <v>Christmas Cup</v>
      </c>
      <c r="C54" s="371" t="s">
        <v>104</v>
      </c>
      <c r="D54" s="371" t="s">
        <v>372</v>
      </c>
      <c r="E54" s="372">
        <v>50</v>
      </c>
      <c r="F54" s="373" t="str">
        <f t="shared" si="1"/>
        <v>$50.00</v>
      </c>
      <c r="G54" s="374" t="str">
        <f>UPPER(TableGiftCards[[#This Row],[Tournament]])</f>
        <v>CHRISTMAS CUP</v>
      </c>
      <c r="H54" s="374" t="str">
        <f>UPPER(TableGiftCards[[#This Row],[Division]])</f>
        <v>WOMEN</v>
      </c>
      <c r="I54" s="374" t="str">
        <f>UPPER(TableGiftCards[[#This Row],[Description]])</f>
        <v>LONGEST PUTT  </v>
      </c>
    </row>
    <row r="55" spans="1:9" s="375" customFormat="1" ht="26.1" customHeight="1">
      <c r="A55" s="369">
        <v>54</v>
      </c>
      <c r="B55" s="370" t="str">
        <f>IF(OR(TableGiftCards[[#This Row],[Division]]&lt;&gt;"",TableGiftCards[[#This Row],[Description]]&lt;&gt;"",TableGiftCards[[#This Row],[Prize]]&lt;&gt;0),'Defaults and Lookup Lists'!$B$2,"")</f>
        <v>Christmas Cup</v>
      </c>
      <c r="C55" s="371" t="s">
        <v>104</v>
      </c>
      <c r="D55" s="371" t="s">
        <v>376</v>
      </c>
      <c r="E55" s="372">
        <v>50</v>
      </c>
      <c r="F55" s="373" t="str">
        <f t="shared" si="1"/>
        <v>$50.00</v>
      </c>
      <c r="G55" s="374" t="str">
        <f>UPPER(TableGiftCards[[#This Row],[Tournament]])</f>
        <v>CHRISTMAS CUP</v>
      </c>
      <c r="H55" s="374" t="str">
        <f>UPPER(TableGiftCards[[#This Row],[Division]])</f>
        <v>WOMEN</v>
      </c>
      <c r="I55" s="374" t="str">
        <f>UPPER(TableGiftCards[[#This Row],[Description]])</f>
        <v>CLOSEST 2ND SHOT</v>
      </c>
    </row>
    <row r="56" spans="1:9" s="375" customFormat="1" ht="26.1" customHeight="1">
      <c r="A56" s="369">
        <v>55</v>
      </c>
      <c r="B56" s="370" t="str">
        <f>IF(OR(TableGiftCards[[#This Row],[Division]]&lt;&gt;"",TableGiftCards[[#This Row],[Description]]&lt;&gt;"",TableGiftCards[[#This Row],[Prize]]&lt;&gt;0),'Defaults and Lookup Lists'!$B$2,"")</f>
        <v>Christmas Cup</v>
      </c>
      <c r="C56" s="371" t="s">
        <v>104</v>
      </c>
      <c r="D56" s="371" t="s">
        <v>384</v>
      </c>
      <c r="E56" s="372">
        <v>50</v>
      </c>
      <c r="F56" s="373" t="str">
        <f t="shared" si="1"/>
        <v>$50.00</v>
      </c>
      <c r="G56" s="374" t="str">
        <f>UPPER(TableGiftCards[[#This Row],[Tournament]])</f>
        <v>CHRISTMAS CUP</v>
      </c>
      <c r="H56" s="374" t="str">
        <f>UPPER(TableGiftCards[[#This Row],[Division]])</f>
        <v>WOMEN</v>
      </c>
      <c r="I56" s="374" t="str">
        <f>UPPER(TableGiftCards[[#This Row],[Description]])</f>
        <v>LONGEST DRIVE    </v>
      </c>
    </row>
    <row r="57" spans="1:9" s="375" customFormat="1" ht="26.1" customHeight="1">
      <c r="A57" s="369">
        <v>56</v>
      </c>
      <c r="B57" s="370" t="str">
        <f>IF(OR(TableGiftCards[[#This Row],[Division]]&lt;&gt;"",TableGiftCards[[#This Row],[Description]]&lt;&gt;"",TableGiftCards[[#This Row],[Prize]]&lt;&gt;0),'Defaults and Lookup Lists'!$B$2,"")</f>
        <v/>
      </c>
      <c r="C57" s="371"/>
      <c r="D57" s="371"/>
      <c r="E57" s="372"/>
      <c r="F57" s="373"/>
      <c r="G57" s="374" t="str">
        <f>UPPER(TableGiftCards[[#This Row],[Tournament]])</f>
        <v/>
      </c>
      <c r="H57" s="374" t="str">
        <f>UPPER(TableGiftCards[[#This Row],[Division]])</f>
        <v/>
      </c>
      <c r="I57" s="374" t="str">
        <f>UPPER(TableGiftCards[[#This Row],[Description]])</f>
        <v/>
      </c>
    </row>
    <row r="58" spans="1:9" s="375" customFormat="1" ht="26.1" customHeight="1">
      <c r="A58" s="369">
        <v>57</v>
      </c>
      <c r="B58" s="370" t="str">
        <f>IF(OR(TableGiftCards[[#This Row],[Division]]&lt;&gt;"",TableGiftCards[[#This Row],[Description]]&lt;&gt;"",TableGiftCards[[#This Row],[Prize]]&lt;&gt;0),'Defaults and Lookup Lists'!$B$2,"")</f>
        <v/>
      </c>
      <c r="C58" s="371"/>
      <c r="D58" s="371"/>
      <c r="E58" s="372"/>
      <c r="F58" s="373"/>
      <c r="G58" s="374" t="str">
        <f>UPPER(TableGiftCards[[#This Row],[Tournament]])</f>
        <v/>
      </c>
      <c r="H58" s="374" t="str">
        <f>UPPER(TableGiftCards[[#This Row],[Division]])</f>
        <v/>
      </c>
      <c r="I58" s="374" t="str">
        <f>UPPER(TableGiftCards[[#This Row],[Description]])</f>
        <v/>
      </c>
    </row>
    <row r="59" spans="1:9" s="375" customFormat="1" ht="26.1" customHeight="1">
      <c r="A59" s="369">
        <v>58</v>
      </c>
      <c r="B59" s="370" t="str">
        <f>IF(OR(TableGiftCards[[#This Row],[Division]]&lt;&gt;"",TableGiftCards[[#This Row],[Description]]&lt;&gt;"",TableGiftCards[[#This Row],[Prize]]&lt;&gt;0),'Defaults and Lookup Lists'!$B$2,"")</f>
        <v/>
      </c>
      <c r="C59" s="371"/>
      <c r="D59" s="371"/>
      <c r="E59" s="372"/>
      <c r="F59" s="373"/>
      <c r="G59" s="374" t="str">
        <f>UPPER(TableGiftCards[[#This Row],[Tournament]])</f>
        <v/>
      </c>
      <c r="H59" s="374" t="str">
        <f>UPPER(TableGiftCards[[#This Row],[Division]])</f>
        <v/>
      </c>
      <c r="I59" s="374" t="str">
        <f>UPPER(TableGiftCards[[#This Row],[Description]])</f>
        <v/>
      </c>
    </row>
    <row r="60" spans="1:9" s="375" customFormat="1" ht="9.9499999999999993" customHeight="1">
      <c r="A60" s="376"/>
      <c r="B60" s="370" t="str">
        <f>IF(OR(TableGiftCards[[#This Row],[Division]]&lt;&gt;"",TableGiftCards[[#This Row],[Description]]&lt;&gt;"",TableGiftCards[[#This Row],[Prize]]&lt;&gt;0),'Defaults and Lookup Lists'!$B$2,"")</f>
        <v/>
      </c>
      <c r="C60" s="371"/>
      <c r="D60" s="371"/>
      <c r="E60" s="372"/>
      <c r="F60" s="373"/>
      <c r="G60" s="374" t="str">
        <f>UPPER(TableGiftCards[[#This Row],[Tournament]])</f>
        <v/>
      </c>
      <c r="H60" s="374" t="str">
        <f>UPPER(TableGiftCards[[#This Row],[Division]])</f>
        <v/>
      </c>
      <c r="I60" s="374" t="str">
        <f>UPPER(TableGiftCards[[#This Row],[Description]])</f>
        <v/>
      </c>
    </row>
  </sheetData>
  <sheetProtection sheet="1" formatCells="0" formatColumns="0" formatRows="0" insertColumns="0" insertRows="0" insertHyperlinks="0" deleteColumns="0" deleteRows="0" selectLockedCells="1" sort="0" autoFilter="0" pivotTables="0"/>
  <dataValidations count="2">
    <dataValidation type="list" allowBlank="1" showInputMessage="1" showErrorMessage="1" sqref="C2:C60">
      <formula1>PopUpFlights</formula1>
    </dataValidation>
    <dataValidation type="list" allowBlank="1" showInputMessage="1" showErrorMessage="1" sqref="D2:D60">
      <formula1>PopUpGiftCards</formula1>
    </dataValidation>
  </dataValidations>
  <pageMargins left="0.75" right="0.75" top="1" bottom="1" header="0.5" footer="0.5"/>
  <pageSetup orientation="portrait" horizontalDpi="4294967292" verticalDpi="4294967292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Y101"/>
  <sheetViews>
    <sheetView showGridLines="0" workbookViewId="0">
      <pane xSplit="1" ySplit="3" topLeftCell="B4" activePane="bottomRight" state="frozenSplit"/>
      <selection activeCell="C11" sqref="C11"/>
      <selection pane="topRight" activeCell="C11" sqref="C11"/>
      <selection pane="bottomLeft" activeCell="C11" sqref="C11"/>
      <selection pane="bottomRight" activeCell="E8" sqref="E8"/>
    </sheetView>
  </sheetViews>
  <sheetFormatPr defaultColWidth="10.6640625" defaultRowHeight="18"/>
  <cols>
    <col min="1" max="1" width="25" style="400" customWidth="1"/>
    <col min="2" max="2" width="6.88671875" style="401" customWidth="1"/>
    <col min="3" max="3" width="10.88671875" style="402" customWidth="1"/>
    <col min="4" max="4" width="10.88671875" style="403" customWidth="1"/>
    <col min="5" max="5" width="10.88671875" style="401" customWidth="1"/>
    <col min="6" max="7" width="10.88671875" style="402" customWidth="1"/>
    <col min="8" max="8" width="23.88671875" style="402" customWidth="1"/>
    <col min="9" max="10" width="10.88671875" style="401" customWidth="1"/>
    <col min="11" max="11" width="12.88671875" style="403" customWidth="1"/>
    <col min="12" max="12" width="12.88671875" style="393" customWidth="1"/>
    <col min="13" max="13" width="5.109375" style="375" customWidth="1"/>
    <col min="14" max="14" width="11.44140625" style="375" customWidth="1"/>
    <col min="15" max="16384" width="10.6640625" style="375"/>
  </cols>
  <sheetData>
    <row r="1" spans="1:13" ht="33.950000000000003" customHeight="1">
      <c r="A1" s="380"/>
      <c r="B1" s="405" t="s">
        <v>115</v>
      </c>
      <c r="C1" s="405"/>
      <c r="D1" s="405"/>
      <c r="E1" s="405"/>
      <c r="F1" s="405"/>
      <c r="G1" s="405"/>
      <c r="H1" s="381"/>
      <c r="I1" s="381"/>
      <c r="J1" s="382"/>
      <c r="K1" s="383" t="s">
        <v>117</v>
      </c>
      <c r="L1" s="384"/>
    </row>
    <row r="2" spans="1:13" ht="33.950000000000003" customHeight="1" thickBot="1">
      <c r="A2" s="385"/>
      <c r="B2" s="406" t="s">
        <v>153</v>
      </c>
      <c r="C2" s="406"/>
      <c r="D2" s="406"/>
      <c r="E2" s="406"/>
      <c r="F2" s="406"/>
      <c r="G2" s="406"/>
      <c r="H2" s="386"/>
      <c r="I2" s="386"/>
      <c r="J2" s="386"/>
      <c r="K2" s="248" t="s">
        <v>106</v>
      </c>
      <c r="L2" s="166">
        <f>VLOOKUP(K2,'Course Information'!A3:W13,23,FALSE)</f>
        <v>130</v>
      </c>
    </row>
    <row r="3" spans="1:13" s="103" customFormat="1" ht="42.95" customHeight="1">
      <c r="A3" s="245" t="s">
        <v>16</v>
      </c>
      <c r="B3" s="246" t="s">
        <v>85</v>
      </c>
      <c r="C3" s="170" t="s">
        <v>86</v>
      </c>
      <c r="D3" s="246" t="s">
        <v>87</v>
      </c>
      <c r="E3" s="246" t="s">
        <v>88</v>
      </c>
      <c r="F3" s="170" t="s">
        <v>89</v>
      </c>
      <c r="G3" s="170" t="s">
        <v>90</v>
      </c>
      <c r="H3" s="170" t="s">
        <v>91</v>
      </c>
      <c r="I3" s="246" t="s">
        <v>99</v>
      </c>
      <c r="J3" s="246" t="s">
        <v>100</v>
      </c>
      <c r="K3" s="246" t="s">
        <v>101</v>
      </c>
      <c r="L3" s="170" t="s">
        <v>116</v>
      </c>
    </row>
    <row r="4" spans="1:13" ht="21.95" customHeight="1">
      <c r="A4" s="387" t="s">
        <v>21</v>
      </c>
      <c r="B4" s="388"/>
      <c r="C4" s="389" t="str">
        <f t="shared" ref="C4:C35" si="0">PROPER(TRIM(IF(ISERROR(FIND(",",A4,1)),A4,MID(A4,FIND(",",A4,1)+1,
IF(ISERROR(FIND(" ",A4,FIND(",",A4,1)+2)),LEN(A4),
FIND(" ",A4,FIND(",",A4,1)+2))-FIND(",",A4,1)))))</f>
        <v>Kathy</v>
      </c>
      <c r="D4" s="390"/>
      <c r="E4" s="388"/>
      <c r="F4" s="389" t="str">
        <f t="shared" ref="F4:F35" si="1">PROPER(LEFT(A4,IF(ISERROR(FIND(",",A4,1)),LEN(A4),FIND(",",A4,1)-1)))</f>
        <v>Brust</v>
      </c>
      <c r="G4" s="389" t="str">
        <f t="shared" ref="G4:G24" si="2">PROPER(TRIM(RIGHT(A4,LEN(A4)-IF(ISERROR(FIND(" ",A4,
FIND(" ",A4,FIND(",",A4,1)+2))),LEN(A4),
FIND(" ",A4,FIND(" ",A4,FIND(",",A4,1)+2))-1))))</f>
        <v/>
      </c>
      <c r="H4" s="389" t="str">
        <f t="shared" ref="H4:H35" si="3">PROPER(SUBSTITUTE(TRIM(B4 &amp; " "&amp; C4 &amp; " " &amp; D4 &amp; " " &amp; IF(LEN(C4)=1," ", IF(LEN(E4)=0,"",IF(C4=E4," ","("&amp;E4&amp;")"))) &amp; " " &amp; F4 &amp; " " &amp; G4), " ", " "))</f>
        <v>Kathy Brust</v>
      </c>
      <c r="I4" s="388" t="s">
        <v>98</v>
      </c>
      <c r="J4" s="388" t="str">
        <f>IF(TableNameLookup[[#This Row],[FULL NAME IMPORTED]]&lt;&gt;"",'Defaults and Lookup Lists'!$D$6,"")</f>
        <v>Turtleback</v>
      </c>
      <c r="K4" s="391">
        <v>34</v>
      </c>
      <c r="L4" s="392">
        <f t="shared" ref="L4:L35" si="4">IFERROR(ROUND((K4*$L$2)/113,0),"")</f>
        <v>39</v>
      </c>
      <c r="M4" s="393">
        <v>1</v>
      </c>
    </row>
    <row r="5" spans="1:13" ht="21.95" customHeight="1">
      <c r="A5" s="387" t="s">
        <v>23</v>
      </c>
      <c r="B5" s="388"/>
      <c r="C5" s="389" t="str">
        <f t="shared" si="0"/>
        <v>Kathy</v>
      </c>
      <c r="D5" s="390"/>
      <c r="E5" s="388"/>
      <c r="F5" s="389" t="str">
        <f t="shared" si="1"/>
        <v>Buckwheat</v>
      </c>
      <c r="G5" s="389" t="str">
        <f t="shared" si="2"/>
        <v/>
      </c>
      <c r="H5" s="389" t="str">
        <f t="shared" si="3"/>
        <v>Kathy Buckwheat</v>
      </c>
      <c r="I5" s="388" t="s">
        <v>98</v>
      </c>
      <c r="J5" s="388" t="str">
        <f>IF(TableNameLookup[[#This Row],[FULL NAME IMPORTED]]&lt;&gt;"",'Defaults and Lookup Lists'!$D$6,"")</f>
        <v>Turtleback</v>
      </c>
      <c r="K5" s="391">
        <v>25</v>
      </c>
      <c r="L5" s="392">
        <f t="shared" si="4"/>
        <v>29</v>
      </c>
      <c r="M5" s="393">
        <v>2</v>
      </c>
    </row>
    <row r="6" spans="1:13" ht="21.95" customHeight="1">
      <c r="A6" s="387" t="s">
        <v>29</v>
      </c>
      <c r="B6" s="388"/>
      <c r="C6" s="389" t="str">
        <f t="shared" si="0"/>
        <v>Mary</v>
      </c>
      <c r="D6" s="390"/>
      <c r="E6" s="388"/>
      <c r="F6" s="389" t="str">
        <f t="shared" si="1"/>
        <v>Cuskey</v>
      </c>
      <c r="G6" s="389" t="str">
        <f t="shared" si="2"/>
        <v/>
      </c>
      <c r="H6" s="389" t="str">
        <f t="shared" si="3"/>
        <v>Mary Cuskey</v>
      </c>
      <c r="I6" s="388" t="s">
        <v>98</v>
      </c>
      <c r="J6" s="388" t="str">
        <f>IF(TableNameLookup[[#This Row],[FULL NAME IMPORTED]]&lt;&gt;"",'Defaults and Lookup Lists'!$D$6,"")</f>
        <v>Turtleback</v>
      </c>
      <c r="K6" s="391">
        <v>40</v>
      </c>
      <c r="L6" s="392">
        <f t="shared" si="4"/>
        <v>46</v>
      </c>
      <c r="M6" s="393">
        <v>3</v>
      </c>
    </row>
    <row r="7" spans="1:13" ht="21.95" customHeight="1">
      <c r="A7" s="387" t="s">
        <v>36</v>
      </c>
      <c r="B7" s="388"/>
      <c r="C7" s="389" t="str">
        <f t="shared" si="0"/>
        <v>Vicky</v>
      </c>
      <c r="D7" s="390"/>
      <c r="E7" s="388"/>
      <c r="F7" s="389" t="str">
        <f t="shared" si="1"/>
        <v>Haley</v>
      </c>
      <c r="G7" s="389" t="str">
        <f t="shared" si="2"/>
        <v/>
      </c>
      <c r="H7" s="389" t="str">
        <f t="shared" si="3"/>
        <v>Vicky Haley</v>
      </c>
      <c r="I7" s="388" t="s">
        <v>98</v>
      </c>
      <c r="J7" s="388" t="str">
        <f>IF(TableNameLookup[[#This Row],[FULL NAME IMPORTED]]&lt;&gt;"",'Defaults and Lookup Lists'!$D$6,"")</f>
        <v>Turtleback</v>
      </c>
      <c r="K7" s="391">
        <v>23</v>
      </c>
      <c r="L7" s="392">
        <f t="shared" si="4"/>
        <v>26</v>
      </c>
      <c r="M7" s="393">
        <v>4</v>
      </c>
    </row>
    <row r="8" spans="1:13" ht="21.95" customHeight="1">
      <c r="A8" s="387" t="s">
        <v>42</v>
      </c>
      <c r="B8" s="388"/>
      <c r="C8" s="389" t="str">
        <f t="shared" si="0"/>
        <v>Laurie</v>
      </c>
      <c r="D8" s="390"/>
      <c r="E8" s="388"/>
      <c r="F8" s="389" t="str">
        <f t="shared" si="1"/>
        <v>Houghton</v>
      </c>
      <c r="G8" s="389" t="str">
        <f t="shared" si="2"/>
        <v/>
      </c>
      <c r="H8" s="389" t="str">
        <f t="shared" si="3"/>
        <v>Laurie Houghton</v>
      </c>
      <c r="I8" s="388" t="s">
        <v>98</v>
      </c>
      <c r="J8" s="388" t="str">
        <f>IF(TableNameLookup[[#This Row],[FULL NAME IMPORTED]]&lt;&gt;"",'Defaults and Lookup Lists'!$D$6,"")</f>
        <v>Turtleback</v>
      </c>
      <c r="K8" s="391">
        <v>17</v>
      </c>
      <c r="L8" s="392">
        <f t="shared" si="4"/>
        <v>20</v>
      </c>
      <c r="M8" s="393">
        <v>5</v>
      </c>
    </row>
    <row r="9" spans="1:13" ht="21.95" customHeight="1">
      <c r="A9" s="387" t="s">
        <v>46</v>
      </c>
      <c r="B9" s="388"/>
      <c r="C9" s="389" t="str">
        <f t="shared" si="0"/>
        <v>Barb</v>
      </c>
      <c r="D9" s="390"/>
      <c r="E9" s="388"/>
      <c r="F9" s="389" t="str">
        <f t="shared" si="1"/>
        <v>Johnson</v>
      </c>
      <c r="G9" s="389" t="str">
        <f t="shared" si="2"/>
        <v/>
      </c>
      <c r="H9" s="389" t="str">
        <f t="shared" si="3"/>
        <v>Barb Johnson</v>
      </c>
      <c r="I9" s="388" t="s">
        <v>98</v>
      </c>
      <c r="J9" s="388" t="str">
        <f>IF(TableNameLookup[[#This Row],[FULL NAME IMPORTED]]&lt;&gt;"",'Defaults and Lookup Lists'!$D$6,"")</f>
        <v>Turtleback</v>
      </c>
      <c r="K9" s="391">
        <v>32</v>
      </c>
      <c r="L9" s="392">
        <f t="shared" si="4"/>
        <v>37</v>
      </c>
      <c r="M9" s="393">
        <v>6</v>
      </c>
    </row>
    <row r="10" spans="1:13" ht="21.95" customHeight="1">
      <c r="A10" s="387" t="s">
        <v>51</v>
      </c>
      <c r="B10" s="388"/>
      <c r="C10" s="389" t="str">
        <f t="shared" si="0"/>
        <v>Janet</v>
      </c>
      <c r="D10" s="390"/>
      <c r="E10" s="388"/>
      <c r="F10" s="389" t="str">
        <f t="shared" si="1"/>
        <v>Knutson</v>
      </c>
      <c r="G10" s="389" t="str">
        <f t="shared" si="2"/>
        <v/>
      </c>
      <c r="H10" s="389" t="str">
        <f t="shared" si="3"/>
        <v>Janet Knutson</v>
      </c>
      <c r="I10" s="388" t="s">
        <v>98</v>
      </c>
      <c r="J10" s="388" t="str">
        <f>IF(TableNameLookup[[#This Row],[FULL NAME IMPORTED]]&lt;&gt;"",'Defaults and Lookup Lists'!$D$6,"")</f>
        <v>Turtleback</v>
      </c>
      <c r="K10" s="391">
        <v>30</v>
      </c>
      <c r="L10" s="392">
        <f t="shared" si="4"/>
        <v>35</v>
      </c>
      <c r="M10" s="393">
        <v>7</v>
      </c>
    </row>
    <row r="11" spans="1:13" ht="21.95" customHeight="1">
      <c r="A11" s="387" t="s">
        <v>57</v>
      </c>
      <c r="B11" s="388"/>
      <c r="C11" s="389" t="str">
        <f t="shared" si="0"/>
        <v>Danielle</v>
      </c>
      <c r="D11" s="390"/>
      <c r="E11" s="388"/>
      <c r="F11" s="389" t="str">
        <f t="shared" si="1"/>
        <v>Lawler</v>
      </c>
      <c r="G11" s="389" t="str">
        <f t="shared" si="2"/>
        <v/>
      </c>
      <c r="H11" s="389" t="str">
        <f t="shared" si="3"/>
        <v>Danielle Lawler</v>
      </c>
      <c r="I11" s="388" t="s">
        <v>98</v>
      </c>
      <c r="J11" s="388" t="str">
        <f>IF(TableNameLookup[[#This Row],[FULL NAME IMPORTED]]&lt;&gt;"",'Defaults and Lookup Lists'!$D$6,"")</f>
        <v>Turtleback</v>
      </c>
      <c r="K11" s="391" t="s">
        <v>151</v>
      </c>
      <c r="L11" s="392" t="str">
        <f t="shared" si="4"/>
        <v/>
      </c>
      <c r="M11" s="393">
        <v>8</v>
      </c>
    </row>
    <row r="12" spans="1:13" ht="21.95" customHeight="1">
      <c r="A12" s="387" t="s">
        <v>61</v>
      </c>
      <c r="B12" s="388"/>
      <c r="C12" s="389" t="str">
        <f t="shared" si="0"/>
        <v>Cheryl</v>
      </c>
      <c r="D12" s="390"/>
      <c r="E12" s="388"/>
      <c r="F12" s="389" t="str">
        <f t="shared" si="1"/>
        <v>Mortensen</v>
      </c>
      <c r="G12" s="389" t="str">
        <f t="shared" si="2"/>
        <v/>
      </c>
      <c r="H12" s="389" t="str">
        <f t="shared" si="3"/>
        <v>Cheryl Mortensen</v>
      </c>
      <c r="I12" s="388" t="s">
        <v>98</v>
      </c>
      <c r="J12" s="388" t="str">
        <f>IF(TableNameLookup[[#This Row],[FULL NAME IMPORTED]]&lt;&gt;"",'Defaults and Lookup Lists'!$D$6,"")</f>
        <v>Turtleback</v>
      </c>
      <c r="K12" s="391">
        <v>26</v>
      </c>
      <c r="L12" s="392">
        <f t="shared" si="4"/>
        <v>30</v>
      </c>
      <c r="M12" s="393">
        <v>9</v>
      </c>
    </row>
    <row r="13" spans="1:13" ht="21.95" customHeight="1">
      <c r="A13" s="387" t="s">
        <v>68</v>
      </c>
      <c r="B13" s="388"/>
      <c r="C13" s="389" t="str">
        <f t="shared" si="0"/>
        <v>Diane</v>
      </c>
      <c r="D13" s="390"/>
      <c r="E13" s="388"/>
      <c r="F13" s="389" t="str">
        <f t="shared" si="1"/>
        <v>Rowe</v>
      </c>
      <c r="G13" s="389" t="str">
        <f t="shared" si="2"/>
        <v/>
      </c>
      <c r="H13" s="389" t="str">
        <f t="shared" si="3"/>
        <v>Diane Rowe</v>
      </c>
      <c r="I13" s="388" t="s">
        <v>98</v>
      </c>
      <c r="J13" s="388" t="str">
        <f>IF(TableNameLookup[[#This Row],[FULL NAME IMPORTED]]&lt;&gt;"",'Defaults and Lookup Lists'!$D$6,"")</f>
        <v>Turtleback</v>
      </c>
      <c r="K13" s="391">
        <v>36</v>
      </c>
      <c r="L13" s="392">
        <f t="shared" si="4"/>
        <v>41</v>
      </c>
      <c r="M13" s="393">
        <v>10</v>
      </c>
    </row>
    <row r="14" spans="1:13" ht="21.95" customHeight="1">
      <c r="A14" s="387" t="s">
        <v>17</v>
      </c>
      <c r="B14" s="388"/>
      <c r="C14" s="389" t="str">
        <f t="shared" si="0"/>
        <v>Fred</v>
      </c>
      <c r="D14" s="390"/>
      <c r="E14" s="388"/>
      <c r="F14" s="389" t="str">
        <f t="shared" si="1"/>
        <v>Anderson</v>
      </c>
      <c r="G14" s="389" t="str">
        <f t="shared" si="2"/>
        <v/>
      </c>
      <c r="H14" s="389" t="str">
        <f t="shared" si="3"/>
        <v>Fred Anderson</v>
      </c>
      <c r="I14" s="388" t="s">
        <v>97</v>
      </c>
      <c r="J14" s="388" t="str">
        <f>IF(TableNameLookup[[#This Row],[FULL NAME IMPORTED]]&lt;&gt;"",'Defaults and Lookup Lists'!$D$6,"")</f>
        <v>Turtleback</v>
      </c>
      <c r="K14" s="391">
        <v>17</v>
      </c>
      <c r="L14" s="392">
        <f t="shared" si="4"/>
        <v>20</v>
      </c>
      <c r="M14" s="393">
        <v>11</v>
      </c>
    </row>
    <row r="15" spans="1:13" ht="21.95" customHeight="1">
      <c r="A15" s="387" t="s">
        <v>18</v>
      </c>
      <c r="B15" s="388"/>
      <c r="C15" s="389" t="str">
        <f t="shared" si="0"/>
        <v>Jim</v>
      </c>
      <c r="D15" s="390"/>
      <c r="E15" s="388"/>
      <c r="F15" s="389" t="str">
        <f t="shared" si="1"/>
        <v>Barron</v>
      </c>
      <c r="G15" s="389" t="str">
        <f t="shared" si="2"/>
        <v/>
      </c>
      <c r="H15" s="389" t="str">
        <f t="shared" si="3"/>
        <v>Jim Barron</v>
      </c>
      <c r="I15" s="388" t="s">
        <v>97</v>
      </c>
      <c r="J15" s="388" t="str">
        <f>IF(TableNameLookup[[#This Row],[FULL NAME IMPORTED]]&lt;&gt;"",'Defaults and Lookup Lists'!$D$6,"")</f>
        <v>Turtleback</v>
      </c>
      <c r="K15" s="391">
        <v>11</v>
      </c>
      <c r="L15" s="392">
        <f t="shared" si="4"/>
        <v>13</v>
      </c>
      <c r="M15" s="393">
        <v>12</v>
      </c>
    </row>
    <row r="16" spans="1:13" ht="21.95" customHeight="1">
      <c r="A16" s="387" t="s">
        <v>19</v>
      </c>
      <c r="B16" s="388"/>
      <c r="C16" s="389" t="str">
        <f t="shared" si="0"/>
        <v>Steve</v>
      </c>
      <c r="D16" s="390"/>
      <c r="E16" s="388"/>
      <c r="F16" s="389" t="str">
        <f t="shared" si="1"/>
        <v>Bowman</v>
      </c>
      <c r="G16" s="389" t="str">
        <f t="shared" si="2"/>
        <v/>
      </c>
      <c r="H16" s="389" t="str">
        <f t="shared" si="3"/>
        <v>Steve Bowman</v>
      </c>
      <c r="I16" s="388" t="s">
        <v>97</v>
      </c>
      <c r="J16" s="388" t="str">
        <f>IF(TableNameLookup[[#This Row],[FULL NAME IMPORTED]]&lt;&gt;"",'Defaults and Lookup Lists'!$D$6,"")</f>
        <v>Turtleback</v>
      </c>
      <c r="K16" s="391">
        <v>9</v>
      </c>
      <c r="L16" s="392">
        <f t="shared" si="4"/>
        <v>10</v>
      </c>
      <c r="M16" s="393">
        <v>13</v>
      </c>
    </row>
    <row r="17" spans="1:13" ht="21.95" customHeight="1">
      <c r="A17" s="387" t="s">
        <v>20</v>
      </c>
      <c r="B17" s="388"/>
      <c r="C17" s="389" t="str">
        <f t="shared" si="0"/>
        <v>Don</v>
      </c>
      <c r="D17" s="390"/>
      <c r="E17" s="388"/>
      <c r="F17" s="389" t="str">
        <f t="shared" si="1"/>
        <v>Breitzman</v>
      </c>
      <c r="G17" s="389" t="str">
        <f t="shared" si="2"/>
        <v/>
      </c>
      <c r="H17" s="389" t="str">
        <f t="shared" si="3"/>
        <v>Don Breitzman</v>
      </c>
      <c r="I17" s="388" t="s">
        <v>97</v>
      </c>
      <c r="J17" s="388" t="str">
        <f>IF(TableNameLookup[[#This Row],[FULL NAME IMPORTED]]&lt;&gt;"",'Defaults and Lookup Lists'!$D$6,"")</f>
        <v>Turtleback</v>
      </c>
      <c r="K17" s="391">
        <v>13</v>
      </c>
      <c r="L17" s="392">
        <f t="shared" si="4"/>
        <v>15</v>
      </c>
      <c r="M17" s="393">
        <v>14</v>
      </c>
    </row>
    <row r="18" spans="1:13" ht="21.95" customHeight="1">
      <c r="A18" s="387" t="s">
        <v>22</v>
      </c>
      <c r="B18" s="388"/>
      <c r="C18" s="389" t="str">
        <f t="shared" si="0"/>
        <v>Vern</v>
      </c>
      <c r="D18" s="390"/>
      <c r="E18" s="388"/>
      <c r="F18" s="389" t="str">
        <f t="shared" si="1"/>
        <v>Brust</v>
      </c>
      <c r="G18" s="389" t="str">
        <f t="shared" si="2"/>
        <v/>
      </c>
      <c r="H18" s="389" t="str">
        <f t="shared" si="3"/>
        <v>Vern Brust</v>
      </c>
      <c r="I18" s="388" t="s">
        <v>97</v>
      </c>
      <c r="J18" s="388" t="str">
        <f>IF(TableNameLookup[[#This Row],[FULL NAME IMPORTED]]&lt;&gt;"",'Defaults and Lookup Lists'!$D$6,"")</f>
        <v>Turtleback</v>
      </c>
      <c r="K18" s="391">
        <v>24</v>
      </c>
      <c r="L18" s="392">
        <f t="shared" si="4"/>
        <v>28</v>
      </c>
      <c r="M18" s="393">
        <v>15</v>
      </c>
    </row>
    <row r="19" spans="1:13" ht="21.95" customHeight="1">
      <c r="A19" s="387" t="s">
        <v>24</v>
      </c>
      <c r="B19" s="388"/>
      <c r="C19" s="389" t="str">
        <f t="shared" si="0"/>
        <v>Brent</v>
      </c>
      <c r="D19" s="390"/>
      <c r="E19" s="388"/>
      <c r="F19" s="389" t="str">
        <f t="shared" si="1"/>
        <v>Burns</v>
      </c>
      <c r="G19" s="389" t="str">
        <f t="shared" si="2"/>
        <v/>
      </c>
      <c r="H19" s="389" t="str">
        <f t="shared" si="3"/>
        <v>Brent Burns</v>
      </c>
      <c r="I19" s="388" t="s">
        <v>97</v>
      </c>
      <c r="J19" s="388" t="str">
        <f>IF(TableNameLookup[[#This Row],[FULL NAME IMPORTED]]&lt;&gt;"",'Defaults and Lookup Lists'!$D$6,"")</f>
        <v>Turtleback</v>
      </c>
      <c r="K19" s="391">
        <v>8</v>
      </c>
      <c r="L19" s="392">
        <f t="shared" si="4"/>
        <v>9</v>
      </c>
      <c r="M19" s="393">
        <v>16</v>
      </c>
    </row>
    <row r="20" spans="1:13" ht="21.95" customHeight="1">
      <c r="A20" s="387" t="s">
        <v>25</v>
      </c>
      <c r="B20" s="388"/>
      <c r="C20" s="389" t="str">
        <f t="shared" si="0"/>
        <v>Bruce</v>
      </c>
      <c r="D20" s="390"/>
      <c r="E20" s="388"/>
      <c r="F20" s="389" t="str">
        <f t="shared" si="1"/>
        <v>Crotteau</v>
      </c>
      <c r="G20" s="389" t="str">
        <f t="shared" si="2"/>
        <v/>
      </c>
      <c r="H20" s="389" t="str">
        <f t="shared" si="3"/>
        <v>Bruce Crotteau</v>
      </c>
      <c r="I20" s="388" t="s">
        <v>97</v>
      </c>
      <c r="J20" s="388" t="str">
        <f>IF(TableNameLookup[[#This Row],[FULL NAME IMPORTED]]&lt;&gt;"",'Defaults and Lookup Lists'!$D$6,"")</f>
        <v>Turtleback</v>
      </c>
      <c r="K20" s="391">
        <v>1</v>
      </c>
      <c r="L20" s="392">
        <f t="shared" si="4"/>
        <v>1</v>
      </c>
      <c r="M20" s="393">
        <v>17</v>
      </c>
    </row>
    <row r="21" spans="1:13" ht="21.95" customHeight="1">
      <c r="A21" s="387" t="s">
        <v>26</v>
      </c>
      <c r="B21" s="388"/>
      <c r="C21" s="389" t="str">
        <f t="shared" si="0"/>
        <v>Steve</v>
      </c>
      <c r="D21" s="390"/>
      <c r="E21" s="388"/>
      <c r="F21" s="389" t="str">
        <f t="shared" si="1"/>
        <v>Crotteau</v>
      </c>
      <c r="G21" s="389" t="str">
        <f t="shared" si="2"/>
        <v/>
      </c>
      <c r="H21" s="389" t="str">
        <f t="shared" si="3"/>
        <v>Steve Crotteau</v>
      </c>
      <c r="I21" s="388" t="s">
        <v>97</v>
      </c>
      <c r="J21" s="388" t="str">
        <f>IF(TableNameLookup[[#This Row],[FULL NAME IMPORTED]]&lt;&gt;"",'Defaults and Lookup Lists'!$D$6,"")</f>
        <v>Turtleback</v>
      </c>
      <c r="K21" s="391">
        <v>5</v>
      </c>
      <c r="L21" s="392">
        <f t="shared" si="4"/>
        <v>6</v>
      </c>
      <c r="M21" s="393">
        <v>18</v>
      </c>
    </row>
    <row r="22" spans="1:13" ht="21.95" customHeight="1">
      <c r="A22" s="387" t="s">
        <v>27</v>
      </c>
      <c r="B22" s="388"/>
      <c r="C22" s="389" t="str">
        <f t="shared" si="0"/>
        <v>Dan</v>
      </c>
      <c r="D22" s="390"/>
      <c r="E22" s="388"/>
      <c r="F22" s="389" t="str">
        <f t="shared" si="1"/>
        <v>Cuskey</v>
      </c>
      <c r="G22" s="389" t="str">
        <f t="shared" si="2"/>
        <v/>
      </c>
      <c r="H22" s="389" t="str">
        <f t="shared" si="3"/>
        <v>Dan Cuskey</v>
      </c>
      <c r="I22" s="388" t="s">
        <v>97</v>
      </c>
      <c r="J22" s="388" t="str">
        <f>IF(TableNameLookup[[#This Row],[FULL NAME IMPORTED]]&lt;&gt;"",'Defaults and Lookup Lists'!$D$6,"")</f>
        <v>Turtleback</v>
      </c>
      <c r="K22" s="391">
        <v>9</v>
      </c>
      <c r="L22" s="392">
        <f t="shared" si="4"/>
        <v>10</v>
      </c>
      <c r="M22" s="393">
        <v>19</v>
      </c>
    </row>
    <row r="23" spans="1:13" ht="21.95" customHeight="1">
      <c r="A23" s="387" t="s">
        <v>28</v>
      </c>
      <c r="B23" s="388"/>
      <c r="C23" s="389" t="str">
        <f t="shared" si="0"/>
        <v>Don</v>
      </c>
      <c r="D23" s="390"/>
      <c r="E23" s="388"/>
      <c r="F23" s="389" t="str">
        <f t="shared" si="1"/>
        <v>Cuskey</v>
      </c>
      <c r="G23" s="389" t="str">
        <f t="shared" si="2"/>
        <v>Jr.</v>
      </c>
      <c r="H23" s="389" t="str">
        <f t="shared" si="3"/>
        <v>Don Cuskey Jr.</v>
      </c>
      <c r="I23" s="388" t="s">
        <v>97</v>
      </c>
      <c r="J23" s="388" t="str">
        <f>IF(TableNameLookup[[#This Row],[FULL NAME IMPORTED]]&lt;&gt;"",'Defaults and Lookup Lists'!$D$6,"")</f>
        <v>Turtleback</v>
      </c>
      <c r="K23" s="391">
        <v>7</v>
      </c>
      <c r="L23" s="392">
        <f t="shared" si="4"/>
        <v>8</v>
      </c>
      <c r="M23" s="393">
        <v>20</v>
      </c>
    </row>
    <row r="24" spans="1:13" ht="21.95" customHeight="1">
      <c r="A24" s="387" t="s">
        <v>30</v>
      </c>
      <c r="B24" s="388"/>
      <c r="C24" s="389" t="str">
        <f t="shared" si="0"/>
        <v>Pat</v>
      </c>
      <c r="D24" s="390"/>
      <c r="E24" s="388"/>
      <c r="F24" s="389" t="str">
        <f t="shared" si="1"/>
        <v>Decorah</v>
      </c>
      <c r="G24" s="389" t="str">
        <f t="shared" si="2"/>
        <v/>
      </c>
      <c r="H24" s="389" t="str">
        <f t="shared" si="3"/>
        <v>Pat Decorah</v>
      </c>
      <c r="I24" s="388" t="s">
        <v>97</v>
      </c>
      <c r="J24" s="388" t="str">
        <f>IF(TableNameLookup[[#This Row],[FULL NAME IMPORTED]]&lt;&gt;"",'Defaults and Lookup Lists'!$D$6,"")</f>
        <v>Turtleback</v>
      </c>
      <c r="K24" s="391">
        <v>8</v>
      </c>
      <c r="L24" s="392">
        <f t="shared" si="4"/>
        <v>9</v>
      </c>
      <c r="M24" s="393">
        <v>21</v>
      </c>
    </row>
    <row r="25" spans="1:13" ht="21.95" customHeight="1">
      <c r="A25" s="387" t="s">
        <v>31</v>
      </c>
      <c r="B25" s="388"/>
      <c r="C25" s="389" t="str">
        <f t="shared" si="0"/>
        <v>Dennis</v>
      </c>
      <c r="D25" s="390"/>
      <c r="E25" s="388"/>
      <c r="F25" s="389" t="str">
        <f t="shared" si="1"/>
        <v>Degidio</v>
      </c>
      <c r="G25" s="389"/>
      <c r="H25" s="389" t="str">
        <f t="shared" si="3"/>
        <v>Dennis Degidio</v>
      </c>
      <c r="I25" s="388" t="s">
        <v>97</v>
      </c>
      <c r="J25" s="388" t="str">
        <f>IF(TableNameLookup[[#This Row],[FULL NAME IMPORTED]]&lt;&gt;"",'Defaults and Lookup Lists'!$D$6,"")</f>
        <v>Turtleback</v>
      </c>
      <c r="K25" s="391">
        <v>23</v>
      </c>
      <c r="L25" s="392">
        <f t="shared" si="4"/>
        <v>26</v>
      </c>
      <c r="M25" s="393">
        <v>22</v>
      </c>
    </row>
    <row r="26" spans="1:13" ht="21.95" customHeight="1">
      <c r="A26" s="387" t="s">
        <v>32</v>
      </c>
      <c r="B26" s="388"/>
      <c r="C26" s="389" t="str">
        <f t="shared" si="0"/>
        <v>Jason</v>
      </c>
      <c r="D26" s="390"/>
      <c r="E26" s="388"/>
      <c r="F26" s="389" t="str">
        <f t="shared" si="1"/>
        <v>Derousseau</v>
      </c>
      <c r="G26" s="389" t="str">
        <f t="shared" ref="G26:G39" si="5">PROPER(TRIM(RIGHT(A26,LEN(A26)-IF(ISERROR(FIND(" ",A26,
FIND(" ",A26,FIND(",",A26,1)+2))),LEN(A26),
FIND(" ",A26,FIND(" ",A26,FIND(",",A26,1)+2))-1))))</f>
        <v/>
      </c>
      <c r="H26" s="389" t="str">
        <f t="shared" si="3"/>
        <v>Jason Derousseau</v>
      </c>
      <c r="I26" s="388" t="s">
        <v>97</v>
      </c>
      <c r="J26" s="388" t="str">
        <f>IF(TableNameLookup[[#This Row],[FULL NAME IMPORTED]]&lt;&gt;"",'Defaults and Lookup Lists'!$D$6,"")</f>
        <v>Turtleback</v>
      </c>
      <c r="K26" s="391">
        <v>18</v>
      </c>
      <c r="L26" s="392">
        <f t="shared" si="4"/>
        <v>21</v>
      </c>
      <c r="M26" s="393">
        <v>23</v>
      </c>
    </row>
    <row r="27" spans="1:13" ht="21.95" customHeight="1">
      <c r="A27" s="387" t="s">
        <v>33</v>
      </c>
      <c r="B27" s="388"/>
      <c r="C27" s="389" t="str">
        <f t="shared" si="0"/>
        <v>Travis</v>
      </c>
      <c r="D27" s="390"/>
      <c r="E27" s="388"/>
      <c r="F27" s="389" t="str">
        <f t="shared" si="1"/>
        <v>Emerson</v>
      </c>
      <c r="G27" s="389" t="str">
        <f t="shared" si="5"/>
        <v/>
      </c>
      <c r="H27" s="389" t="str">
        <f t="shared" si="3"/>
        <v>Travis Emerson</v>
      </c>
      <c r="I27" s="388" t="s">
        <v>97</v>
      </c>
      <c r="J27" s="388" t="str">
        <f>IF(TableNameLookup[[#This Row],[FULL NAME IMPORTED]]&lt;&gt;"",'Defaults and Lookup Lists'!$D$6,"")</f>
        <v>Turtleback</v>
      </c>
      <c r="K27" s="391">
        <v>9</v>
      </c>
      <c r="L27" s="392">
        <f t="shared" si="4"/>
        <v>10</v>
      </c>
      <c r="M27" s="393">
        <v>24</v>
      </c>
    </row>
    <row r="28" spans="1:13" ht="21.95" customHeight="1">
      <c r="A28" s="387" t="s">
        <v>34</v>
      </c>
      <c r="B28" s="388"/>
      <c r="C28" s="389" t="str">
        <f t="shared" si="0"/>
        <v>Michael</v>
      </c>
      <c r="D28" s="390"/>
      <c r="E28" s="388"/>
      <c r="F28" s="389" t="str">
        <f t="shared" si="1"/>
        <v>Franson</v>
      </c>
      <c r="G28" s="389" t="str">
        <f t="shared" si="5"/>
        <v/>
      </c>
      <c r="H28" s="389" t="str">
        <f t="shared" si="3"/>
        <v>Michael Franson</v>
      </c>
      <c r="I28" s="388" t="s">
        <v>97</v>
      </c>
      <c r="J28" s="388" t="str">
        <f>IF(TableNameLookup[[#This Row],[FULL NAME IMPORTED]]&lt;&gt;"",'Defaults and Lookup Lists'!$D$6,"")</f>
        <v>Turtleback</v>
      </c>
      <c r="K28" s="391">
        <v>20</v>
      </c>
      <c r="L28" s="392">
        <f t="shared" si="4"/>
        <v>23</v>
      </c>
      <c r="M28" s="393">
        <v>25</v>
      </c>
    </row>
    <row r="29" spans="1:13" ht="21.95" customHeight="1">
      <c r="A29" s="387" t="s">
        <v>35</v>
      </c>
      <c r="B29" s="388"/>
      <c r="C29" s="389" t="str">
        <f t="shared" si="0"/>
        <v>Spencer</v>
      </c>
      <c r="D29" s="390"/>
      <c r="E29" s="388"/>
      <c r="F29" s="389" t="str">
        <f t="shared" si="1"/>
        <v>Golden</v>
      </c>
      <c r="G29" s="389" t="str">
        <f t="shared" si="5"/>
        <v/>
      </c>
      <c r="H29" s="389" t="str">
        <f t="shared" si="3"/>
        <v>Spencer Golden</v>
      </c>
      <c r="I29" s="388" t="s">
        <v>97</v>
      </c>
      <c r="J29" s="388" t="str">
        <f>IF(TableNameLookup[[#This Row],[FULL NAME IMPORTED]]&lt;&gt;"",'Defaults and Lookup Lists'!$D$6,"")</f>
        <v>Turtleback</v>
      </c>
      <c r="K29" s="391">
        <v>4</v>
      </c>
      <c r="L29" s="392">
        <f t="shared" si="4"/>
        <v>5</v>
      </c>
      <c r="M29" s="393">
        <v>26</v>
      </c>
    </row>
    <row r="30" spans="1:13" ht="21.95" customHeight="1">
      <c r="A30" s="387" t="s">
        <v>37</v>
      </c>
      <c r="B30" s="388"/>
      <c r="C30" s="389" t="str">
        <f t="shared" si="0"/>
        <v>Casey</v>
      </c>
      <c r="D30" s="390"/>
      <c r="E30" s="388"/>
      <c r="F30" s="389" t="str">
        <f t="shared" si="1"/>
        <v>Hauck</v>
      </c>
      <c r="G30" s="389" t="str">
        <f t="shared" si="5"/>
        <v/>
      </c>
      <c r="H30" s="389" t="str">
        <f t="shared" si="3"/>
        <v>Casey Hauck</v>
      </c>
      <c r="I30" s="388" t="s">
        <v>97</v>
      </c>
      <c r="J30" s="388" t="str">
        <f>IF(TableNameLookup[[#This Row],[FULL NAME IMPORTED]]&lt;&gt;"",'Defaults and Lookup Lists'!$D$6,"")</f>
        <v>Turtleback</v>
      </c>
      <c r="K30" s="391">
        <v>11</v>
      </c>
      <c r="L30" s="392">
        <f t="shared" si="4"/>
        <v>13</v>
      </c>
      <c r="M30" s="393">
        <v>27</v>
      </c>
    </row>
    <row r="31" spans="1:13" ht="21.95" customHeight="1">
      <c r="A31" s="387" t="s">
        <v>38</v>
      </c>
      <c r="B31" s="388"/>
      <c r="C31" s="389" t="str">
        <f t="shared" si="0"/>
        <v>Pat</v>
      </c>
      <c r="D31" s="390"/>
      <c r="E31" s="388"/>
      <c r="F31" s="389" t="str">
        <f t="shared" si="1"/>
        <v>Havenor</v>
      </c>
      <c r="G31" s="389" t="str">
        <f t="shared" si="5"/>
        <v/>
      </c>
      <c r="H31" s="389" t="str">
        <f t="shared" si="3"/>
        <v>Pat Havenor</v>
      </c>
      <c r="I31" s="388" t="s">
        <v>97</v>
      </c>
      <c r="J31" s="388" t="str">
        <f>IF(TableNameLookup[[#This Row],[FULL NAME IMPORTED]]&lt;&gt;"",'Defaults and Lookup Lists'!$D$6,"")</f>
        <v>Turtleback</v>
      </c>
      <c r="K31" s="391">
        <v>2</v>
      </c>
      <c r="L31" s="392">
        <f t="shared" si="4"/>
        <v>2</v>
      </c>
      <c r="M31" s="393">
        <v>28</v>
      </c>
    </row>
    <row r="32" spans="1:13" ht="21.95" customHeight="1">
      <c r="A32" s="387" t="s">
        <v>39</v>
      </c>
      <c r="B32" s="388"/>
      <c r="C32" s="389" t="str">
        <f t="shared" si="0"/>
        <v>Rock</v>
      </c>
      <c r="D32" s="390"/>
      <c r="E32" s="388"/>
      <c r="F32" s="389" t="str">
        <f t="shared" si="1"/>
        <v>Holmquist</v>
      </c>
      <c r="G32" s="389" t="str">
        <f t="shared" si="5"/>
        <v/>
      </c>
      <c r="H32" s="389" t="str">
        <f t="shared" si="3"/>
        <v>Rock Holmquist</v>
      </c>
      <c r="I32" s="388" t="s">
        <v>97</v>
      </c>
      <c r="J32" s="388" t="str">
        <f>IF(TableNameLookup[[#This Row],[FULL NAME IMPORTED]]&lt;&gt;"",'Defaults and Lookup Lists'!$D$6,"")</f>
        <v>Turtleback</v>
      </c>
      <c r="K32" s="391">
        <v>2</v>
      </c>
      <c r="L32" s="392">
        <f t="shared" si="4"/>
        <v>2</v>
      </c>
      <c r="M32" s="393">
        <v>29</v>
      </c>
    </row>
    <row r="33" spans="1:13" ht="21.95" customHeight="1">
      <c r="A33" s="387" t="s">
        <v>40</v>
      </c>
      <c r="B33" s="388"/>
      <c r="C33" s="389" t="str">
        <f t="shared" si="0"/>
        <v>Steve</v>
      </c>
      <c r="D33" s="390"/>
      <c r="E33" s="388"/>
      <c r="F33" s="389" t="str">
        <f t="shared" si="1"/>
        <v>Hostetler</v>
      </c>
      <c r="G33" s="389" t="str">
        <f t="shared" si="5"/>
        <v/>
      </c>
      <c r="H33" s="389" t="str">
        <f t="shared" si="3"/>
        <v>Steve Hostetler</v>
      </c>
      <c r="I33" s="388" t="s">
        <v>97</v>
      </c>
      <c r="J33" s="388" t="str">
        <f>IF(TableNameLookup[[#This Row],[FULL NAME IMPORTED]]&lt;&gt;"",'Defaults and Lookup Lists'!$D$6,"")</f>
        <v>Turtleback</v>
      </c>
      <c r="K33" s="391">
        <v>17</v>
      </c>
      <c r="L33" s="392">
        <f t="shared" si="4"/>
        <v>20</v>
      </c>
      <c r="M33" s="393">
        <v>30</v>
      </c>
    </row>
    <row r="34" spans="1:13" ht="21.95" customHeight="1">
      <c r="A34" s="387" t="s">
        <v>41</v>
      </c>
      <c r="B34" s="388"/>
      <c r="C34" s="389" t="str">
        <f t="shared" si="0"/>
        <v>Dale</v>
      </c>
      <c r="D34" s="390"/>
      <c r="E34" s="388"/>
      <c r="F34" s="389" t="str">
        <f t="shared" si="1"/>
        <v>Hostettler</v>
      </c>
      <c r="G34" s="389" t="str">
        <f t="shared" si="5"/>
        <v/>
      </c>
      <c r="H34" s="389" t="str">
        <f t="shared" si="3"/>
        <v>Dale Hostettler</v>
      </c>
      <c r="I34" s="388" t="s">
        <v>97</v>
      </c>
      <c r="J34" s="388" t="str">
        <f>IF(TableNameLookup[[#This Row],[FULL NAME IMPORTED]]&lt;&gt;"",'Defaults and Lookup Lists'!$D$6,"")</f>
        <v>Turtleback</v>
      </c>
      <c r="K34" s="391">
        <v>22</v>
      </c>
      <c r="L34" s="392">
        <f t="shared" si="4"/>
        <v>25</v>
      </c>
      <c r="M34" s="393">
        <v>31</v>
      </c>
    </row>
    <row r="35" spans="1:13" ht="21.95" customHeight="1">
      <c r="A35" s="387" t="s">
        <v>126</v>
      </c>
      <c r="B35" s="388"/>
      <c r="C35" s="389" t="str">
        <f t="shared" si="0"/>
        <v>Brad</v>
      </c>
      <c r="D35" s="390"/>
      <c r="E35" s="388"/>
      <c r="F35" s="389" t="str">
        <f t="shared" si="1"/>
        <v>Houghton</v>
      </c>
      <c r="G35" s="389" t="str">
        <f t="shared" si="5"/>
        <v/>
      </c>
      <c r="H35" s="389" t="str">
        <f t="shared" si="3"/>
        <v>Brad Houghton</v>
      </c>
      <c r="I35" s="388" t="s">
        <v>97</v>
      </c>
      <c r="J35" s="388" t="str">
        <f>IF(TableNameLookup[[#This Row],[FULL NAME IMPORTED]]&lt;&gt;"",'Defaults and Lookup Lists'!$D$6,"")</f>
        <v>Turtleback</v>
      </c>
      <c r="K35" s="391">
        <v>3</v>
      </c>
      <c r="L35" s="392">
        <f t="shared" si="4"/>
        <v>3</v>
      </c>
      <c r="M35" s="393">
        <v>32</v>
      </c>
    </row>
    <row r="36" spans="1:13" ht="21.95" customHeight="1">
      <c r="A36" s="387" t="s">
        <v>43</v>
      </c>
      <c r="B36" s="388"/>
      <c r="C36" s="389" t="str">
        <f t="shared" ref="C36:C67" si="6">PROPER(TRIM(IF(ISERROR(FIND(",",A36,1)),A36,MID(A36,FIND(",",A36,1)+1,
IF(ISERROR(FIND(" ",A36,FIND(",",A36,1)+2)),LEN(A36),
FIND(" ",A36,FIND(",",A36,1)+2))-FIND(",",A36,1)))))</f>
        <v>Elliott</v>
      </c>
      <c r="D36" s="390"/>
      <c r="E36" s="388"/>
      <c r="F36" s="389" t="str">
        <f t="shared" ref="F36:F67" si="7">PROPER(LEFT(A36,IF(ISERROR(FIND(",",A36,1)),LEN(A36),FIND(",",A36,1)-1)))</f>
        <v>Jenneman</v>
      </c>
      <c r="G36" s="389" t="str">
        <f t="shared" si="5"/>
        <v/>
      </c>
      <c r="H36" s="389" t="str">
        <f t="shared" ref="H36:H67" si="8">PROPER(SUBSTITUTE(TRIM(B36 &amp; " "&amp; C36 &amp; " " &amp; D36 &amp; " " &amp; IF(LEN(C36)=1," ", IF(LEN(E36)=0,"",IF(C36=E36," ","("&amp;E36&amp;")"))) &amp; " " &amp; F36 &amp; " " &amp; G36), " ", " "))</f>
        <v>Elliott Jenneman</v>
      </c>
      <c r="I36" s="388" t="s">
        <v>97</v>
      </c>
      <c r="J36" s="388" t="str">
        <f>IF(TableNameLookup[[#This Row],[FULL NAME IMPORTED]]&lt;&gt;"",'Defaults and Lookup Lists'!$D$6,"")</f>
        <v>Turtleback</v>
      </c>
      <c r="K36" s="391">
        <v>13</v>
      </c>
      <c r="L36" s="392">
        <f t="shared" ref="L36:L67" si="9">IFERROR(ROUND((K36*$L$2)/113,0),"")</f>
        <v>15</v>
      </c>
      <c r="M36" s="393">
        <v>33</v>
      </c>
    </row>
    <row r="37" spans="1:13" ht="21.95" customHeight="1">
      <c r="A37" s="387" t="s">
        <v>44</v>
      </c>
      <c r="B37" s="388"/>
      <c r="C37" s="389" t="str">
        <f t="shared" si="6"/>
        <v>Dane</v>
      </c>
      <c r="D37" s="390"/>
      <c r="E37" s="388"/>
      <c r="F37" s="389" t="str">
        <f t="shared" si="7"/>
        <v>Jensen</v>
      </c>
      <c r="G37" s="389" t="str">
        <f t="shared" si="5"/>
        <v/>
      </c>
      <c r="H37" s="389" t="str">
        <f t="shared" si="8"/>
        <v>Dane Jensen</v>
      </c>
      <c r="I37" s="388" t="s">
        <v>97</v>
      </c>
      <c r="J37" s="388" t="str">
        <f>IF(TableNameLookup[[#This Row],[FULL NAME IMPORTED]]&lt;&gt;"",'Defaults and Lookup Lists'!$D$6,"")</f>
        <v>Turtleback</v>
      </c>
      <c r="K37" s="391">
        <v>14</v>
      </c>
      <c r="L37" s="392">
        <f t="shared" si="9"/>
        <v>16</v>
      </c>
      <c r="M37" s="393">
        <v>34</v>
      </c>
    </row>
    <row r="38" spans="1:13" ht="21.95" customHeight="1">
      <c r="A38" s="387" t="s">
        <v>45</v>
      </c>
      <c r="B38" s="388"/>
      <c r="C38" s="389" t="str">
        <f t="shared" si="6"/>
        <v>Kyle</v>
      </c>
      <c r="D38" s="390"/>
      <c r="E38" s="388"/>
      <c r="F38" s="389" t="str">
        <f t="shared" si="7"/>
        <v>Jerman</v>
      </c>
      <c r="G38" s="389" t="str">
        <f t="shared" si="5"/>
        <v/>
      </c>
      <c r="H38" s="389" t="str">
        <f t="shared" si="8"/>
        <v>Kyle Jerman</v>
      </c>
      <c r="I38" s="388" t="s">
        <v>97</v>
      </c>
      <c r="J38" s="388" t="str">
        <f>IF(TableNameLookup[[#This Row],[FULL NAME IMPORTED]]&lt;&gt;"",'Defaults and Lookup Lists'!$D$6,"")</f>
        <v>Turtleback</v>
      </c>
      <c r="K38" s="391">
        <v>9</v>
      </c>
      <c r="L38" s="392">
        <f t="shared" si="9"/>
        <v>10</v>
      </c>
      <c r="M38" s="393">
        <v>35</v>
      </c>
    </row>
    <row r="39" spans="1:13" ht="21.95" customHeight="1">
      <c r="A39" s="387" t="s">
        <v>47</v>
      </c>
      <c r="B39" s="388"/>
      <c r="C39" s="389" t="str">
        <f t="shared" si="6"/>
        <v>Dave</v>
      </c>
      <c r="D39" s="390"/>
      <c r="E39" s="388"/>
      <c r="F39" s="389" t="str">
        <f t="shared" si="7"/>
        <v>Johnson</v>
      </c>
      <c r="G39" s="389" t="str">
        <f t="shared" si="5"/>
        <v/>
      </c>
      <c r="H39" s="389" t="str">
        <f t="shared" si="8"/>
        <v>Dave Johnson</v>
      </c>
      <c r="I39" s="388" t="s">
        <v>97</v>
      </c>
      <c r="J39" s="388" t="str">
        <f>IF(TableNameLookup[[#This Row],[FULL NAME IMPORTED]]&lt;&gt;"",'Defaults and Lookup Lists'!$D$6,"")</f>
        <v>Turtleback</v>
      </c>
      <c r="K39" s="391">
        <v>8</v>
      </c>
      <c r="L39" s="392">
        <f t="shared" si="9"/>
        <v>9</v>
      </c>
      <c r="M39" s="393">
        <v>36</v>
      </c>
    </row>
    <row r="40" spans="1:13" ht="21.95" customHeight="1">
      <c r="A40" s="387" t="s">
        <v>48</v>
      </c>
      <c r="B40" s="388"/>
      <c r="C40" s="389" t="str">
        <f t="shared" si="6"/>
        <v>Mark</v>
      </c>
      <c r="D40" s="390"/>
      <c r="E40" s="388"/>
      <c r="F40" s="389" t="str">
        <f t="shared" si="7"/>
        <v>Johnson</v>
      </c>
      <c r="G40" s="389"/>
      <c r="H40" s="389" t="str">
        <f t="shared" si="8"/>
        <v>Mark Johnson</v>
      </c>
      <c r="I40" s="388" t="s">
        <v>97</v>
      </c>
      <c r="J40" s="388" t="str">
        <f>IF(TableNameLookup[[#This Row],[FULL NAME IMPORTED]]&lt;&gt;"",'Defaults and Lookup Lists'!$D$6,"")</f>
        <v>Turtleback</v>
      </c>
      <c r="K40" s="391">
        <v>19</v>
      </c>
      <c r="L40" s="392">
        <f t="shared" si="9"/>
        <v>22</v>
      </c>
      <c r="M40" s="393">
        <v>37</v>
      </c>
    </row>
    <row r="41" spans="1:13" ht="21.95" customHeight="1">
      <c r="A41" s="387" t="s">
        <v>49</v>
      </c>
      <c r="B41" s="388"/>
      <c r="C41" s="389" t="str">
        <f t="shared" si="6"/>
        <v>Mark</v>
      </c>
      <c r="D41" s="390"/>
      <c r="E41" s="388"/>
      <c r="F41" s="389" t="str">
        <f t="shared" si="7"/>
        <v>Johnson</v>
      </c>
      <c r="G41" s="389" t="str">
        <f t="shared" ref="G41:G72" si="10">PROPER(TRIM(RIGHT(A41,LEN(A41)-IF(ISERROR(FIND(" ",A41,
FIND(" ",A41,FIND(",",A41,1)+2))),LEN(A41),
FIND(" ",A41,FIND(" ",A41,FIND(",",A41,1)+2))-1))))</f>
        <v>Sr.</v>
      </c>
      <c r="H41" s="389" t="str">
        <f t="shared" si="8"/>
        <v>Mark Johnson Sr.</v>
      </c>
      <c r="I41" s="388" t="s">
        <v>97</v>
      </c>
      <c r="J41" s="388" t="str">
        <f>IF(TableNameLookup[[#This Row],[FULL NAME IMPORTED]]&lt;&gt;"",'Defaults and Lookup Lists'!$D$6,"")</f>
        <v>Turtleback</v>
      </c>
      <c r="K41" s="391">
        <v>30</v>
      </c>
      <c r="L41" s="392">
        <f t="shared" si="9"/>
        <v>35</v>
      </c>
      <c r="M41" s="393">
        <v>38</v>
      </c>
    </row>
    <row r="42" spans="1:13" ht="21.95" customHeight="1">
      <c r="A42" s="387" t="s">
        <v>50</v>
      </c>
      <c r="B42" s="388"/>
      <c r="C42" s="389" t="str">
        <f t="shared" si="6"/>
        <v>Terry</v>
      </c>
      <c r="D42" s="390"/>
      <c r="E42" s="388"/>
      <c r="F42" s="389" t="str">
        <f t="shared" si="7"/>
        <v>Johnson</v>
      </c>
      <c r="G42" s="389" t="str">
        <f t="shared" si="10"/>
        <v/>
      </c>
      <c r="H42" s="389" t="str">
        <f t="shared" si="8"/>
        <v>Terry Johnson</v>
      </c>
      <c r="I42" s="388" t="s">
        <v>97</v>
      </c>
      <c r="J42" s="388" t="str">
        <f>IF(TableNameLookup[[#This Row],[FULL NAME IMPORTED]]&lt;&gt;"",'Defaults and Lookup Lists'!$D$6,"")</f>
        <v>Turtleback</v>
      </c>
      <c r="K42" s="391">
        <v>14</v>
      </c>
      <c r="L42" s="392">
        <f t="shared" si="9"/>
        <v>16</v>
      </c>
      <c r="M42" s="393">
        <v>39</v>
      </c>
    </row>
    <row r="43" spans="1:13" ht="21.95" customHeight="1">
      <c r="A43" s="387" t="s">
        <v>52</v>
      </c>
      <c r="B43" s="388"/>
      <c r="C43" s="389" t="str">
        <f t="shared" si="6"/>
        <v>Kevin</v>
      </c>
      <c r="D43" s="390"/>
      <c r="E43" s="388"/>
      <c r="F43" s="389" t="str">
        <f t="shared" si="7"/>
        <v>Kolb</v>
      </c>
      <c r="G43" s="389" t="str">
        <f t="shared" si="10"/>
        <v/>
      </c>
      <c r="H43" s="389" t="str">
        <f t="shared" si="8"/>
        <v>Kevin Kolb</v>
      </c>
      <c r="I43" s="388" t="s">
        <v>97</v>
      </c>
      <c r="J43" s="388" t="str">
        <f>IF(TableNameLookup[[#This Row],[FULL NAME IMPORTED]]&lt;&gt;"",'Defaults and Lookup Lists'!$D$6,"")</f>
        <v>Turtleback</v>
      </c>
      <c r="K43" s="391">
        <v>9</v>
      </c>
      <c r="L43" s="392">
        <f t="shared" si="9"/>
        <v>10</v>
      </c>
      <c r="M43" s="393">
        <v>40</v>
      </c>
    </row>
    <row r="44" spans="1:13" ht="21.95" customHeight="1">
      <c r="A44" s="387" t="s">
        <v>53</v>
      </c>
      <c r="B44" s="388"/>
      <c r="C44" s="389" t="str">
        <f t="shared" si="6"/>
        <v>Taylor</v>
      </c>
      <c r="D44" s="390"/>
      <c r="E44" s="388"/>
      <c r="F44" s="389" t="str">
        <f t="shared" si="7"/>
        <v>Koser</v>
      </c>
      <c r="G44" s="389" t="str">
        <f t="shared" si="10"/>
        <v/>
      </c>
      <c r="H44" s="389" t="str">
        <f t="shared" si="8"/>
        <v>Taylor Koser</v>
      </c>
      <c r="I44" s="388" t="s">
        <v>97</v>
      </c>
      <c r="J44" s="388" t="str">
        <f>IF(TableNameLookup[[#This Row],[FULL NAME IMPORTED]]&lt;&gt;"",'Defaults and Lookup Lists'!$D$6,"")</f>
        <v>Turtleback</v>
      </c>
      <c r="K44" s="391">
        <v>4</v>
      </c>
      <c r="L44" s="392">
        <f t="shared" si="9"/>
        <v>5</v>
      </c>
      <c r="M44" s="393">
        <v>41</v>
      </c>
    </row>
    <row r="45" spans="1:13" ht="21.95" customHeight="1">
      <c r="A45" s="387" t="s">
        <v>54</v>
      </c>
      <c r="B45" s="388"/>
      <c r="C45" s="389" t="str">
        <f t="shared" si="6"/>
        <v>Tom</v>
      </c>
      <c r="D45" s="390"/>
      <c r="E45" s="388"/>
      <c r="F45" s="389" t="str">
        <f t="shared" si="7"/>
        <v>Koser</v>
      </c>
      <c r="G45" s="389" t="str">
        <f t="shared" si="10"/>
        <v/>
      </c>
      <c r="H45" s="389" t="str">
        <f t="shared" si="8"/>
        <v>Tom Koser</v>
      </c>
      <c r="I45" s="388" t="s">
        <v>97</v>
      </c>
      <c r="J45" s="388" t="str">
        <f>IF(TableNameLookup[[#This Row],[FULL NAME IMPORTED]]&lt;&gt;"",'Defaults and Lookup Lists'!$D$6,"")</f>
        <v>Turtleback</v>
      </c>
      <c r="K45" s="391">
        <v>11</v>
      </c>
      <c r="L45" s="392">
        <f t="shared" si="9"/>
        <v>13</v>
      </c>
      <c r="M45" s="393">
        <v>42</v>
      </c>
    </row>
    <row r="46" spans="1:13" ht="21.95" customHeight="1">
      <c r="A46" s="387" t="s">
        <v>55</v>
      </c>
      <c r="B46" s="388"/>
      <c r="C46" s="389" t="str">
        <f t="shared" si="6"/>
        <v>Randy</v>
      </c>
      <c r="D46" s="390"/>
      <c r="E46" s="388"/>
      <c r="F46" s="389" t="str">
        <f t="shared" si="7"/>
        <v>Krautkramer</v>
      </c>
      <c r="G46" s="389" t="str">
        <f t="shared" si="10"/>
        <v/>
      </c>
      <c r="H46" s="389" t="str">
        <f t="shared" si="8"/>
        <v>Randy Krautkramer</v>
      </c>
      <c r="I46" s="388" t="s">
        <v>97</v>
      </c>
      <c r="J46" s="388" t="str">
        <f>IF(TableNameLookup[[#This Row],[FULL NAME IMPORTED]]&lt;&gt;"",'Defaults and Lookup Lists'!$D$6,"")</f>
        <v>Turtleback</v>
      </c>
      <c r="K46" s="391">
        <v>17</v>
      </c>
      <c r="L46" s="392">
        <f t="shared" si="9"/>
        <v>20</v>
      </c>
      <c r="M46" s="393">
        <v>43</v>
      </c>
    </row>
    <row r="47" spans="1:13" ht="21.95" customHeight="1">
      <c r="A47" s="387" t="s">
        <v>56</v>
      </c>
      <c r="B47" s="388"/>
      <c r="C47" s="389" t="str">
        <f t="shared" si="6"/>
        <v>Dan</v>
      </c>
      <c r="D47" s="390"/>
      <c r="E47" s="388"/>
      <c r="F47" s="389" t="str">
        <f t="shared" si="7"/>
        <v>Lawler</v>
      </c>
      <c r="G47" s="389" t="str">
        <f t="shared" si="10"/>
        <v/>
      </c>
      <c r="H47" s="389" t="str">
        <f t="shared" si="8"/>
        <v>Dan Lawler</v>
      </c>
      <c r="I47" s="388" t="s">
        <v>97</v>
      </c>
      <c r="J47" s="388" t="str">
        <f>IF(TableNameLookup[[#This Row],[FULL NAME IMPORTED]]&lt;&gt;"",'Defaults and Lookup Lists'!$D$6,"")</f>
        <v>Turtleback</v>
      </c>
      <c r="K47" s="391">
        <v>15</v>
      </c>
      <c r="L47" s="392">
        <f t="shared" si="9"/>
        <v>17</v>
      </c>
      <c r="M47" s="393">
        <v>44</v>
      </c>
    </row>
    <row r="48" spans="1:13" ht="21.95" customHeight="1">
      <c r="A48" s="387" t="s">
        <v>58</v>
      </c>
      <c r="B48" s="388"/>
      <c r="C48" s="389" t="str">
        <f t="shared" si="6"/>
        <v>Dennis</v>
      </c>
      <c r="D48" s="390"/>
      <c r="E48" s="388"/>
      <c r="F48" s="389" t="str">
        <f t="shared" si="7"/>
        <v>Leuthner</v>
      </c>
      <c r="G48" s="389" t="str">
        <f t="shared" si="10"/>
        <v/>
      </c>
      <c r="H48" s="389" t="str">
        <f t="shared" si="8"/>
        <v>Dennis Leuthner</v>
      </c>
      <c r="I48" s="388" t="s">
        <v>97</v>
      </c>
      <c r="J48" s="388" t="str">
        <f>IF(TableNameLookup[[#This Row],[FULL NAME IMPORTED]]&lt;&gt;"",'Defaults and Lookup Lists'!$D$6,"")</f>
        <v>Turtleback</v>
      </c>
      <c r="K48" s="391">
        <v>22</v>
      </c>
      <c r="L48" s="392">
        <f t="shared" si="9"/>
        <v>25</v>
      </c>
      <c r="M48" s="393">
        <v>45</v>
      </c>
    </row>
    <row r="49" spans="1:25" ht="21.95" customHeight="1">
      <c r="A49" s="387" t="s">
        <v>59</v>
      </c>
      <c r="B49" s="388"/>
      <c r="C49" s="389" t="str">
        <f t="shared" si="6"/>
        <v>Aaron</v>
      </c>
      <c r="D49" s="390"/>
      <c r="E49" s="388"/>
      <c r="F49" s="389" t="str">
        <f t="shared" si="7"/>
        <v>Marsh</v>
      </c>
      <c r="G49" s="389" t="str">
        <f t="shared" si="10"/>
        <v/>
      </c>
      <c r="H49" s="389" t="str">
        <f t="shared" si="8"/>
        <v>Aaron Marsh</v>
      </c>
      <c r="I49" s="388" t="s">
        <v>97</v>
      </c>
      <c r="J49" s="388" t="str">
        <f>IF(TableNameLookup[[#This Row],[FULL NAME IMPORTED]]&lt;&gt;"",'Defaults and Lookup Lists'!$D$6,"")</f>
        <v>Turtleback</v>
      </c>
      <c r="K49" s="391">
        <v>4</v>
      </c>
      <c r="L49" s="392">
        <f t="shared" si="9"/>
        <v>5</v>
      </c>
      <c r="M49" s="393">
        <v>46</v>
      </c>
    </row>
    <row r="50" spans="1:25" ht="21.95" customHeight="1">
      <c r="A50" s="387" t="s">
        <v>128</v>
      </c>
      <c r="B50" s="388"/>
      <c r="C50" s="389" t="str">
        <f t="shared" si="6"/>
        <v>Robert</v>
      </c>
      <c r="D50" s="390"/>
      <c r="E50" s="388"/>
      <c r="F50" s="389" t="str">
        <f t="shared" si="7"/>
        <v>Marsh</v>
      </c>
      <c r="G50" s="389" t="str">
        <f t="shared" si="10"/>
        <v/>
      </c>
      <c r="H50" s="389" t="str">
        <f t="shared" si="8"/>
        <v>Robert Marsh</v>
      </c>
      <c r="I50" s="388" t="s">
        <v>97</v>
      </c>
      <c r="J50" s="388" t="str">
        <f>IF(TableNameLookup[[#This Row],[FULL NAME IMPORTED]]&lt;&gt;"",'Defaults and Lookup Lists'!$D$6,"")</f>
        <v>Turtleback</v>
      </c>
      <c r="K50" s="391">
        <v>13</v>
      </c>
      <c r="L50" s="392">
        <f t="shared" si="9"/>
        <v>15</v>
      </c>
      <c r="M50" s="393">
        <v>47</v>
      </c>
    </row>
    <row r="51" spans="1:25" ht="21.95" customHeight="1">
      <c r="A51" s="387" t="s">
        <v>60</v>
      </c>
      <c r="B51" s="388"/>
      <c r="C51" s="389" t="str">
        <f t="shared" si="6"/>
        <v>Ross</v>
      </c>
      <c r="D51" s="390"/>
      <c r="E51" s="388"/>
      <c r="F51" s="389" t="str">
        <f t="shared" si="7"/>
        <v>Mickelson</v>
      </c>
      <c r="G51" s="389" t="str">
        <f t="shared" si="10"/>
        <v/>
      </c>
      <c r="H51" s="389" t="str">
        <f t="shared" si="8"/>
        <v>Ross Mickelson</v>
      </c>
      <c r="I51" s="388" t="s">
        <v>97</v>
      </c>
      <c r="J51" s="388" t="str">
        <f>IF(TableNameLookup[[#This Row],[FULL NAME IMPORTED]]&lt;&gt;"",'Defaults and Lookup Lists'!$D$6,"")</f>
        <v>Turtleback</v>
      </c>
      <c r="K51" s="391">
        <v>0</v>
      </c>
      <c r="L51" s="392">
        <f t="shared" si="9"/>
        <v>0</v>
      </c>
      <c r="M51" s="393">
        <v>48</v>
      </c>
    </row>
    <row r="52" spans="1:25" ht="21.95" customHeight="1">
      <c r="A52" s="387" t="s">
        <v>62</v>
      </c>
      <c r="B52" s="388"/>
      <c r="C52" s="389" t="str">
        <f t="shared" si="6"/>
        <v>Peter</v>
      </c>
      <c r="D52" s="390"/>
      <c r="E52" s="388"/>
      <c r="F52" s="389" t="str">
        <f t="shared" si="7"/>
        <v>Neuser</v>
      </c>
      <c r="G52" s="389" t="str">
        <f t="shared" si="10"/>
        <v/>
      </c>
      <c r="H52" s="389" t="str">
        <f t="shared" si="8"/>
        <v>Peter Neuser</v>
      </c>
      <c r="I52" s="388" t="s">
        <v>97</v>
      </c>
      <c r="J52" s="388" t="str">
        <f>IF(TableNameLookup[[#This Row],[FULL NAME IMPORTED]]&lt;&gt;"",'Defaults and Lookup Lists'!$D$6,"")</f>
        <v>Turtleback</v>
      </c>
      <c r="K52" s="391">
        <v>16</v>
      </c>
      <c r="L52" s="392">
        <f t="shared" si="9"/>
        <v>18</v>
      </c>
      <c r="M52" s="393">
        <v>49</v>
      </c>
    </row>
    <row r="53" spans="1:25" ht="21.95" customHeight="1">
      <c r="A53" s="387" t="s">
        <v>63</v>
      </c>
      <c r="B53" s="388"/>
      <c r="C53" s="389" t="str">
        <f t="shared" si="6"/>
        <v>Kyril</v>
      </c>
      <c r="D53" s="390"/>
      <c r="E53" s="388"/>
      <c r="F53" s="389" t="str">
        <f t="shared" si="7"/>
        <v>Popoff</v>
      </c>
      <c r="G53" s="389" t="str">
        <f t="shared" si="10"/>
        <v/>
      </c>
      <c r="H53" s="389" t="str">
        <f t="shared" si="8"/>
        <v>Kyril Popoff</v>
      </c>
      <c r="I53" s="388" t="s">
        <v>97</v>
      </c>
      <c r="J53" s="388" t="str">
        <f>IF(TableNameLookup[[#This Row],[FULL NAME IMPORTED]]&lt;&gt;"",'Defaults and Lookup Lists'!$D$6,"")</f>
        <v>Turtleback</v>
      </c>
      <c r="K53" s="391">
        <v>4</v>
      </c>
      <c r="L53" s="392">
        <f t="shared" si="9"/>
        <v>5</v>
      </c>
      <c r="M53" s="393">
        <v>50</v>
      </c>
    </row>
    <row r="54" spans="1:25" ht="21.95" customHeight="1">
      <c r="A54" s="387" t="s">
        <v>64</v>
      </c>
      <c r="B54" s="388"/>
      <c r="C54" s="389" t="str">
        <f t="shared" si="6"/>
        <v>Aaron</v>
      </c>
      <c r="D54" s="390"/>
      <c r="E54" s="388"/>
      <c r="F54" s="389" t="str">
        <f t="shared" si="7"/>
        <v>Resnick</v>
      </c>
      <c r="G54" s="389" t="str">
        <f t="shared" si="10"/>
        <v/>
      </c>
      <c r="H54" s="389" t="str">
        <f t="shared" si="8"/>
        <v>Aaron Resnick</v>
      </c>
      <c r="I54" s="388" t="s">
        <v>97</v>
      </c>
      <c r="J54" s="388" t="str">
        <f>IF(TableNameLookup[[#This Row],[FULL NAME IMPORTED]]&lt;&gt;"",'Defaults and Lookup Lists'!$D$6,"")</f>
        <v>Turtleback</v>
      </c>
      <c r="K54" s="391">
        <v>6</v>
      </c>
      <c r="L54" s="392">
        <f t="shared" si="9"/>
        <v>7</v>
      </c>
      <c r="M54" s="393">
        <v>51</v>
      </c>
    </row>
    <row r="55" spans="1:25" ht="21.95" customHeight="1">
      <c r="A55" s="387" t="s">
        <v>65</v>
      </c>
      <c r="B55" s="388"/>
      <c r="C55" s="389" t="str">
        <f t="shared" si="6"/>
        <v>Ben</v>
      </c>
      <c r="D55" s="390"/>
      <c r="E55" s="388"/>
      <c r="F55" s="389" t="str">
        <f t="shared" si="7"/>
        <v>Resnick</v>
      </c>
      <c r="G55" s="389" t="str">
        <f t="shared" si="10"/>
        <v/>
      </c>
      <c r="H55" s="389" t="str">
        <f t="shared" si="8"/>
        <v>Ben Resnick</v>
      </c>
      <c r="I55" s="388" t="s">
        <v>97</v>
      </c>
      <c r="J55" s="388" t="str">
        <f>IF(TableNameLookup[[#This Row],[FULL NAME IMPORTED]]&lt;&gt;"",'Defaults and Lookup Lists'!$D$6,"")</f>
        <v>Turtleback</v>
      </c>
      <c r="K55" s="391">
        <v>9</v>
      </c>
      <c r="L55" s="392">
        <f t="shared" si="9"/>
        <v>10</v>
      </c>
      <c r="M55" s="393">
        <v>52</v>
      </c>
    </row>
    <row r="56" spans="1:25" ht="21.95" customHeight="1">
      <c r="A56" s="387" t="s">
        <v>66</v>
      </c>
      <c r="B56" s="388"/>
      <c r="C56" s="389" t="str">
        <f t="shared" si="6"/>
        <v>Roy</v>
      </c>
      <c r="D56" s="390"/>
      <c r="E56" s="388"/>
      <c r="F56" s="389" t="str">
        <f t="shared" si="7"/>
        <v>Roberg</v>
      </c>
      <c r="G56" s="389" t="str">
        <f t="shared" si="10"/>
        <v/>
      </c>
      <c r="H56" s="389" t="str">
        <f t="shared" si="8"/>
        <v>Roy Roberg</v>
      </c>
      <c r="I56" s="388" t="s">
        <v>97</v>
      </c>
      <c r="J56" s="388" t="str">
        <f>IF(TableNameLookup[[#This Row],[FULL NAME IMPORTED]]&lt;&gt;"",'Defaults and Lookup Lists'!$D$6,"")</f>
        <v>Turtleback</v>
      </c>
      <c r="K56" s="391">
        <v>11</v>
      </c>
      <c r="L56" s="392">
        <f t="shared" si="9"/>
        <v>13</v>
      </c>
      <c r="M56" s="393">
        <v>53</v>
      </c>
    </row>
    <row r="57" spans="1:25" ht="21.95" customHeight="1">
      <c r="A57" s="387" t="s">
        <v>67</v>
      </c>
      <c r="B57" s="388"/>
      <c r="C57" s="389" t="str">
        <f t="shared" si="6"/>
        <v>Bob</v>
      </c>
      <c r="D57" s="390"/>
      <c r="E57" s="388"/>
      <c r="F57" s="389" t="str">
        <f t="shared" si="7"/>
        <v>Rowe</v>
      </c>
      <c r="G57" s="389" t="str">
        <f t="shared" si="10"/>
        <v/>
      </c>
      <c r="H57" s="389" t="str">
        <f t="shared" si="8"/>
        <v>Bob Rowe</v>
      </c>
      <c r="I57" s="388" t="s">
        <v>97</v>
      </c>
      <c r="J57" s="388" t="str">
        <f>IF(TableNameLookup[[#This Row],[FULL NAME IMPORTED]]&lt;&gt;"",'Defaults and Lookup Lists'!$D$6,"")</f>
        <v>Turtleback</v>
      </c>
      <c r="K57" s="391">
        <v>27</v>
      </c>
      <c r="L57" s="392">
        <f t="shared" si="9"/>
        <v>31</v>
      </c>
      <c r="M57" s="393">
        <v>54</v>
      </c>
    </row>
    <row r="58" spans="1:25" ht="21.95" customHeight="1">
      <c r="A58" s="387" t="s">
        <v>69</v>
      </c>
      <c r="B58" s="388"/>
      <c r="C58" s="389" t="str">
        <f t="shared" si="6"/>
        <v>Aaron</v>
      </c>
      <c r="D58" s="390"/>
      <c r="E58" s="388"/>
      <c r="F58" s="389" t="str">
        <f t="shared" si="7"/>
        <v>Scharf</v>
      </c>
      <c r="G58" s="389" t="str">
        <f t="shared" si="10"/>
        <v/>
      </c>
      <c r="H58" s="389" t="str">
        <f t="shared" si="8"/>
        <v>Aaron Scharf</v>
      </c>
      <c r="I58" s="388" t="s">
        <v>97</v>
      </c>
      <c r="J58" s="388" t="str">
        <f>IF(TableNameLookup[[#This Row],[FULL NAME IMPORTED]]&lt;&gt;"",'Defaults and Lookup Lists'!$D$6,"")</f>
        <v>Turtleback</v>
      </c>
      <c r="K58" s="391">
        <v>4</v>
      </c>
      <c r="L58" s="392">
        <f t="shared" si="9"/>
        <v>5</v>
      </c>
      <c r="M58" s="393">
        <v>55</v>
      </c>
      <c r="U58" s="375">
        <v>26</v>
      </c>
      <c r="V58" s="375">
        <v>2013</v>
      </c>
      <c r="W58" s="375" t="s">
        <v>13</v>
      </c>
      <c r="X58" s="375" t="s">
        <v>14</v>
      </c>
      <c r="Y58" s="375" t="s">
        <v>15</v>
      </c>
    </row>
    <row r="59" spans="1:25" ht="21.95" customHeight="1">
      <c r="A59" s="387" t="s">
        <v>70</v>
      </c>
      <c r="B59" s="388"/>
      <c r="C59" s="389" t="str">
        <f t="shared" si="6"/>
        <v>Butch</v>
      </c>
      <c r="D59" s="390"/>
      <c r="E59" s="388"/>
      <c r="F59" s="389" t="str">
        <f t="shared" si="7"/>
        <v>Schwanke</v>
      </c>
      <c r="G59" s="389" t="str">
        <f t="shared" si="10"/>
        <v/>
      </c>
      <c r="H59" s="389" t="str">
        <f t="shared" si="8"/>
        <v>Butch Schwanke</v>
      </c>
      <c r="I59" s="388" t="s">
        <v>97</v>
      </c>
      <c r="J59" s="388" t="str">
        <f>IF(TableNameLookup[[#This Row],[FULL NAME IMPORTED]]&lt;&gt;"",'Defaults and Lookup Lists'!$D$6,"")</f>
        <v>Turtleback</v>
      </c>
      <c r="K59" s="391">
        <v>12</v>
      </c>
      <c r="L59" s="392">
        <f t="shared" si="9"/>
        <v>14</v>
      </c>
      <c r="M59" s="393">
        <v>56</v>
      </c>
    </row>
    <row r="60" spans="1:25" ht="21.95" customHeight="1">
      <c r="A60" s="387" t="s">
        <v>71</v>
      </c>
      <c r="B60" s="388"/>
      <c r="C60" s="389" t="str">
        <f t="shared" si="6"/>
        <v>Jim</v>
      </c>
      <c r="D60" s="390"/>
      <c r="E60" s="388"/>
      <c r="F60" s="389" t="str">
        <f t="shared" si="7"/>
        <v>Sevals</v>
      </c>
      <c r="G60" s="389" t="str">
        <f t="shared" si="10"/>
        <v/>
      </c>
      <c r="H60" s="389" t="str">
        <f t="shared" si="8"/>
        <v>Jim Sevals</v>
      </c>
      <c r="I60" s="388" t="s">
        <v>97</v>
      </c>
      <c r="J60" s="388" t="str">
        <f>IF(TableNameLookup[[#This Row],[FULL NAME IMPORTED]]&lt;&gt;"",'Defaults and Lookup Lists'!$D$6,"")</f>
        <v>Turtleback</v>
      </c>
      <c r="K60" s="391">
        <v>16</v>
      </c>
      <c r="L60" s="392">
        <f t="shared" si="9"/>
        <v>18</v>
      </c>
      <c r="M60" s="393">
        <v>57</v>
      </c>
    </row>
    <row r="61" spans="1:25" ht="21.95" customHeight="1">
      <c r="A61" s="387" t="s">
        <v>72</v>
      </c>
      <c r="B61" s="388"/>
      <c r="C61" s="389" t="str">
        <f t="shared" si="6"/>
        <v>Steve</v>
      </c>
      <c r="D61" s="390"/>
      <c r="E61" s="388"/>
      <c r="F61" s="389" t="str">
        <f t="shared" si="7"/>
        <v>Sevals</v>
      </c>
      <c r="G61" s="389" t="str">
        <f t="shared" si="10"/>
        <v/>
      </c>
      <c r="H61" s="389" t="str">
        <f t="shared" si="8"/>
        <v>Steve Sevals</v>
      </c>
      <c r="I61" s="388" t="s">
        <v>97</v>
      </c>
      <c r="J61" s="388" t="str">
        <f>IF(TableNameLookup[[#This Row],[FULL NAME IMPORTED]]&lt;&gt;"",'Defaults and Lookup Lists'!$D$6,"")</f>
        <v>Turtleback</v>
      </c>
      <c r="K61" s="391">
        <v>7</v>
      </c>
      <c r="L61" s="392">
        <f t="shared" si="9"/>
        <v>8</v>
      </c>
      <c r="M61" s="393">
        <v>58</v>
      </c>
    </row>
    <row r="62" spans="1:25" ht="21.95" customHeight="1">
      <c r="A62" s="387" t="s">
        <v>127</v>
      </c>
      <c r="B62" s="388"/>
      <c r="C62" s="389" t="str">
        <f t="shared" si="6"/>
        <v>Steve</v>
      </c>
      <c r="D62" s="390"/>
      <c r="E62" s="388"/>
      <c r="F62" s="389" t="str">
        <f t="shared" si="7"/>
        <v>Sevals</v>
      </c>
      <c r="G62" s="389" t="str">
        <f t="shared" si="10"/>
        <v>Jr</v>
      </c>
      <c r="H62" s="389" t="str">
        <f t="shared" si="8"/>
        <v>Steve Sevals Jr</v>
      </c>
      <c r="I62" s="388" t="s">
        <v>97</v>
      </c>
      <c r="J62" s="388" t="str">
        <f>IF(TableNameLookup[[#This Row],[FULL NAME IMPORTED]]&lt;&gt;"",'Defaults and Lookup Lists'!$D$6,"")</f>
        <v>Turtleback</v>
      </c>
      <c r="K62" s="391">
        <v>6</v>
      </c>
      <c r="L62" s="392">
        <f t="shared" si="9"/>
        <v>7</v>
      </c>
      <c r="M62" s="393">
        <v>59</v>
      </c>
    </row>
    <row r="63" spans="1:25" ht="21.95" customHeight="1">
      <c r="A63" s="387" t="s">
        <v>73</v>
      </c>
      <c r="B63" s="388"/>
      <c r="C63" s="389" t="str">
        <f t="shared" si="6"/>
        <v>Todd</v>
      </c>
      <c r="D63" s="390"/>
      <c r="E63" s="388"/>
      <c r="F63" s="389" t="str">
        <f t="shared" si="7"/>
        <v>Severud</v>
      </c>
      <c r="G63" s="389" t="str">
        <f t="shared" si="10"/>
        <v/>
      </c>
      <c r="H63" s="389" t="str">
        <f t="shared" si="8"/>
        <v>Todd Severud</v>
      </c>
      <c r="I63" s="388" t="s">
        <v>97</v>
      </c>
      <c r="J63" s="388" t="str">
        <f>IF(TableNameLookup[[#This Row],[FULL NAME IMPORTED]]&lt;&gt;"",'Defaults and Lookup Lists'!$D$6,"")</f>
        <v>Turtleback</v>
      </c>
      <c r="K63" s="391">
        <v>12</v>
      </c>
      <c r="L63" s="392">
        <f t="shared" si="9"/>
        <v>14</v>
      </c>
      <c r="M63" s="393">
        <v>60</v>
      </c>
    </row>
    <row r="64" spans="1:25" ht="21.95" customHeight="1">
      <c r="A64" s="387" t="s">
        <v>74</v>
      </c>
      <c r="B64" s="388"/>
      <c r="C64" s="389" t="str">
        <f t="shared" si="6"/>
        <v>Brian</v>
      </c>
      <c r="D64" s="390"/>
      <c r="E64" s="388" t="s">
        <v>121</v>
      </c>
      <c r="F64" s="389" t="str">
        <f t="shared" si="7"/>
        <v>Skar</v>
      </c>
      <c r="G64" s="389" t="str">
        <f t="shared" si="10"/>
        <v/>
      </c>
      <c r="H64" s="389" t="str">
        <f t="shared" si="8"/>
        <v>Brian (Bubba) Skar</v>
      </c>
      <c r="I64" s="388" t="s">
        <v>97</v>
      </c>
      <c r="J64" s="388" t="str">
        <f>IF(TableNameLookup[[#This Row],[FULL NAME IMPORTED]]&lt;&gt;"",'Defaults and Lookup Lists'!$D$6,"")</f>
        <v>Turtleback</v>
      </c>
      <c r="K64" s="391">
        <v>18</v>
      </c>
      <c r="L64" s="392">
        <f t="shared" si="9"/>
        <v>21</v>
      </c>
      <c r="M64" s="393">
        <v>61</v>
      </c>
    </row>
    <row r="65" spans="1:13" ht="21.95" customHeight="1">
      <c r="A65" s="387" t="s">
        <v>75</v>
      </c>
      <c r="B65" s="388"/>
      <c r="C65" s="389" t="str">
        <f t="shared" si="6"/>
        <v>Bob</v>
      </c>
      <c r="D65" s="390"/>
      <c r="E65" s="388"/>
      <c r="F65" s="389" t="str">
        <f t="shared" si="7"/>
        <v>Sundbakken</v>
      </c>
      <c r="G65" s="389" t="str">
        <f t="shared" si="10"/>
        <v/>
      </c>
      <c r="H65" s="389" t="str">
        <f t="shared" si="8"/>
        <v>Bob Sundbakken</v>
      </c>
      <c r="I65" s="388" t="s">
        <v>97</v>
      </c>
      <c r="J65" s="388" t="str">
        <f>IF(TableNameLookup[[#This Row],[FULL NAME IMPORTED]]&lt;&gt;"",'Defaults and Lookup Lists'!$D$6,"")</f>
        <v>Turtleback</v>
      </c>
      <c r="K65" s="391">
        <v>14</v>
      </c>
      <c r="L65" s="392">
        <f t="shared" si="9"/>
        <v>16</v>
      </c>
      <c r="M65" s="393">
        <v>62</v>
      </c>
    </row>
    <row r="66" spans="1:13" ht="21.95" customHeight="1">
      <c r="A66" s="387" t="s">
        <v>76</v>
      </c>
      <c r="B66" s="388"/>
      <c r="C66" s="389" t="str">
        <f t="shared" si="6"/>
        <v>Steve</v>
      </c>
      <c r="D66" s="390"/>
      <c r="E66" s="388"/>
      <c r="F66" s="389" t="str">
        <f t="shared" si="7"/>
        <v>Swoboda</v>
      </c>
      <c r="G66" s="389" t="str">
        <f t="shared" si="10"/>
        <v/>
      </c>
      <c r="H66" s="389" t="str">
        <f t="shared" si="8"/>
        <v>Steve Swoboda</v>
      </c>
      <c r="I66" s="388" t="s">
        <v>97</v>
      </c>
      <c r="J66" s="388" t="str">
        <f>IF(TableNameLookup[[#This Row],[FULL NAME IMPORTED]]&lt;&gt;"",'Defaults and Lookup Lists'!$D$6,"")</f>
        <v>Turtleback</v>
      </c>
      <c r="K66" s="391">
        <v>12</v>
      </c>
      <c r="L66" s="392">
        <f t="shared" si="9"/>
        <v>14</v>
      </c>
      <c r="M66" s="393">
        <v>63</v>
      </c>
    </row>
    <row r="67" spans="1:13" ht="21.95" customHeight="1">
      <c r="A67" s="387" t="s">
        <v>77</v>
      </c>
      <c r="B67" s="388"/>
      <c r="C67" s="389" t="str">
        <f t="shared" si="6"/>
        <v>David</v>
      </c>
      <c r="D67" s="390"/>
      <c r="E67" s="388"/>
      <c r="F67" s="389" t="str">
        <f t="shared" si="7"/>
        <v>Taylor</v>
      </c>
      <c r="G67" s="389" t="str">
        <f t="shared" si="10"/>
        <v/>
      </c>
      <c r="H67" s="389" t="str">
        <f t="shared" si="8"/>
        <v>David Taylor</v>
      </c>
      <c r="I67" s="388" t="s">
        <v>97</v>
      </c>
      <c r="J67" s="388" t="str">
        <f>IF(TableNameLookup[[#This Row],[FULL NAME IMPORTED]]&lt;&gt;"",'Defaults and Lookup Lists'!$D$6,"")</f>
        <v>Turtleback</v>
      </c>
      <c r="K67" s="391">
        <v>21</v>
      </c>
      <c r="L67" s="392">
        <f t="shared" si="9"/>
        <v>24</v>
      </c>
      <c r="M67" s="393">
        <v>64</v>
      </c>
    </row>
    <row r="68" spans="1:13" ht="21.95" customHeight="1">
      <c r="A68" s="387" t="s">
        <v>78</v>
      </c>
      <c r="B68" s="388"/>
      <c r="C68" s="389" t="str">
        <f t="shared" ref="C68:C100" si="11">PROPER(TRIM(IF(ISERROR(FIND(",",A68,1)),A68,MID(A68,FIND(",",A68,1)+1,
IF(ISERROR(FIND(" ",A68,FIND(",",A68,1)+2)),LEN(A68),
FIND(" ",A68,FIND(",",A68,1)+2))-FIND(",",A68,1)))))</f>
        <v>John</v>
      </c>
      <c r="D68" s="390"/>
      <c r="E68" s="388"/>
      <c r="F68" s="389" t="str">
        <f t="shared" ref="F68:F100" si="12">PROPER(LEFT(A68,IF(ISERROR(FIND(",",A68,1)),LEN(A68),FIND(",",A68,1)-1)))</f>
        <v>Terrell</v>
      </c>
      <c r="G68" s="389" t="str">
        <f t="shared" si="10"/>
        <v/>
      </c>
      <c r="H68" s="389" t="str">
        <f t="shared" ref="H68:H99" si="13">PROPER(SUBSTITUTE(TRIM(B68 &amp; " "&amp; C68 &amp; " " &amp; D68 &amp; " " &amp; IF(LEN(C68)=1," ", IF(LEN(E68)=0,"",IF(C68=E68," ","("&amp;E68&amp;")"))) &amp; " " &amp; F68 &amp; " " &amp; G68), " ", " "))</f>
        <v>John Terrell</v>
      </c>
      <c r="I68" s="388" t="s">
        <v>97</v>
      </c>
      <c r="J68" s="388" t="str">
        <f>IF(TableNameLookup[[#This Row],[FULL NAME IMPORTED]]&lt;&gt;"",'Defaults and Lookup Lists'!$D$6,"")</f>
        <v>Turtleback</v>
      </c>
      <c r="K68" s="391">
        <v>16</v>
      </c>
      <c r="L68" s="392">
        <f t="shared" ref="L68:L99" si="14">IFERROR(ROUND((K68*$L$2)/113,0),"")</f>
        <v>18</v>
      </c>
      <c r="M68" s="393">
        <v>65</v>
      </c>
    </row>
    <row r="69" spans="1:13" ht="21.95" customHeight="1">
      <c r="A69" s="387" t="s">
        <v>79</v>
      </c>
      <c r="B69" s="388"/>
      <c r="C69" s="389" t="str">
        <f t="shared" si="11"/>
        <v>Dave</v>
      </c>
      <c r="D69" s="390"/>
      <c r="E69" s="388"/>
      <c r="F69" s="389" t="str">
        <f t="shared" si="12"/>
        <v>Thomas</v>
      </c>
      <c r="G69" s="389" t="str">
        <f t="shared" si="10"/>
        <v/>
      </c>
      <c r="H69" s="389" t="str">
        <f t="shared" si="13"/>
        <v>Dave Thomas</v>
      </c>
      <c r="I69" s="388" t="s">
        <v>97</v>
      </c>
      <c r="J69" s="388" t="str">
        <f>IF(TableNameLookup[[#This Row],[FULL NAME IMPORTED]]&lt;&gt;"",'Defaults and Lookup Lists'!$D$6,"")</f>
        <v>Turtleback</v>
      </c>
      <c r="K69" s="391" t="s">
        <v>151</v>
      </c>
      <c r="L69" s="392" t="str">
        <f t="shared" si="14"/>
        <v/>
      </c>
      <c r="M69" s="393">
        <v>66</v>
      </c>
    </row>
    <row r="70" spans="1:13" ht="21.95" customHeight="1">
      <c r="A70" s="387" t="s">
        <v>80</v>
      </c>
      <c r="B70" s="388"/>
      <c r="C70" s="389" t="str">
        <f t="shared" si="11"/>
        <v>Quinlan</v>
      </c>
      <c r="D70" s="390"/>
      <c r="E70" s="388"/>
      <c r="F70" s="389" t="str">
        <f t="shared" si="12"/>
        <v>Thomas</v>
      </c>
      <c r="G70" s="389" t="str">
        <f t="shared" si="10"/>
        <v/>
      </c>
      <c r="H70" s="389" t="str">
        <f t="shared" si="13"/>
        <v>Quinlan Thomas</v>
      </c>
      <c r="I70" s="388" t="s">
        <v>97</v>
      </c>
      <c r="J70" s="388" t="str">
        <f>IF(TableNameLookup[[#This Row],[FULL NAME IMPORTED]]&lt;&gt;"",'Defaults and Lookup Lists'!$D$6,"")</f>
        <v>Turtleback</v>
      </c>
      <c r="K70" s="391">
        <v>10</v>
      </c>
      <c r="L70" s="392">
        <f t="shared" si="14"/>
        <v>12</v>
      </c>
      <c r="M70" s="393">
        <v>67</v>
      </c>
    </row>
    <row r="71" spans="1:13" ht="21.95" customHeight="1">
      <c r="A71" s="387" t="s">
        <v>81</v>
      </c>
      <c r="B71" s="388"/>
      <c r="C71" s="389" t="str">
        <f t="shared" si="11"/>
        <v>Larry</v>
      </c>
      <c r="D71" s="390"/>
      <c r="E71" s="388"/>
      <c r="F71" s="389" t="str">
        <f t="shared" si="12"/>
        <v>Tripp</v>
      </c>
      <c r="G71" s="389" t="str">
        <f t="shared" si="10"/>
        <v/>
      </c>
      <c r="H71" s="389" t="str">
        <f t="shared" si="13"/>
        <v>Larry Tripp</v>
      </c>
      <c r="I71" s="388" t="s">
        <v>97</v>
      </c>
      <c r="J71" s="388" t="str">
        <f>IF(TableNameLookup[[#This Row],[FULL NAME IMPORTED]]&lt;&gt;"",'Defaults and Lookup Lists'!$D$6,"")</f>
        <v>Turtleback</v>
      </c>
      <c r="K71" s="391">
        <v>7</v>
      </c>
      <c r="L71" s="392">
        <f t="shared" si="14"/>
        <v>8</v>
      </c>
      <c r="M71" s="393">
        <v>68</v>
      </c>
    </row>
    <row r="72" spans="1:13" ht="21.95" customHeight="1">
      <c r="A72" s="387" t="s">
        <v>82</v>
      </c>
      <c r="B72" s="388"/>
      <c r="C72" s="389" t="str">
        <f t="shared" si="11"/>
        <v>Dan</v>
      </c>
      <c r="D72" s="390"/>
      <c r="E72" s="388"/>
      <c r="F72" s="389" t="str">
        <f t="shared" si="12"/>
        <v>Upham</v>
      </c>
      <c r="G72" s="389" t="str">
        <f t="shared" si="10"/>
        <v/>
      </c>
      <c r="H72" s="389" t="str">
        <f t="shared" si="13"/>
        <v>Dan Upham</v>
      </c>
      <c r="I72" s="388" t="s">
        <v>97</v>
      </c>
      <c r="J72" s="388" t="str">
        <f>IF(TableNameLookup[[#This Row],[FULL NAME IMPORTED]]&lt;&gt;"",'Defaults and Lookup Lists'!$D$6,"")</f>
        <v>Turtleback</v>
      </c>
      <c r="K72" s="391">
        <v>4</v>
      </c>
      <c r="L72" s="392">
        <f t="shared" si="14"/>
        <v>5</v>
      </c>
      <c r="M72" s="393">
        <v>69</v>
      </c>
    </row>
    <row r="73" spans="1:13" ht="21.95" customHeight="1">
      <c r="A73" s="387" t="s">
        <v>83</v>
      </c>
      <c r="B73" s="388"/>
      <c r="C73" s="389" t="str">
        <f t="shared" si="11"/>
        <v>Paul</v>
      </c>
      <c r="D73" s="390"/>
      <c r="E73" s="388"/>
      <c r="F73" s="389" t="str">
        <f t="shared" si="12"/>
        <v>Vine</v>
      </c>
      <c r="G73" s="389" t="str">
        <f t="shared" ref="G73:G100" si="15">PROPER(TRIM(RIGHT(A73,LEN(A73)-IF(ISERROR(FIND(" ",A73,
FIND(" ",A73,FIND(",",A73,1)+2))),LEN(A73),
FIND(" ",A73,FIND(" ",A73,FIND(",",A73,1)+2))-1))))</f>
        <v/>
      </c>
      <c r="H73" s="389" t="str">
        <f t="shared" si="13"/>
        <v>Paul Vine</v>
      </c>
      <c r="I73" s="388" t="s">
        <v>97</v>
      </c>
      <c r="J73" s="388" t="str">
        <f>IF(TableNameLookup[[#This Row],[FULL NAME IMPORTED]]&lt;&gt;"",'Defaults and Lookup Lists'!$D$6,"")</f>
        <v>Turtleback</v>
      </c>
      <c r="K73" s="391">
        <v>7</v>
      </c>
      <c r="L73" s="392">
        <f t="shared" si="14"/>
        <v>8</v>
      </c>
      <c r="M73" s="393">
        <v>70</v>
      </c>
    </row>
    <row r="74" spans="1:13" ht="21.95" customHeight="1">
      <c r="A74" s="387" t="s">
        <v>84</v>
      </c>
      <c r="B74" s="388"/>
      <c r="C74" s="389" t="str">
        <f t="shared" si="11"/>
        <v>Craig</v>
      </c>
      <c r="D74" s="390"/>
      <c r="E74" s="388"/>
      <c r="F74" s="389" t="str">
        <f t="shared" si="12"/>
        <v>Zadra</v>
      </c>
      <c r="G74" s="389" t="str">
        <f t="shared" si="15"/>
        <v/>
      </c>
      <c r="H74" s="389" t="str">
        <f t="shared" si="13"/>
        <v>Craig Zadra</v>
      </c>
      <c r="I74" s="388" t="s">
        <v>97</v>
      </c>
      <c r="J74" s="388" t="str">
        <f>IF(TableNameLookup[[#This Row],[FULL NAME IMPORTED]]&lt;&gt;"",'Defaults and Lookup Lists'!$D$6,"")</f>
        <v>Turtleback</v>
      </c>
      <c r="K74" s="391">
        <v>2</v>
      </c>
      <c r="L74" s="392">
        <f t="shared" si="14"/>
        <v>2</v>
      </c>
      <c r="M74" s="393">
        <v>71</v>
      </c>
    </row>
    <row r="75" spans="1:13" ht="21.95" customHeight="1">
      <c r="A75" s="387"/>
      <c r="B75" s="388"/>
      <c r="C75" s="389" t="str">
        <f t="shared" si="11"/>
        <v/>
      </c>
      <c r="D75" s="390"/>
      <c r="E75" s="388"/>
      <c r="F75" s="389" t="str">
        <f t="shared" si="12"/>
        <v/>
      </c>
      <c r="G75" s="389" t="str">
        <f t="shared" si="15"/>
        <v/>
      </c>
      <c r="H75" s="389" t="str">
        <f t="shared" si="13"/>
        <v/>
      </c>
      <c r="I75" s="388"/>
      <c r="J75" s="388" t="str">
        <f>IF(TableNameLookup[[#This Row],[FULL NAME IMPORTED]]&lt;&gt;"",'Defaults and Lookup Lists'!$D$6,"")</f>
        <v/>
      </c>
      <c r="K75" s="391"/>
      <c r="L75" s="392">
        <f t="shared" si="14"/>
        <v>0</v>
      </c>
      <c r="M75" s="393">
        <v>72</v>
      </c>
    </row>
    <row r="76" spans="1:13" ht="21.95" customHeight="1">
      <c r="A76" s="387"/>
      <c r="B76" s="388"/>
      <c r="C76" s="389" t="str">
        <f t="shared" si="11"/>
        <v/>
      </c>
      <c r="D76" s="390"/>
      <c r="E76" s="388"/>
      <c r="F76" s="389" t="str">
        <f t="shared" si="12"/>
        <v/>
      </c>
      <c r="G76" s="389" t="str">
        <f t="shared" si="15"/>
        <v/>
      </c>
      <c r="H76" s="389" t="str">
        <f t="shared" si="13"/>
        <v/>
      </c>
      <c r="I76" s="388"/>
      <c r="J76" s="388" t="str">
        <f>IF(TableNameLookup[[#This Row],[FULL NAME IMPORTED]]&lt;&gt;"",'Defaults and Lookup Lists'!$D$6,"")</f>
        <v/>
      </c>
      <c r="K76" s="391"/>
      <c r="L76" s="392">
        <f t="shared" si="14"/>
        <v>0</v>
      </c>
      <c r="M76" s="393">
        <v>73</v>
      </c>
    </row>
    <row r="77" spans="1:13" ht="21.95" customHeight="1">
      <c r="A77" s="387"/>
      <c r="B77" s="388"/>
      <c r="C77" s="389" t="str">
        <f t="shared" si="11"/>
        <v/>
      </c>
      <c r="D77" s="390"/>
      <c r="E77" s="388"/>
      <c r="F77" s="389" t="str">
        <f t="shared" si="12"/>
        <v/>
      </c>
      <c r="G77" s="389" t="str">
        <f t="shared" si="15"/>
        <v/>
      </c>
      <c r="H77" s="389" t="str">
        <f t="shared" si="13"/>
        <v/>
      </c>
      <c r="I77" s="388"/>
      <c r="J77" s="388" t="str">
        <f>IF(TableNameLookup[[#This Row],[FULL NAME IMPORTED]]&lt;&gt;"",'Defaults and Lookup Lists'!$D$6,"")</f>
        <v/>
      </c>
      <c r="K77" s="391"/>
      <c r="L77" s="392">
        <f t="shared" si="14"/>
        <v>0</v>
      </c>
      <c r="M77" s="393">
        <v>74</v>
      </c>
    </row>
    <row r="78" spans="1:13" ht="21.95" customHeight="1">
      <c r="A78" s="387"/>
      <c r="B78" s="388"/>
      <c r="C78" s="389" t="str">
        <f t="shared" si="11"/>
        <v/>
      </c>
      <c r="D78" s="390"/>
      <c r="E78" s="388"/>
      <c r="F78" s="389" t="str">
        <f t="shared" si="12"/>
        <v/>
      </c>
      <c r="G78" s="389" t="str">
        <f t="shared" si="15"/>
        <v/>
      </c>
      <c r="H78" s="389" t="str">
        <f t="shared" si="13"/>
        <v/>
      </c>
      <c r="I78" s="388"/>
      <c r="J78" s="388" t="str">
        <f>IF(TableNameLookup[[#This Row],[FULL NAME IMPORTED]]&lt;&gt;"",'Defaults and Lookup Lists'!$D$6,"")</f>
        <v/>
      </c>
      <c r="K78" s="391"/>
      <c r="L78" s="392">
        <f t="shared" si="14"/>
        <v>0</v>
      </c>
      <c r="M78" s="393">
        <v>75</v>
      </c>
    </row>
    <row r="79" spans="1:13" ht="21.95" customHeight="1">
      <c r="A79" s="387"/>
      <c r="B79" s="388"/>
      <c r="C79" s="389" t="str">
        <f t="shared" si="11"/>
        <v/>
      </c>
      <c r="D79" s="390"/>
      <c r="E79" s="388"/>
      <c r="F79" s="389" t="str">
        <f t="shared" si="12"/>
        <v/>
      </c>
      <c r="G79" s="389" t="str">
        <f t="shared" si="15"/>
        <v/>
      </c>
      <c r="H79" s="389" t="str">
        <f t="shared" si="13"/>
        <v/>
      </c>
      <c r="I79" s="388"/>
      <c r="J79" s="388" t="str">
        <f>IF(TableNameLookup[[#This Row],[FULL NAME IMPORTED]]&lt;&gt;"",'Defaults and Lookup Lists'!$D$6,"")</f>
        <v/>
      </c>
      <c r="K79" s="391"/>
      <c r="L79" s="392">
        <f t="shared" si="14"/>
        <v>0</v>
      </c>
      <c r="M79" s="393">
        <v>76</v>
      </c>
    </row>
    <row r="80" spans="1:13" ht="21.95" customHeight="1">
      <c r="A80" s="387"/>
      <c r="B80" s="388"/>
      <c r="C80" s="389" t="str">
        <f t="shared" si="11"/>
        <v/>
      </c>
      <c r="D80" s="390"/>
      <c r="E80" s="388"/>
      <c r="F80" s="389" t="str">
        <f t="shared" si="12"/>
        <v/>
      </c>
      <c r="G80" s="389" t="str">
        <f t="shared" si="15"/>
        <v/>
      </c>
      <c r="H80" s="389" t="str">
        <f t="shared" si="13"/>
        <v/>
      </c>
      <c r="I80" s="388"/>
      <c r="J80" s="388" t="str">
        <f>IF(TableNameLookup[[#This Row],[FULL NAME IMPORTED]]&lt;&gt;"",'Defaults and Lookup Lists'!$D$6,"")</f>
        <v/>
      </c>
      <c r="K80" s="391"/>
      <c r="L80" s="392">
        <f t="shared" si="14"/>
        <v>0</v>
      </c>
      <c r="M80" s="393">
        <v>77</v>
      </c>
    </row>
    <row r="81" spans="1:13" ht="21.95" customHeight="1">
      <c r="A81" s="387"/>
      <c r="B81" s="388"/>
      <c r="C81" s="389" t="str">
        <f t="shared" si="11"/>
        <v/>
      </c>
      <c r="D81" s="390"/>
      <c r="E81" s="388"/>
      <c r="F81" s="389" t="str">
        <f t="shared" si="12"/>
        <v/>
      </c>
      <c r="G81" s="389" t="str">
        <f t="shared" si="15"/>
        <v/>
      </c>
      <c r="H81" s="389" t="str">
        <f t="shared" si="13"/>
        <v/>
      </c>
      <c r="I81" s="388"/>
      <c r="J81" s="388" t="str">
        <f>IF(TableNameLookup[[#This Row],[FULL NAME IMPORTED]]&lt;&gt;"",'Defaults and Lookup Lists'!$D$6,"")</f>
        <v/>
      </c>
      <c r="K81" s="391"/>
      <c r="L81" s="392">
        <f t="shared" si="14"/>
        <v>0</v>
      </c>
      <c r="M81" s="393">
        <v>78</v>
      </c>
    </row>
    <row r="82" spans="1:13" ht="21.95" customHeight="1">
      <c r="A82" s="387"/>
      <c r="B82" s="388"/>
      <c r="C82" s="389" t="str">
        <f t="shared" si="11"/>
        <v/>
      </c>
      <c r="D82" s="390"/>
      <c r="E82" s="388"/>
      <c r="F82" s="389" t="str">
        <f t="shared" si="12"/>
        <v/>
      </c>
      <c r="G82" s="389" t="str">
        <f t="shared" si="15"/>
        <v/>
      </c>
      <c r="H82" s="389" t="str">
        <f t="shared" si="13"/>
        <v/>
      </c>
      <c r="I82" s="388"/>
      <c r="J82" s="388" t="str">
        <f>IF(TableNameLookup[[#This Row],[FULL NAME IMPORTED]]&lt;&gt;"",'Defaults and Lookup Lists'!$D$6,"")</f>
        <v/>
      </c>
      <c r="K82" s="391"/>
      <c r="L82" s="392">
        <f t="shared" si="14"/>
        <v>0</v>
      </c>
      <c r="M82" s="393">
        <v>79</v>
      </c>
    </row>
    <row r="83" spans="1:13" ht="21.95" customHeight="1">
      <c r="A83" s="387"/>
      <c r="B83" s="388"/>
      <c r="C83" s="389" t="str">
        <f t="shared" si="11"/>
        <v/>
      </c>
      <c r="D83" s="390"/>
      <c r="E83" s="388"/>
      <c r="F83" s="389" t="str">
        <f t="shared" si="12"/>
        <v/>
      </c>
      <c r="G83" s="389" t="str">
        <f t="shared" si="15"/>
        <v/>
      </c>
      <c r="H83" s="389" t="str">
        <f t="shared" si="13"/>
        <v/>
      </c>
      <c r="I83" s="388"/>
      <c r="J83" s="388" t="str">
        <f>IF(TableNameLookup[[#This Row],[FULL NAME IMPORTED]]&lt;&gt;"",'Defaults and Lookup Lists'!$D$6,"")</f>
        <v/>
      </c>
      <c r="K83" s="391"/>
      <c r="L83" s="392">
        <f t="shared" si="14"/>
        <v>0</v>
      </c>
      <c r="M83" s="393">
        <v>80</v>
      </c>
    </row>
    <row r="84" spans="1:13" ht="21.95" customHeight="1">
      <c r="A84" s="387"/>
      <c r="B84" s="388"/>
      <c r="C84" s="389" t="str">
        <f t="shared" si="11"/>
        <v/>
      </c>
      <c r="D84" s="390"/>
      <c r="E84" s="388"/>
      <c r="F84" s="389" t="str">
        <f t="shared" si="12"/>
        <v/>
      </c>
      <c r="G84" s="389" t="str">
        <f t="shared" si="15"/>
        <v/>
      </c>
      <c r="H84" s="389" t="str">
        <f t="shared" si="13"/>
        <v/>
      </c>
      <c r="I84" s="388"/>
      <c r="J84" s="388" t="str">
        <f>IF(TableNameLookup[[#This Row],[FULL NAME IMPORTED]]&lt;&gt;"",'Defaults and Lookup Lists'!$D$6,"")</f>
        <v/>
      </c>
      <c r="K84" s="391"/>
      <c r="L84" s="392">
        <f t="shared" si="14"/>
        <v>0</v>
      </c>
      <c r="M84" s="393">
        <v>81</v>
      </c>
    </row>
    <row r="85" spans="1:13" ht="21.95" customHeight="1">
      <c r="A85" s="387"/>
      <c r="B85" s="388"/>
      <c r="C85" s="389" t="str">
        <f t="shared" si="11"/>
        <v/>
      </c>
      <c r="D85" s="390"/>
      <c r="E85" s="388"/>
      <c r="F85" s="389" t="str">
        <f t="shared" si="12"/>
        <v/>
      </c>
      <c r="G85" s="389" t="str">
        <f t="shared" si="15"/>
        <v/>
      </c>
      <c r="H85" s="389" t="str">
        <f t="shared" si="13"/>
        <v/>
      </c>
      <c r="I85" s="388"/>
      <c r="J85" s="388" t="str">
        <f>IF(TableNameLookup[[#This Row],[FULL NAME IMPORTED]]&lt;&gt;"",'Defaults and Lookup Lists'!$D$6,"")</f>
        <v/>
      </c>
      <c r="K85" s="391"/>
      <c r="L85" s="392">
        <f t="shared" si="14"/>
        <v>0</v>
      </c>
      <c r="M85" s="393">
        <v>82</v>
      </c>
    </row>
    <row r="86" spans="1:13" ht="21.95" customHeight="1">
      <c r="A86" s="387"/>
      <c r="B86" s="388"/>
      <c r="C86" s="389" t="str">
        <f t="shared" si="11"/>
        <v/>
      </c>
      <c r="D86" s="390"/>
      <c r="E86" s="388"/>
      <c r="F86" s="389" t="str">
        <f t="shared" si="12"/>
        <v/>
      </c>
      <c r="G86" s="389" t="str">
        <f t="shared" si="15"/>
        <v/>
      </c>
      <c r="H86" s="389" t="str">
        <f t="shared" si="13"/>
        <v/>
      </c>
      <c r="I86" s="388"/>
      <c r="J86" s="388" t="str">
        <f>IF(TableNameLookup[[#This Row],[FULL NAME IMPORTED]]&lt;&gt;"",'Defaults and Lookup Lists'!$D$6,"")</f>
        <v/>
      </c>
      <c r="K86" s="391"/>
      <c r="L86" s="392">
        <f t="shared" si="14"/>
        <v>0</v>
      </c>
      <c r="M86" s="393">
        <v>83</v>
      </c>
    </row>
    <row r="87" spans="1:13" ht="21.95" customHeight="1">
      <c r="A87" s="387"/>
      <c r="B87" s="388"/>
      <c r="C87" s="389" t="str">
        <f t="shared" si="11"/>
        <v/>
      </c>
      <c r="D87" s="390"/>
      <c r="E87" s="388"/>
      <c r="F87" s="389" t="str">
        <f t="shared" si="12"/>
        <v/>
      </c>
      <c r="G87" s="389" t="str">
        <f t="shared" si="15"/>
        <v/>
      </c>
      <c r="H87" s="389" t="str">
        <f t="shared" si="13"/>
        <v/>
      </c>
      <c r="I87" s="388"/>
      <c r="J87" s="388" t="str">
        <f>IF(TableNameLookup[[#This Row],[FULL NAME IMPORTED]]&lt;&gt;"",'Defaults and Lookup Lists'!$D$6,"")</f>
        <v/>
      </c>
      <c r="K87" s="391"/>
      <c r="L87" s="392">
        <f t="shared" si="14"/>
        <v>0</v>
      </c>
      <c r="M87" s="393">
        <v>84</v>
      </c>
    </row>
    <row r="88" spans="1:13" ht="21.95" customHeight="1">
      <c r="A88" s="387"/>
      <c r="B88" s="388"/>
      <c r="C88" s="389" t="str">
        <f t="shared" si="11"/>
        <v/>
      </c>
      <c r="D88" s="390"/>
      <c r="E88" s="388"/>
      <c r="F88" s="389" t="str">
        <f t="shared" si="12"/>
        <v/>
      </c>
      <c r="G88" s="389" t="str">
        <f t="shared" si="15"/>
        <v/>
      </c>
      <c r="H88" s="389" t="str">
        <f t="shared" si="13"/>
        <v/>
      </c>
      <c r="I88" s="388"/>
      <c r="J88" s="388" t="str">
        <f>IF(TableNameLookup[[#This Row],[FULL NAME IMPORTED]]&lt;&gt;"",'Defaults and Lookup Lists'!$D$6,"")</f>
        <v/>
      </c>
      <c r="K88" s="391"/>
      <c r="L88" s="392">
        <f t="shared" si="14"/>
        <v>0</v>
      </c>
      <c r="M88" s="393">
        <v>85</v>
      </c>
    </row>
    <row r="89" spans="1:13" ht="21.95" customHeight="1">
      <c r="A89" s="387"/>
      <c r="B89" s="388"/>
      <c r="C89" s="389" t="str">
        <f t="shared" si="11"/>
        <v/>
      </c>
      <c r="D89" s="390"/>
      <c r="E89" s="388"/>
      <c r="F89" s="389" t="str">
        <f t="shared" si="12"/>
        <v/>
      </c>
      <c r="G89" s="389" t="str">
        <f t="shared" si="15"/>
        <v/>
      </c>
      <c r="H89" s="389" t="str">
        <f t="shared" si="13"/>
        <v/>
      </c>
      <c r="I89" s="388"/>
      <c r="J89" s="388" t="str">
        <f>IF(TableNameLookup[[#This Row],[FULL NAME IMPORTED]]&lt;&gt;"",'Defaults and Lookup Lists'!$D$6,"")</f>
        <v/>
      </c>
      <c r="K89" s="391"/>
      <c r="L89" s="392">
        <f t="shared" si="14"/>
        <v>0</v>
      </c>
      <c r="M89" s="393">
        <v>86</v>
      </c>
    </row>
    <row r="90" spans="1:13" ht="21.95" customHeight="1">
      <c r="A90" s="387"/>
      <c r="B90" s="388"/>
      <c r="C90" s="389" t="str">
        <f t="shared" si="11"/>
        <v/>
      </c>
      <c r="D90" s="390"/>
      <c r="E90" s="388"/>
      <c r="F90" s="389" t="str">
        <f t="shared" si="12"/>
        <v/>
      </c>
      <c r="G90" s="389" t="str">
        <f t="shared" si="15"/>
        <v/>
      </c>
      <c r="H90" s="389" t="str">
        <f t="shared" si="13"/>
        <v/>
      </c>
      <c r="I90" s="388"/>
      <c r="J90" s="388" t="str">
        <f>IF(TableNameLookup[[#This Row],[FULL NAME IMPORTED]]&lt;&gt;"",'Defaults and Lookup Lists'!$D$6,"")</f>
        <v/>
      </c>
      <c r="K90" s="391"/>
      <c r="L90" s="392">
        <f t="shared" si="14"/>
        <v>0</v>
      </c>
      <c r="M90" s="393">
        <v>87</v>
      </c>
    </row>
    <row r="91" spans="1:13" ht="21.95" customHeight="1">
      <c r="A91" s="387"/>
      <c r="B91" s="388"/>
      <c r="C91" s="389" t="str">
        <f t="shared" si="11"/>
        <v/>
      </c>
      <c r="D91" s="390"/>
      <c r="E91" s="388"/>
      <c r="F91" s="389" t="str">
        <f t="shared" si="12"/>
        <v/>
      </c>
      <c r="G91" s="389" t="str">
        <f t="shared" si="15"/>
        <v/>
      </c>
      <c r="H91" s="389" t="str">
        <f t="shared" si="13"/>
        <v/>
      </c>
      <c r="I91" s="388"/>
      <c r="J91" s="388" t="str">
        <f>IF(TableNameLookup[[#This Row],[FULL NAME IMPORTED]]&lt;&gt;"",'Defaults and Lookup Lists'!$D$6,"")</f>
        <v/>
      </c>
      <c r="K91" s="391"/>
      <c r="L91" s="392">
        <f t="shared" si="14"/>
        <v>0</v>
      </c>
      <c r="M91" s="393">
        <v>88</v>
      </c>
    </row>
    <row r="92" spans="1:13" ht="21.95" customHeight="1">
      <c r="A92" s="387"/>
      <c r="B92" s="388"/>
      <c r="C92" s="389" t="str">
        <f t="shared" si="11"/>
        <v/>
      </c>
      <c r="D92" s="390"/>
      <c r="E92" s="388"/>
      <c r="F92" s="389" t="str">
        <f t="shared" si="12"/>
        <v/>
      </c>
      <c r="G92" s="389" t="str">
        <f t="shared" si="15"/>
        <v/>
      </c>
      <c r="H92" s="389" t="str">
        <f t="shared" si="13"/>
        <v/>
      </c>
      <c r="I92" s="388"/>
      <c r="J92" s="388" t="str">
        <f>IF(TableNameLookup[[#This Row],[FULL NAME IMPORTED]]&lt;&gt;"",'Defaults and Lookup Lists'!$D$6,"")</f>
        <v/>
      </c>
      <c r="K92" s="391"/>
      <c r="L92" s="392">
        <f t="shared" si="14"/>
        <v>0</v>
      </c>
      <c r="M92" s="393">
        <v>89</v>
      </c>
    </row>
    <row r="93" spans="1:13" ht="21.95" customHeight="1">
      <c r="A93" s="387"/>
      <c r="B93" s="388"/>
      <c r="C93" s="389" t="str">
        <f t="shared" si="11"/>
        <v/>
      </c>
      <c r="D93" s="390"/>
      <c r="E93" s="388"/>
      <c r="F93" s="389" t="str">
        <f t="shared" si="12"/>
        <v/>
      </c>
      <c r="G93" s="389" t="str">
        <f t="shared" si="15"/>
        <v/>
      </c>
      <c r="H93" s="389" t="str">
        <f t="shared" si="13"/>
        <v/>
      </c>
      <c r="I93" s="388"/>
      <c r="J93" s="388" t="str">
        <f>IF(TableNameLookup[[#This Row],[FULL NAME IMPORTED]]&lt;&gt;"",'Defaults and Lookup Lists'!$D$6,"")</f>
        <v/>
      </c>
      <c r="K93" s="391"/>
      <c r="L93" s="392">
        <f t="shared" si="14"/>
        <v>0</v>
      </c>
      <c r="M93" s="393">
        <v>90</v>
      </c>
    </row>
    <row r="94" spans="1:13" ht="21.95" customHeight="1">
      <c r="A94" s="387"/>
      <c r="B94" s="388"/>
      <c r="C94" s="389" t="str">
        <f t="shared" si="11"/>
        <v/>
      </c>
      <c r="D94" s="390"/>
      <c r="E94" s="388"/>
      <c r="F94" s="389" t="str">
        <f t="shared" si="12"/>
        <v/>
      </c>
      <c r="G94" s="389" t="str">
        <f t="shared" si="15"/>
        <v/>
      </c>
      <c r="H94" s="389" t="str">
        <f t="shared" si="13"/>
        <v/>
      </c>
      <c r="I94" s="388"/>
      <c r="J94" s="388" t="str">
        <f>IF(TableNameLookup[[#This Row],[FULL NAME IMPORTED]]&lt;&gt;"",'Defaults and Lookup Lists'!$D$6,"")</f>
        <v/>
      </c>
      <c r="K94" s="391"/>
      <c r="L94" s="392">
        <f t="shared" si="14"/>
        <v>0</v>
      </c>
      <c r="M94" s="393">
        <v>91</v>
      </c>
    </row>
    <row r="95" spans="1:13" ht="21.95" customHeight="1">
      <c r="A95" s="387"/>
      <c r="B95" s="388"/>
      <c r="C95" s="389" t="str">
        <f t="shared" si="11"/>
        <v/>
      </c>
      <c r="D95" s="390"/>
      <c r="E95" s="388"/>
      <c r="F95" s="389" t="str">
        <f t="shared" si="12"/>
        <v/>
      </c>
      <c r="G95" s="389" t="str">
        <f t="shared" si="15"/>
        <v/>
      </c>
      <c r="H95" s="389" t="str">
        <f t="shared" si="13"/>
        <v/>
      </c>
      <c r="I95" s="388"/>
      <c r="J95" s="388" t="str">
        <f>IF(TableNameLookup[[#This Row],[FULL NAME IMPORTED]]&lt;&gt;"",'Defaults and Lookup Lists'!$D$6,"")</f>
        <v/>
      </c>
      <c r="K95" s="391"/>
      <c r="L95" s="392">
        <f t="shared" si="14"/>
        <v>0</v>
      </c>
      <c r="M95" s="393">
        <v>92</v>
      </c>
    </row>
    <row r="96" spans="1:13" ht="21.95" customHeight="1">
      <c r="A96" s="387"/>
      <c r="B96" s="388"/>
      <c r="C96" s="389" t="str">
        <f t="shared" si="11"/>
        <v/>
      </c>
      <c r="D96" s="390"/>
      <c r="E96" s="388"/>
      <c r="F96" s="389" t="str">
        <f t="shared" si="12"/>
        <v/>
      </c>
      <c r="G96" s="389" t="str">
        <f t="shared" si="15"/>
        <v/>
      </c>
      <c r="H96" s="389" t="str">
        <f t="shared" si="13"/>
        <v/>
      </c>
      <c r="I96" s="388"/>
      <c r="J96" s="388" t="str">
        <f>IF(TableNameLookup[[#This Row],[FULL NAME IMPORTED]]&lt;&gt;"",'Defaults and Lookup Lists'!$D$6,"")</f>
        <v/>
      </c>
      <c r="K96" s="391"/>
      <c r="L96" s="392">
        <f t="shared" si="14"/>
        <v>0</v>
      </c>
      <c r="M96" s="393">
        <v>93</v>
      </c>
    </row>
    <row r="97" spans="1:13" ht="21.95" customHeight="1">
      <c r="A97" s="387"/>
      <c r="B97" s="388"/>
      <c r="C97" s="389" t="str">
        <f t="shared" si="11"/>
        <v/>
      </c>
      <c r="D97" s="390"/>
      <c r="E97" s="388"/>
      <c r="F97" s="389" t="str">
        <f t="shared" si="12"/>
        <v/>
      </c>
      <c r="G97" s="389" t="str">
        <f t="shared" si="15"/>
        <v/>
      </c>
      <c r="H97" s="389" t="str">
        <f t="shared" si="13"/>
        <v/>
      </c>
      <c r="I97" s="388"/>
      <c r="J97" s="388" t="str">
        <f>IF(TableNameLookup[[#This Row],[FULL NAME IMPORTED]]&lt;&gt;"",'Defaults and Lookup Lists'!$D$6,"")</f>
        <v/>
      </c>
      <c r="K97" s="391"/>
      <c r="L97" s="392">
        <f t="shared" si="14"/>
        <v>0</v>
      </c>
      <c r="M97" s="393">
        <v>94</v>
      </c>
    </row>
    <row r="98" spans="1:13" ht="21.95" customHeight="1">
      <c r="A98" s="387"/>
      <c r="B98" s="388"/>
      <c r="C98" s="389" t="str">
        <f t="shared" si="11"/>
        <v/>
      </c>
      <c r="D98" s="390"/>
      <c r="E98" s="388"/>
      <c r="F98" s="389" t="str">
        <f t="shared" si="12"/>
        <v/>
      </c>
      <c r="G98" s="389" t="str">
        <f t="shared" si="15"/>
        <v/>
      </c>
      <c r="H98" s="389" t="str">
        <f t="shared" si="13"/>
        <v/>
      </c>
      <c r="I98" s="388"/>
      <c r="J98" s="388" t="str">
        <f>IF(TableNameLookup[[#This Row],[FULL NAME IMPORTED]]&lt;&gt;"",'Defaults and Lookup Lists'!$D$6,"")</f>
        <v/>
      </c>
      <c r="K98" s="391"/>
      <c r="L98" s="392">
        <f t="shared" si="14"/>
        <v>0</v>
      </c>
      <c r="M98" s="393">
        <v>95</v>
      </c>
    </row>
    <row r="99" spans="1:13" ht="21.95" customHeight="1">
      <c r="A99" s="387"/>
      <c r="B99" s="388"/>
      <c r="C99" s="389" t="str">
        <f t="shared" si="11"/>
        <v/>
      </c>
      <c r="D99" s="390"/>
      <c r="E99" s="388"/>
      <c r="F99" s="389" t="str">
        <f t="shared" si="12"/>
        <v/>
      </c>
      <c r="G99" s="389" t="str">
        <f t="shared" si="15"/>
        <v/>
      </c>
      <c r="H99" s="389" t="str">
        <f t="shared" si="13"/>
        <v/>
      </c>
      <c r="I99" s="388"/>
      <c r="J99" s="388" t="str">
        <f>IF(TableNameLookup[[#This Row],[FULL NAME IMPORTED]]&lt;&gt;"",'Defaults and Lookup Lists'!$D$6,"")</f>
        <v/>
      </c>
      <c r="K99" s="391"/>
      <c r="L99" s="392">
        <f t="shared" si="14"/>
        <v>0</v>
      </c>
      <c r="M99" s="393">
        <v>96</v>
      </c>
    </row>
    <row r="100" spans="1:13" ht="21.95" customHeight="1">
      <c r="A100" s="387"/>
      <c r="B100" s="388"/>
      <c r="C100" s="389" t="str">
        <f t="shared" si="11"/>
        <v/>
      </c>
      <c r="D100" s="390"/>
      <c r="E100" s="388"/>
      <c r="F100" s="389" t="str">
        <f t="shared" si="12"/>
        <v/>
      </c>
      <c r="G100" s="389" t="str">
        <f t="shared" si="15"/>
        <v/>
      </c>
      <c r="H100" s="389" t="str">
        <f t="shared" ref="H100" si="16">PROPER(SUBSTITUTE(TRIM(B100 &amp; " "&amp; C100 &amp; " " &amp; D100 &amp; " " &amp; IF(LEN(C100)=1," ", IF(LEN(E100)=0,"",IF(C100=E100," ","("&amp;E100&amp;")"))) &amp; " " &amp; F100 &amp; " " &amp; G100), " ", " "))</f>
        <v/>
      </c>
      <c r="I100" s="388"/>
      <c r="J100" s="388" t="str">
        <f>IF(TableNameLookup[[#This Row],[FULL NAME IMPORTED]]&lt;&gt;"",'Defaults and Lookup Lists'!$D$6,"")</f>
        <v/>
      </c>
      <c r="K100" s="391"/>
      <c r="L100" s="392">
        <f t="shared" ref="L100" si="17">IFERROR(ROUND((K100*$L$2)/113,0),"")</f>
        <v>0</v>
      </c>
      <c r="M100" s="393">
        <v>97</v>
      </c>
    </row>
    <row r="101" spans="1:13" ht="21.95" customHeight="1">
      <c r="A101" s="394">
        <f>SUBTOTAL(103,TableNameLookup[FULL NAME IMPORTED])</f>
        <v>71</v>
      </c>
      <c r="B101" s="395"/>
      <c r="C101" s="396"/>
      <c r="D101" s="397"/>
      <c r="E101" s="395"/>
      <c r="F101" s="396"/>
      <c r="G101" s="396"/>
      <c r="H101" s="396"/>
      <c r="I101" s="395"/>
      <c r="J101" s="395"/>
      <c r="K101" s="398">
        <f>SUBTOTAL(101,TableNameLookup[USGA Index (11)])</f>
        <v>13.753623188405797</v>
      </c>
      <c r="L101" s="399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sortState ref="A8:L123">
    <sortCondition descending="1" ref="I8:I123"/>
    <sortCondition ref="A8:A123"/>
    <sortCondition ref="K8:K123"/>
  </sortState>
  <mergeCells count="2">
    <mergeCell ref="B1:G1"/>
    <mergeCell ref="B2:G2"/>
  </mergeCells>
  <dataValidations count="2">
    <dataValidation type="list" allowBlank="1" showInputMessage="1" showErrorMessage="1" sqref="I4:I100">
      <formula1>PopUpGender</formula1>
    </dataValidation>
    <dataValidation type="list" allowBlank="1" showInputMessage="1" showErrorMessage="1" sqref="J4:J100">
      <formula1>PopUpClubName</formula1>
    </dataValidation>
  </dataValidations>
  <pageMargins left="0.75" right="0.75" top="1" bottom="1" header="0.5" footer="0.5"/>
  <pageSetup orientation="portrait" horizontalDpi="4294967292" verticalDpi="429496729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'Defaults and Lookup Lists'!$K$3:$K$8</xm:f>
          </x14:formula1>
          <xm:sqref>K2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W16"/>
  <sheetViews>
    <sheetView showGridLines="0" workbookViewId="0">
      <selection activeCell="B4" sqref="B4"/>
    </sheetView>
  </sheetViews>
  <sheetFormatPr defaultColWidth="7.5546875" defaultRowHeight="15"/>
  <cols>
    <col min="1" max="1" width="16.33203125" style="1" customWidth="1"/>
    <col min="2" max="10" width="4.6640625" style="1" customWidth="1"/>
    <col min="11" max="11" width="11" style="1" customWidth="1"/>
    <col min="12" max="20" width="4.6640625" style="1" customWidth="1"/>
    <col min="21" max="23" width="11" style="1" customWidth="1"/>
    <col min="24" max="16384" width="7.5546875" style="1"/>
  </cols>
  <sheetData>
    <row r="1" spans="1:23" ht="51.95" customHeight="1">
      <c r="A1" s="171" t="s">
        <v>432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3"/>
    </row>
    <row r="2" spans="1:23" ht="26.1" customHeight="1">
      <c r="A2" s="23" t="s">
        <v>124</v>
      </c>
      <c r="B2" s="24">
        <v>1</v>
      </c>
      <c r="C2" s="24">
        <v>2</v>
      </c>
      <c r="D2" s="24">
        <v>3</v>
      </c>
      <c r="E2" s="24">
        <v>4</v>
      </c>
      <c r="F2" s="24">
        <v>5</v>
      </c>
      <c r="G2" s="24">
        <v>6</v>
      </c>
      <c r="H2" s="24">
        <v>7</v>
      </c>
      <c r="I2" s="24">
        <v>8</v>
      </c>
      <c r="J2" s="24">
        <v>9</v>
      </c>
      <c r="K2" s="24" t="s">
        <v>0</v>
      </c>
      <c r="L2" s="24">
        <v>10</v>
      </c>
      <c r="M2" s="24">
        <v>11</v>
      </c>
      <c r="N2" s="24">
        <v>12</v>
      </c>
      <c r="O2" s="24">
        <v>13</v>
      </c>
      <c r="P2" s="24">
        <v>14</v>
      </c>
      <c r="Q2" s="24">
        <v>15</v>
      </c>
      <c r="R2" s="24">
        <v>16</v>
      </c>
      <c r="S2" s="24">
        <v>17</v>
      </c>
      <c r="T2" s="24">
        <v>18</v>
      </c>
      <c r="U2" s="24" t="s">
        <v>1</v>
      </c>
      <c r="V2" s="24" t="s">
        <v>2</v>
      </c>
      <c r="W2" s="24" t="s">
        <v>9</v>
      </c>
    </row>
    <row r="3" spans="1:23" ht="26.1" customHeight="1">
      <c r="A3" s="274" t="s">
        <v>10</v>
      </c>
      <c r="B3" s="275">
        <v>385</v>
      </c>
      <c r="C3" s="275">
        <v>545</v>
      </c>
      <c r="D3" s="275">
        <v>420</v>
      </c>
      <c r="E3" s="275">
        <v>199</v>
      </c>
      <c r="F3" s="275">
        <v>400</v>
      </c>
      <c r="G3" s="275">
        <v>391</v>
      </c>
      <c r="H3" s="275">
        <v>367</v>
      </c>
      <c r="I3" s="275">
        <v>152</v>
      </c>
      <c r="J3" s="275">
        <v>287</v>
      </c>
      <c r="K3" s="11">
        <f>SUM(B3:J3)</f>
        <v>3146</v>
      </c>
      <c r="L3" s="275">
        <v>420</v>
      </c>
      <c r="M3" s="275">
        <v>389</v>
      </c>
      <c r="N3" s="275">
        <v>398</v>
      </c>
      <c r="O3" s="275">
        <v>187</v>
      </c>
      <c r="P3" s="275">
        <v>523</v>
      </c>
      <c r="Q3" s="275">
        <v>182</v>
      </c>
      <c r="R3" s="275">
        <v>387</v>
      </c>
      <c r="S3" s="275">
        <v>454</v>
      </c>
      <c r="T3" s="275">
        <v>530</v>
      </c>
      <c r="U3" s="11">
        <f>SUM(L3:T3)</f>
        <v>3470</v>
      </c>
      <c r="V3" s="11">
        <f>K3+U3</f>
        <v>6616</v>
      </c>
      <c r="W3" s="287">
        <v>130</v>
      </c>
    </row>
    <row r="4" spans="1:23" ht="26.1" customHeight="1">
      <c r="A4" s="276" t="s">
        <v>5</v>
      </c>
      <c r="B4" s="277">
        <v>372</v>
      </c>
      <c r="C4" s="277">
        <v>529</v>
      </c>
      <c r="D4" s="277">
        <v>400</v>
      </c>
      <c r="E4" s="277">
        <v>169</v>
      </c>
      <c r="F4" s="277">
        <v>394</v>
      </c>
      <c r="G4" s="277">
        <v>377</v>
      </c>
      <c r="H4" s="277">
        <v>367</v>
      </c>
      <c r="I4" s="277">
        <v>138</v>
      </c>
      <c r="J4" s="277">
        <v>276</v>
      </c>
      <c r="K4" s="12">
        <f t="shared" ref="K4:K6" si="0">SUM(B4:J4)</f>
        <v>3022</v>
      </c>
      <c r="L4" s="277">
        <v>401</v>
      </c>
      <c r="M4" s="277">
        <v>368</v>
      </c>
      <c r="N4" s="277">
        <v>374</v>
      </c>
      <c r="O4" s="277">
        <v>158</v>
      </c>
      <c r="P4" s="277">
        <v>500</v>
      </c>
      <c r="Q4" s="277">
        <v>171</v>
      </c>
      <c r="R4" s="277">
        <v>373</v>
      </c>
      <c r="S4" s="277">
        <v>416</v>
      </c>
      <c r="T4" s="277">
        <v>518</v>
      </c>
      <c r="U4" s="12">
        <f>SUM(L4:T4)</f>
        <v>3279</v>
      </c>
      <c r="V4" s="12">
        <f t="shared" ref="V4:V6" si="1">K4+U4</f>
        <v>6301</v>
      </c>
      <c r="W4" s="288">
        <v>126</v>
      </c>
    </row>
    <row r="5" spans="1:23" ht="26.1" customHeight="1">
      <c r="A5" s="278" t="s">
        <v>6</v>
      </c>
      <c r="B5" s="279">
        <v>355</v>
      </c>
      <c r="C5" s="279">
        <v>498</v>
      </c>
      <c r="D5" s="279">
        <v>380</v>
      </c>
      <c r="E5" s="279">
        <v>146</v>
      </c>
      <c r="F5" s="279">
        <v>335</v>
      </c>
      <c r="G5" s="279">
        <v>364</v>
      </c>
      <c r="H5" s="279">
        <v>351</v>
      </c>
      <c r="I5" s="279">
        <v>125</v>
      </c>
      <c r="J5" s="279">
        <v>266</v>
      </c>
      <c r="K5" s="14">
        <f t="shared" si="0"/>
        <v>2820</v>
      </c>
      <c r="L5" s="279">
        <v>382</v>
      </c>
      <c r="M5" s="279">
        <v>368</v>
      </c>
      <c r="N5" s="279">
        <v>357</v>
      </c>
      <c r="O5" s="279">
        <v>127</v>
      </c>
      <c r="P5" s="279">
        <v>473</v>
      </c>
      <c r="Q5" s="279">
        <v>146</v>
      </c>
      <c r="R5" s="279">
        <v>360</v>
      </c>
      <c r="S5" s="279">
        <v>383</v>
      </c>
      <c r="T5" s="279">
        <v>502</v>
      </c>
      <c r="U5" s="14">
        <f>SUM(L5:T5)</f>
        <v>3098</v>
      </c>
      <c r="V5" s="14">
        <f t="shared" si="1"/>
        <v>5918</v>
      </c>
      <c r="W5" s="289">
        <v>121</v>
      </c>
    </row>
    <row r="6" spans="1:23" ht="26.1" customHeight="1">
      <c r="A6" s="280" t="s">
        <v>11</v>
      </c>
      <c r="B6" s="281">
        <v>355</v>
      </c>
      <c r="C6" s="281">
        <v>498</v>
      </c>
      <c r="D6" s="281">
        <v>380</v>
      </c>
      <c r="E6" s="281">
        <v>146</v>
      </c>
      <c r="F6" s="281">
        <v>335</v>
      </c>
      <c r="G6" s="281">
        <v>364</v>
      </c>
      <c r="H6" s="281">
        <v>351</v>
      </c>
      <c r="I6" s="281">
        <v>125</v>
      </c>
      <c r="J6" s="281">
        <v>266</v>
      </c>
      <c r="K6" s="15">
        <f t="shared" si="0"/>
        <v>2820</v>
      </c>
      <c r="L6" s="281">
        <v>382</v>
      </c>
      <c r="M6" s="281">
        <v>368</v>
      </c>
      <c r="N6" s="281">
        <v>357</v>
      </c>
      <c r="O6" s="281">
        <v>127</v>
      </c>
      <c r="P6" s="281">
        <v>473</v>
      </c>
      <c r="Q6" s="281">
        <v>146</v>
      </c>
      <c r="R6" s="281">
        <v>360</v>
      </c>
      <c r="S6" s="281">
        <v>383</v>
      </c>
      <c r="T6" s="281">
        <v>502</v>
      </c>
      <c r="U6" s="15">
        <f>SUM(L6:T6)</f>
        <v>3098</v>
      </c>
      <c r="V6" s="15">
        <f t="shared" si="1"/>
        <v>5918</v>
      </c>
      <c r="W6" s="290">
        <v>117</v>
      </c>
    </row>
    <row r="7" spans="1:23" ht="26.1" customHeight="1">
      <c r="A7" s="282" t="s">
        <v>3</v>
      </c>
      <c r="B7" s="283">
        <v>8</v>
      </c>
      <c r="C7" s="283">
        <v>2</v>
      </c>
      <c r="D7" s="283">
        <v>4</v>
      </c>
      <c r="E7" s="283">
        <v>16</v>
      </c>
      <c r="F7" s="283">
        <v>10</v>
      </c>
      <c r="G7" s="283">
        <v>6</v>
      </c>
      <c r="H7" s="283">
        <v>14</v>
      </c>
      <c r="I7" s="283">
        <v>18</v>
      </c>
      <c r="J7" s="283">
        <v>12</v>
      </c>
      <c r="K7" s="16"/>
      <c r="L7" s="283">
        <v>11</v>
      </c>
      <c r="M7" s="283">
        <v>13</v>
      </c>
      <c r="N7" s="283">
        <v>7</v>
      </c>
      <c r="O7" s="283">
        <v>17</v>
      </c>
      <c r="P7" s="283">
        <v>3</v>
      </c>
      <c r="Q7" s="283">
        <v>15</v>
      </c>
      <c r="R7" s="283">
        <v>9</v>
      </c>
      <c r="S7" s="283">
        <v>5</v>
      </c>
      <c r="T7" s="283">
        <v>1</v>
      </c>
      <c r="U7" s="16"/>
      <c r="V7" s="16"/>
      <c r="W7" s="291"/>
    </row>
    <row r="8" spans="1:23" ht="26.1" customHeight="1">
      <c r="A8" s="284" t="s">
        <v>4</v>
      </c>
      <c r="B8" s="285">
        <v>4</v>
      </c>
      <c r="C8" s="285">
        <v>5</v>
      </c>
      <c r="D8" s="285">
        <v>4</v>
      </c>
      <c r="E8" s="285">
        <v>3</v>
      </c>
      <c r="F8" s="285">
        <v>4</v>
      </c>
      <c r="G8" s="285">
        <v>4</v>
      </c>
      <c r="H8" s="285">
        <v>4</v>
      </c>
      <c r="I8" s="285">
        <v>3</v>
      </c>
      <c r="J8" s="285">
        <v>4</v>
      </c>
      <c r="K8" s="17">
        <f>SUM(B8:J8)</f>
        <v>35</v>
      </c>
      <c r="L8" s="285">
        <v>4</v>
      </c>
      <c r="M8" s="285">
        <v>4</v>
      </c>
      <c r="N8" s="285">
        <v>4</v>
      </c>
      <c r="O8" s="285">
        <v>3</v>
      </c>
      <c r="P8" s="285">
        <v>5</v>
      </c>
      <c r="Q8" s="285">
        <v>3</v>
      </c>
      <c r="R8" s="285">
        <v>4</v>
      </c>
      <c r="S8" s="285">
        <v>4</v>
      </c>
      <c r="T8" s="285">
        <v>5</v>
      </c>
      <c r="U8" s="17">
        <f>SUM(L8:T8)</f>
        <v>36</v>
      </c>
      <c r="V8" s="17">
        <f>K8+U8</f>
        <v>71</v>
      </c>
      <c r="W8" s="292"/>
    </row>
    <row r="9" spans="1:23" ht="26.1" customHeight="1">
      <c r="A9" s="23" t="s">
        <v>125</v>
      </c>
      <c r="B9" s="24">
        <v>1</v>
      </c>
      <c r="C9" s="24">
        <v>2</v>
      </c>
      <c r="D9" s="24">
        <v>3</v>
      </c>
      <c r="E9" s="24">
        <v>4</v>
      </c>
      <c r="F9" s="24">
        <v>5</v>
      </c>
      <c r="G9" s="24">
        <v>6</v>
      </c>
      <c r="H9" s="24">
        <v>7</v>
      </c>
      <c r="I9" s="24">
        <v>8</v>
      </c>
      <c r="J9" s="24">
        <v>9</v>
      </c>
      <c r="K9" s="24" t="s">
        <v>0</v>
      </c>
      <c r="L9" s="24">
        <v>10</v>
      </c>
      <c r="M9" s="24">
        <v>11</v>
      </c>
      <c r="N9" s="24">
        <v>12</v>
      </c>
      <c r="O9" s="24">
        <v>13</v>
      </c>
      <c r="P9" s="24">
        <v>14</v>
      </c>
      <c r="Q9" s="24">
        <v>15</v>
      </c>
      <c r="R9" s="24">
        <v>16</v>
      </c>
      <c r="S9" s="24">
        <v>17</v>
      </c>
      <c r="T9" s="24">
        <v>18</v>
      </c>
      <c r="U9" s="24" t="s">
        <v>1</v>
      </c>
      <c r="V9" s="24" t="s">
        <v>2</v>
      </c>
      <c r="W9" s="24"/>
    </row>
    <row r="10" spans="1:23" ht="26.1" customHeight="1">
      <c r="A10" s="19" t="s">
        <v>122</v>
      </c>
      <c r="B10" s="281">
        <v>355</v>
      </c>
      <c r="C10" s="281">
        <v>498</v>
      </c>
      <c r="D10" s="281">
        <v>380</v>
      </c>
      <c r="E10" s="281">
        <v>146</v>
      </c>
      <c r="F10" s="281">
        <v>335</v>
      </c>
      <c r="G10" s="281">
        <v>364</v>
      </c>
      <c r="H10" s="281">
        <v>351</v>
      </c>
      <c r="I10" s="281">
        <v>125</v>
      </c>
      <c r="J10" s="281">
        <v>266</v>
      </c>
      <c r="K10" s="15">
        <f t="shared" ref="K10" si="2">SUM(B10:J10)</f>
        <v>2820</v>
      </c>
      <c r="L10" s="281">
        <v>382</v>
      </c>
      <c r="M10" s="281">
        <v>368</v>
      </c>
      <c r="N10" s="281">
        <v>357</v>
      </c>
      <c r="O10" s="281">
        <v>127</v>
      </c>
      <c r="P10" s="281">
        <v>473</v>
      </c>
      <c r="Q10" s="281">
        <v>146</v>
      </c>
      <c r="R10" s="281">
        <v>360</v>
      </c>
      <c r="S10" s="281">
        <v>383</v>
      </c>
      <c r="T10" s="281">
        <v>502</v>
      </c>
      <c r="U10" s="15">
        <f>SUM(L10:T10)</f>
        <v>3098</v>
      </c>
      <c r="V10" s="15">
        <f t="shared" ref="V10" si="3">K10+U10</f>
        <v>5918</v>
      </c>
      <c r="W10" s="290">
        <v>121</v>
      </c>
    </row>
    <row r="11" spans="1:23" ht="26.1" customHeight="1">
      <c r="A11" s="22" t="s">
        <v>12</v>
      </c>
      <c r="B11" s="286">
        <v>339</v>
      </c>
      <c r="C11" s="286">
        <v>460</v>
      </c>
      <c r="D11" s="286">
        <v>327</v>
      </c>
      <c r="E11" s="286">
        <v>123</v>
      </c>
      <c r="F11" s="286">
        <v>310</v>
      </c>
      <c r="G11" s="286">
        <v>350</v>
      </c>
      <c r="H11" s="286">
        <v>296</v>
      </c>
      <c r="I11" s="286">
        <v>112</v>
      </c>
      <c r="J11" s="286">
        <v>205</v>
      </c>
      <c r="K11" s="18">
        <f t="shared" ref="K11" si="4">SUM(B11:J11)</f>
        <v>2522</v>
      </c>
      <c r="L11" s="286">
        <v>346</v>
      </c>
      <c r="M11" s="286">
        <v>319</v>
      </c>
      <c r="N11" s="286">
        <v>304</v>
      </c>
      <c r="O11" s="286">
        <v>106</v>
      </c>
      <c r="P11" s="286">
        <v>446</v>
      </c>
      <c r="Q11" s="286">
        <v>108</v>
      </c>
      <c r="R11" s="286">
        <v>309</v>
      </c>
      <c r="S11" s="286">
        <v>309</v>
      </c>
      <c r="T11" s="286">
        <v>441</v>
      </c>
      <c r="U11" s="18">
        <f>SUM(L11:T11)</f>
        <v>2688</v>
      </c>
      <c r="V11" s="18">
        <f>K11+U11</f>
        <v>5210</v>
      </c>
      <c r="W11" s="293">
        <v>118</v>
      </c>
    </row>
    <row r="12" spans="1:23" ht="26.1" customHeight="1">
      <c r="A12" s="20" t="s">
        <v>3</v>
      </c>
      <c r="B12" s="283">
        <v>6</v>
      </c>
      <c r="C12" s="283">
        <v>2</v>
      </c>
      <c r="D12" s="283">
        <v>8</v>
      </c>
      <c r="E12" s="283">
        <v>16</v>
      </c>
      <c r="F12" s="283">
        <v>10</v>
      </c>
      <c r="G12" s="283">
        <v>4</v>
      </c>
      <c r="H12" s="283">
        <v>14</v>
      </c>
      <c r="I12" s="283">
        <v>18</v>
      </c>
      <c r="J12" s="283">
        <v>12</v>
      </c>
      <c r="K12" s="16"/>
      <c r="L12" s="283">
        <v>5</v>
      </c>
      <c r="M12" s="283">
        <v>9</v>
      </c>
      <c r="N12" s="283">
        <v>11</v>
      </c>
      <c r="O12" s="283">
        <v>17</v>
      </c>
      <c r="P12" s="283">
        <v>3</v>
      </c>
      <c r="Q12" s="283">
        <v>15</v>
      </c>
      <c r="R12" s="283">
        <v>7</v>
      </c>
      <c r="S12" s="283">
        <v>13</v>
      </c>
      <c r="T12" s="283">
        <v>1</v>
      </c>
      <c r="U12" s="16"/>
      <c r="V12" s="16"/>
      <c r="W12" s="291"/>
    </row>
    <row r="13" spans="1:23" ht="26.1" customHeight="1">
      <c r="A13" s="21" t="s">
        <v>4</v>
      </c>
      <c r="B13" s="285">
        <v>4</v>
      </c>
      <c r="C13" s="285">
        <v>5</v>
      </c>
      <c r="D13" s="285">
        <v>4</v>
      </c>
      <c r="E13" s="285">
        <v>3</v>
      </c>
      <c r="F13" s="285">
        <v>4</v>
      </c>
      <c r="G13" s="285">
        <v>4</v>
      </c>
      <c r="H13" s="285">
        <v>4</v>
      </c>
      <c r="I13" s="285">
        <v>3</v>
      </c>
      <c r="J13" s="285">
        <v>4</v>
      </c>
      <c r="K13" s="17">
        <f t="shared" ref="K13" si="5">SUM(B13:J13)</f>
        <v>35</v>
      </c>
      <c r="L13" s="285">
        <v>4</v>
      </c>
      <c r="M13" s="285">
        <v>4</v>
      </c>
      <c r="N13" s="285">
        <v>4</v>
      </c>
      <c r="O13" s="285">
        <v>3</v>
      </c>
      <c r="P13" s="285">
        <v>5</v>
      </c>
      <c r="Q13" s="285">
        <v>3</v>
      </c>
      <c r="R13" s="285">
        <v>4</v>
      </c>
      <c r="S13" s="285">
        <v>4</v>
      </c>
      <c r="T13" s="285">
        <v>5</v>
      </c>
      <c r="U13" s="17">
        <f>SUM(L13:T13)</f>
        <v>36</v>
      </c>
      <c r="V13" s="17">
        <f>K13+U13</f>
        <v>71</v>
      </c>
      <c r="W13" s="292"/>
    </row>
    <row r="16" spans="1:23" ht="33.75">
      <c r="A16" s="407" t="s">
        <v>431</v>
      </c>
      <c r="B16" s="408"/>
      <c r="C16" s="408"/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408"/>
      <c r="P16" s="408"/>
      <c r="Q16" s="408"/>
      <c r="R16" s="408"/>
      <c r="S16" s="408"/>
      <c r="T16" s="408"/>
      <c r="U16" s="408"/>
      <c r="V16" s="408"/>
      <c r="W16" s="409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">
    <mergeCell ref="A16:W16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168"/>
  <sheetViews>
    <sheetView workbookViewId="0">
      <selection activeCell="B7" sqref="B7"/>
    </sheetView>
  </sheetViews>
  <sheetFormatPr defaultColWidth="11.5546875" defaultRowHeight="15"/>
  <cols>
    <col min="1" max="1" width="26.33203125" style="252" customWidth="1"/>
    <col min="2" max="2" width="8.6640625" style="252" customWidth="1"/>
    <col min="3" max="5" width="14.44140625" customWidth="1"/>
    <col min="6" max="7" width="14.44140625" style="252" customWidth="1"/>
    <col min="8" max="8" width="14.44140625" customWidth="1"/>
    <col min="9" max="9" width="11.44140625" customWidth="1"/>
    <col min="10" max="10" width="26.6640625" customWidth="1"/>
  </cols>
  <sheetData>
    <row r="1" spans="1:10" ht="36.75">
      <c r="A1" s="265"/>
      <c r="B1" s="266" t="s">
        <v>109</v>
      </c>
      <c r="C1" s="266"/>
      <c r="D1" s="265"/>
      <c r="E1" s="265"/>
      <c r="F1" s="265"/>
      <c r="G1" s="265"/>
      <c r="H1" s="265"/>
      <c r="I1" s="265"/>
      <c r="J1" s="267"/>
    </row>
    <row r="2" spans="1:10" s="4" customFormat="1" ht="18.95" customHeight="1">
      <c r="A2" s="268"/>
      <c r="B2" s="269" t="s">
        <v>147</v>
      </c>
      <c r="C2" s="269"/>
      <c r="D2" s="268"/>
      <c r="E2" s="268"/>
      <c r="F2" s="268"/>
      <c r="G2" s="268"/>
      <c r="H2" s="268"/>
      <c r="I2" s="268"/>
      <c r="J2" s="270"/>
    </row>
    <row r="3" spans="1:10" s="4" customFormat="1" ht="18.95" customHeight="1">
      <c r="A3" s="268"/>
      <c r="B3" s="269" t="s">
        <v>145</v>
      </c>
      <c r="C3" s="269"/>
      <c r="D3" s="268"/>
      <c r="E3" s="268"/>
      <c r="F3" s="268"/>
      <c r="G3" s="268"/>
      <c r="H3" s="268"/>
      <c r="I3" s="268"/>
      <c r="J3" s="270"/>
    </row>
    <row r="4" spans="1:10" s="4" customFormat="1" ht="18.95" customHeight="1">
      <c r="A4" s="268"/>
      <c r="B4" s="269" t="s">
        <v>149</v>
      </c>
      <c r="C4" s="269"/>
      <c r="D4" s="268"/>
      <c r="E4" s="268"/>
      <c r="F4" s="268"/>
      <c r="G4" s="268"/>
      <c r="H4" s="268"/>
      <c r="I4" s="268"/>
      <c r="J4" s="270"/>
    </row>
    <row r="5" spans="1:10" s="103" customFormat="1" ht="42.95" customHeight="1">
      <c r="A5" s="249" t="s">
        <v>141</v>
      </c>
      <c r="B5" s="249" t="s">
        <v>152</v>
      </c>
      <c r="C5" s="167" t="s">
        <v>144</v>
      </c>
      <c r="D5" s="167" t="s">
        <v>110</v>
      </c>
      <c r="E5" s="167" t="s">
        <v>111</v>
      </c>
      <c r="F5" s="249" t="s">
        <v>112</v>
      </c>
      <c r="G5" s="249" t="s">
        <v>113</v>
      </c>
      <c r="H5" s="167" t="s">
        <v>114</v>
      </c>
      <c r="I5" s="167" t="s">
        <v>120</v>
      </c>
      <c r="J5" s="167" t="s">
        <v>150</v>
      </c>
    </row>
    <row r="6" spans="1:10" s="5" customFormat="1" ht="21.95" customHeight="1">
      <c r="A6" s="250" t="s">
        <v>143</v>
      </c>
      <c r="B6" s="251"/>
      <c r="C6" s="4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>Carter Jr</v>
      </c>
      <c r="D6" s="101" t="str">
        <f>PROPER(IF(Table46[[#This Row],[FIRST / LAST]]="","",IF(ISERROR(FIND(".",Table46[[#This Row],[FIRST / LAST]],1)),"",LEFT(Table46[[#This Row],[FIRST / LAST]],FIND(".",Table46[[#This Row],[FIRST / LAST]],1)))))</f>
        <v/>
      </c>
      <c r="E6" s="101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>Kevin</v>
      </c>
      <c r="F6" s="253"/>
      <c r="G6" s="253"/>
      <c r="H6" s="4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>Carter</v>
      </c>
      <c r="I6" s="4" t="str">
        <f>PROPER(IF(ISERROR(FIND(" ",Table46[[#This Row],[LAST TEST]],1)),"",RIGHT(Table46[[#This Row],[LAST TEST]],LEN(Table46[[#This Row],[LAST TEST]])-FIND(" ",Table46[[#This Row],[LAST TEST]],1))))</f>
        <v>Jr</v>
      </c>
      <c r="J6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>Carter, Kevin Jr</v>
      </c>
    </row>
    <row r="7" spans="1:10" s="5" customFormat="1" ht="21.95" customHeight="1">
      <c r="A7" s="250" t="s">
        <v>142</v>
      </c>
      <c r="B7" s="251"/>
      <c r="C7" s="4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>Carter</v>
      </c>
      <c r="D7" s="101" t="str">
        <f>PROPER(IF(Table46[[#This Row],[FIRST / LAST]]="","",IF(ISERROR(FIND(".",Table46[[#This Row],[FIRST / LAST]],1)),"",LEFT(Table46[[#This Row],[FIRST / LAST]],FIND(".",Table46[[#This Row],[FIRST / LAST]],1)))))</f>
        <v>Dr.</v>
      </c>
      <c r="E7" s="101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>Kevin</v>
      </c>
      <c r="F7" s="253"/>
      <c r="G7" s="253"/>
      <c r="H7" s="4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>Carter</v>
      </c>
      <c r="I7" s="4" t="str">
        <f>PROPER(IF(ISERROR(FIND(" ",Table46[[#This Row],[LAST TEST]],1)),"",RIGHT(Table46[[#This Row],[LAST TEST]],LEN(Table46[[#This Row],[LAST TEST]])-FIND(" ",Table46[[#This Row],[LAST TEST]],1))))</f>
        <v/>
      </c>
      <c r="J7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>Carter, Kevin</v>
      </c>
    </row>
    <row r="8" spans="1:10" s="5" customFormat="1" ht="21.95" customHeight="1">
      <c r="A8" s="250" t="s">
        <v>146</v>
      </c>
      <c r="B8" s="251"/>
      <c r="C8" s="4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" s="101" t="str">
        <f>PROPER(IF(Table46[[#This Row],[FIRST / LAST]]="","",IF(ISERROR(FIND(".",Table46[[#This Row],[FIRST / LAST]],1)),"",LEFT(Table46[[#This Row],[FIRST / LAST]],FIND(".",Table46[[#This Row],[FIRST / LAST]],1)))))</f>
        <v/>
      </c>
      <c r="E8" s="101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>Kevin</v>
      </c>
      <c r="F8" s="253"/>
      <c r="G8" s="253"/>
      <c r="H8" s="4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" s="4" t="str">
        <f>PROPER(IF(ISERROR(FIND(" ",Table46[[#This Row],[LAST TEST]],1)),"",RIGHT(Table46[[#This Row],[LAST TEST]],LEN(Table46[[#This Row],[LAST TEST]])-FIND(" ",Table46[[#This Row],[LAST TEST]],1))))</f>
        <v/>
      </c>
      <c r="J8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>Kevin</v>
      </c>
    </row>
    <row r="9" spans="1:10" s="5" customFormat="1" ht="21.95" customHeight="1">
      <c r="A9" s="250" t="s">
        <v>148</v>
      </c>
      <c r="B9" s="251"/>
      <c r="C9" s="4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>Carter Jr</v>
      </c>
      <c r="D9" s="101" t="str">
        <f>PROPER(IF(Table46[[#This Row],[FIRST / LAST]]="","",IF(ISERROR(FIND(".",Table46[[#This Row],[FIRST / LAST]],1)),"",LEFT(Table46[[#This Row],[FIRST / LAST]],FIND(".",Table46[[#This Row],[FIRST / LAST]],1)))))</f>
        <v>Dr.</v>
      </c>
      <c r="E9" s="101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>Kevin</v>
      </c>
      <c r="F9" s="253"/>
      <c r="G9" s="253"/>
      <c r="H9" s="4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>Carter</v>
      </c>
      <c r="I9" s="4" t="str">
        <f>PROPER(IF(ISERROR(FIND(" ",Table46[[#This Row],[LAST TEST]],1)),"",RIGHT(Table46[[#This Row],[LAST TEST]],LEN(Table46[[#This Row],[LAST TEST]])-FIND(" ",Table46[[#This Row],[LAST TEST]],1))))</f>
        <v>Jr</v>
      </c>
      <c r="J9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>Carter, Kevin Jr</v>
      </c>
    </row>
    <row r="10" spans="1:10" s="5" customFormat="1" ht="21.95" customHeight="1">
      <c r="A10" s="250"/>
      <c r="B10" s="251"/>
      <c r="C1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0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0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0" s="254"/>
      <c r="G10" s="254"/>
      <c r="H1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0" s="5" t="str">
        <f>PROPER(IF(ISERROR(FIND(" ",Table46[[#This Row],[LAST TEST]],1)),"",RIGHT(Table46[[#This Row],[LAST TEST]],LEN(Table46[[#This Row],[LAST TEST]])-FIND(" ",Table46[[#This Row],[LAST TEST]],1))))</f>
        <v/>
      </c>
      <c r="J10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1" spans="1:10" s="5" customFormat="1" ht="21.95" customHeight="1">
      <c r="A11" s="250"/>
      <c r="B11" s="251"/>
      <c r="C1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1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1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1" s="254"/>
      <c r="G11" s="254"/>
      <c r="H1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1" s="5" t="str">
        <f>PROPER(IF(ISERROR(FIND(" ",Table46[[#This Row],[LAST TEST]],1)),"",RIGHT(Table46[[#This Row],[LAST TEST]],LEN(Table46[[#This Row],[LAST TEST]])-FIND(" ",Table46[[#This Row],[LAST TEST]],1))))</f>
        <v/>
      </c>
      <c r="J11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2" spans="1:10" s="5" customFormat="1" ht="21.95" customHeight="1">
      <c r="A12" s="250"/>
      <c r="B12" s="251"/>
      <c r="C1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2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2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2" s="254"/>
      <c r="G12" s="254"/>
      <c r="H1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2" s="5" t="str">
        <f>PROPER(IF(ISERROR(FIND(" ",Table46[[#This Row],[LAST TEST]],1)),"",RIGHT(Table46[[#This Row],[LAST TEST]],LEN(Table46[[#This Row],[LAST TEST]])-FIND(" ",Table46[[#This Row],[LAST TEST]],1))))</f>
        <v/>
      </c>
      <c r="J12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3" spans="1:10" s="5" customFormat="1" ht="21.95" customHeight="1">
      <c r="A13" s="250"/>
      <c r="B13" s="251"/>
      <c r="C1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3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3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3" s="254"/>
      <c r="G13" s="254"/>
      <c r="H1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3" s="5" t="str">
        <f>PROPER(IF(ISERROR(FIND(" ",Table46[[#This Row],[LAST TEST]],1)),"",RIGHT(Table46[[#This Row],[LAST TEST]],LEN(Table46[[#This Row],[LAST TEST]])-FIND(" ",Table46[[#This Row],[LAST TEST]],1))))</f>
        <v/>
      </c>
      <c r="J13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4" spans="1:10" s="5" customFormat="1" ht="21.95" customHeight="1">
      <c r="A14" s="250"/>
      <c r="B14" s="251"/>
      <c r="C1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4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4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4" s="254"/>
      <c r="G14" s="254"/>
      <c r="H1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4" s="5" t="str">
        <f>PROPER(IF(ISERROR(FIND(" ",Table46[[#This Row],[LAST TEST]],1)),"",RIGHT(Table46[[#This Row],[LAST TEST]],LEN(Table46[[#This Row],[LAST TEST]])-FIND(" ",Table46[[#This Row],[LAST TEST]],1))))</f>
        <v/>
      </c>
      <c r="J14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5" spans="1:10" s="5" customFormat="1" ht="21.95" customHeight="1">
      <c r="A15" s="250"/>
      <c r="B15" s="251"/>
      <c r="C1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5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5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5" s="254"/>
      <c r="G15" s="254"/>
      <c r="H1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5" s="5" t="str">
        <f>PROPER(IF(ISERROR(FIND(" ",Table46[[#This Row],[LAST TEST]],1)),"",RIGHT(Table46[[#This Row],[LAST TEST]],LEN(Table46[[#This Row],[LAST TEST]])-FIND(" ",Table46[[#This Row],[LAST TEST]],1))))</f>
        <v/>
      </c>
      <c r="J15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6" spans="1:10" s="5" customFormat="1" ht="21.95" customHeight="1">
      <c r="A16" s="250"/>
      <c r="B16" s="251"/>
      <c r="C1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6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6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6" s="254"/>
      <c r="G16" s="254"/>
      <c r="H1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6" s="5" t="str">
        <f>PROPER(IF(ISERROR(FIND(" ",Table46[[#This Row],[LAST TEST]],1)),"",RIGHT(Table46[[#This Row],[LAST TEST]],LEN(Table46[[#This Row],[LAST TEST]])-FIND(" ",Table46[[#This Row],[LAST TEST]],1))))</f>
        <v/>
      </c>
      <c r="J16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7" spans="1:10" s="5" customFormat="1" ht="21.95" customHeight="1">
      <c r="A17" s="250"/>
      <c r="B17" s="251"/>
      <c r="C1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7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7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7" s="254"/>
      <c r="G17" s="254"/>
      <c r="H1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7" s="5" t="str">
        <f>PROPER(IF(ISERROR(FIND(" ",Table46[[#This Row],[LAST TEST]],1)),"",RIGHT(Table46[[#This Row],[LAST TEST]],LEN(Table46[[#This Row],[LAST TEST]])-FIND(" ",Table46[[#This Row],[LAST TEST]],1))))</f>
        <v/>
      </c>
      <c r="J17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8" spans="1:10" s="5" customFormat="1" ht="21.95" customHeight="1">
      <c r="A18" s="250"/>
      <c r="B18" s="251"/>
      <c r="C1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8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8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8" s="254"/>
      <c r="G18" s="254"/>
      <c r="H1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8" s="5" t="str">
        <f>PROPER(IF(ISERROR(FIND(" ",Table46[[#This Row],[LAST TEST]],1)),"",RIGHT(Table46[[#This Row],[LAST TEST]],LEN(Table46[[#This Row],[LAST TEST]])-FIND(" ",Table46[[#This Row],[LAST TEST]],1))))</f>
        <v/>
      </c>
      <c r="J18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9" spans="1:10" s="5" customFormat="1" ht="21.95" customHeight="1">
      <c r="A19" s="250"/>
      <c r="B19" s="251"/>
      <c r="C1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9" s="102" t="str">
        <f>PROPER(IF(Table46[[#This Row],[FIRST / LAST]]="","",IF(ISERROR(FIND(".",Table46[[#This Row],[FIRST / LAST]],1)),"",LEFT(Table46[[#This Row],[FIRST / LAST]],FIND(".",Table46[[#This Row],[FIRST / LAST]],1)))))</f>
        <v/>
      </c>
      <c r="E19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9" s="254"/>
      <c r="G19" s="254"/>
      <c r="H1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9" s="5" t="str">
        <f>PROPER(IF(ISERROR(FIND(" ",Table46[[#This Row],[LAST TEST]],1)),"",RIGHT(Table46[[#This Row],[LAST TEST]],LEN(Table46[[#This Row],[LAST TEST]])-FIND(" ",Table46[[#This Row],[LAST TEST]],1))))</f>
        <v/>
      </c>
      <c r="J19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0" spans="1:10" s="5" customFormat="1" ht="21.95" customHeight="1">
      <c r="A20" s="250"/>
      <c r="B20" s="251"/>
      <c r="C2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0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0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0" s="254"/>
      <c r="G20" s="254"/>
      <c r="H2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0" s="5" t="str">
        <f>PROPER(IF(ISERROR(FIND(" ",Table46[[#This Row],[LAST TEST]],1)),"",RIGHT(Table46[[#This Row],[LAST TEST]],LEN(Table46[[#This Row],[LAST TEST]])-FIND(" ",Table46[[#This Row],[LAST TEST]],1))))</f>
        <v/>
      </c>
      <c r="J20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1" spans="1:10" s="5" customFormat="1" ht="21.95" customHeight="1">
      <c r="A21" s="250"/>
      <c r="B21" s="251"/>
      <c r="C2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1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1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1" s="254"/>
      <c r="G21" s="254"/>
      <c r="H2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1" s="5" t="str">
        <f>PROPER(IF(ISERROR(FIND(" ",Table46[[#This Row],[LAST TEST]],1)),"",RIGHT(Table46[[#This Row],[LAST TEST]],LEN(Table46[[#This Row],[LAST TEST]])-FIND(" ",Table46[[#This Row],[LAST TEST]],1))))</f>
        <v/>
      </c>
      <c r="J21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2" spans="1:10" s="5" customFormat="1" ht="21.95" customHeight="1">
      <c r="A22" s="250"/>
      <c r="B22" s="251"/>
      <c r="C2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2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2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2" s="254"/>
      <c r="G22" s="254"/>
      <c r="H2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2" s="5" t="str">
        <f>PROPER(IF(ISERROR(FIND(" ",Table46[[#This Row],[LAST TEST]],1)),"",RIGHT(Table46[[#This Row],[LAST TEST]],LEN(Table46[[#This Row],[LAST TEST]])-FIND(" ",Table46[[#This Row],[LAST TEST]],1))))</f>
        <v/>
      </c>
      <c r="J22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3" spans="1:10" s="5" customFormat="1" ht="21.95" customHeight="1">
      <c r="A23" s="250"/>
      <c r="B23" s="251"/>
      <c r="C2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3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3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3" s="254"/>
      <c r="G23" s="254"/>
      <c r="H2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3" s="5" t="str">
        <f>PROPER(IF(ISERROR(FIND(" ",Table46[[#This Row],[LAST TEST]],1)),"",RIGHT(Table46[[#This Row],[LAST TEST]],LEN(Table46[[#This Row],[LAST TEST]])-FIND(" ",Table46[[#This Row],[LAST TEST]],1))))</f>
        <v/>
      </c>
      <c r="J23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4" spans="1:10" s="5" customFormat="1" ht="21.95" customHeight="1">
      <c r="A24" s="250"/>
      <c r="B24" s="251"/>
      <c r="C2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4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4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4" s="254"/>
      <c r="G24" s="254"/>
      <c r="H2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4" s="5" t="str">
        <f>PROPER(IF(ISERROR(FIND(" ",Table46[[#This Row],[LAST TEST]],1)),"",RIGHT(Table46[[#This Row],[LAST TEST]],LEN(Table46[[#This Row],[LAST TEST]])-FIND(" ",Table46[[#This Row],[LAST TEST]],1))))</f>
        <v/>
      </c>
      <c r="J24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5" spans="1:10" s="5" customFormat="1" ht="21.95" customHeight="1">
      <c r="A25" s="250"/>
      <c r="B25" s="251"/>
      <c r="C2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5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5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5" s="254"/>
      <c r="G25" s="254"/>
      <c r="H2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5" s="5" t="str">
        <f>PROPER(IF(ISERROR(FIND(" ",Table46[[#This Row],[LAST TEST]],1)),"",RIGHT(Table46[[#This Row],[LAST TEST]],LEN(Table46[[#This Row],[LAST TEST]])-FIND(" ",Table46[[#This Row],[LAST TEST]],1))))</f>
        <v/>
      </c>
      <c r="J25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6" spans="1:10" s="5" customFormat="1" ht="21.95" customHeight="1">
      <c r="A26" s="250"/>
      <c r="B26" s="251"/>
      <c r="C2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6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6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6" s="254"/>
      <c r="G26" s="254"/>
      <c r="H2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6" s="5" t="str">
        <f>PROPER(IF(ISERROR(FIND(" ",Table46[[#This Row],[LAST TEST]],1)),"",RIGHT(Table46[[#This Row],[LAST TEST]],LEN(Table46[[#This Row],[LAST TEST]])-FIND(" ",Table46[[#This Row],[LAST TEST]],1))))</f>
        <v/>
      </c>
      <c r="J26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7" spans="1:10" s="5" customFormat="1" ht="21.95" customHeight="1">
      <c r="A27" s="250"/>
      <c r="B27" s="251"/>
      <c r="C2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7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7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7" s="254"/>
      <c r="G27" s="254"/>
      <c r="H2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7" s="5" t="str">
        <f>PROPER(IF(ISERROR(FIND(" ",Table46[[#This Row],[LAST TEST]],1)),"",RIGHT(Table46[[#This Row],[LAST TEST]],LEN(Table46[[#This Row],[LAST TEST]])-FIND(" ",Table46[[#This Row],[LAST TEST]],1))))</f>
        <v/>
      </c>
      <c r="J27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8" spans="1:10" s="5" customFormat="1" ht="21.95" customHeight="1">
      <c r="A28" s="250"/>
      <c r="B28" s="251"/>
      <c r="C2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8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8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8" s="254"/>
      <c r="G28" s="254"/>
      <c r="H2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8" s="5" t="str">
        <f>PROPER(IF(ISERROR(FIND(" ",Table46[[#This Row],[LAST TEST]],1)),"",RIGHT(Table46[[#This Row],[LAST TEST]],LEN(Table46[[#This Row],[LAST TEST]])-FIND(" ",Table46[[#This Row],[LAST TEST]],1))))</f>
        <v/>
      </c>
      <c r="J28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29" spans="1:10" s="5" customFormat="1" ht="21.95" customHeight="1">
      <c r="A29" s="250"/>
      <c r="B29" s="251"/>
      <c r="C2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29" s="102" t="str">
        <f>PROPER(IF(Table46[[#This Row],[FIRST / LAST]]="","",IF(ISERROR(FIND(".",Table46[[#This Row],[FIRST / LAST]],1)),"",LEFT(Table46[[#This Row],[FIRST / LAST]],FIND(".",Table46[[#This Row],[FIRST / LAST]],1)))))</f>
        <v/>
      </c>
      <c r="E29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29" s="254"/>
      <c r="G29" s="254"/>
      <c r="H2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29" s="5" t="str">
        <f>PROPER(IF(ISERROR(FIND(" ",Table46[[#This Row],[LAST TEST]],1)),"",RIGHT(Table46[[#This Row],[LAST TEST]],LEN(Table46[[#This Row],[LAST TEST]])-FIND(" ",Table46[[#This Row],[LAST TEST]],1))))</f>
        <v/>
      </c>
      <c r="J29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0" spans="1:10" s="5" customFormat="1" ht="21.95" customHeight="1">
      <c r="A30" s="250"/>
      <c r="B30" s="251"/>
      <c r="C3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0" s="102" t="str">
        <f>PROPER(IF(Table46[[#This Row],[FIRST / LAST]]="","",IF(ISERROR(FIND(".",Table46[[#This Row],[FIRST / LAST]],1)),"",LEFT(Table46[[#This Row],[FIRST / LAST]],FIND(".",Table46[[#This Row],[FIRST / LAST]],1)))))</f>
        <v/>
      </c>
      <c r="E30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0" s="254"/>
      <c r="G30" s="254"/>
      <c r="H3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0" s="5" t="str">
        <f>PROPER(IF(ISERROR(FIND(" ",Table46[[#This Row],[LAST TEST]],1)),"",RIGHT(Table46[[#This Row],[LAST TEST]],LEN(Table46[[#This Row],[LAST TEST]])-FIND(" ",Table46[[#This Row],[LAST TEST]],1))))</f>
        <v/>
      </c>
      <c r="J30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1" spans="1:10" s="5" customFormat="1" ht="21.95" customHeight="1">
      <c r="A31" s="250"/>
      <c r="B31" s="251"/>
      <c r="C3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1" s="102" t="str">
        <f>PROPER(IF(Table46[[#This Row],[FIRST / LAST]]="","",IF(ISERROR(FIND(".",Table46[[#This Row],[FIRST / LAST]],1)),"",LEFT(Table46[[#This Row],[FIRST / LAST]],FIND(".",Table46[[#This Row],[FIRST / LAST]],1)))))</f>
        <v/>
      </c>
      <c r="E31" s="102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1" s="254"/>
      <c r="G31" s="254"/>
      <c r="H3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1" s="5" t="str">
        <f>PROPER(IF(ISERROR(FIND(" ",Table46[[#This Row],[LAST TEST]],1)),"",RIGHT(Table46[[#This Row],[LAST TEST]],LEN(Table46[[#This Row],[LAST TEST]])-FIND(" ",Table46[[#This Row],[LAST TEST]],1))))</f>
        <v/>
      </c>
      <c r="J31" s="4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2" spans="1:10" s="5" customFormat="1" ht="21.95" customHeight="1">
      <c r="A32" s="250"/>
      <c r="B32" s="251"/>
      <c r="C3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2" s="5" t="str">
        <f>PROPER(IF(Table46[[#This Row],[FIRST / LAST]]="","",IF(ISERROR(FIND(".",Table46[[#This Row],[FIRST / LAST]],1)),"",LEFT(Table46[[#This Row],[FIRST / LAST]],FIND(".",Table46[[#This Row],[FIRST / LAST]],1)))))</f>
        <v/>
      </c>
      <c r="E32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2" s="250"/>
      <c r="G32" s="250"/>
      <c r="H3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2" s="5" t="str">
        <f>PROPER(IF(ISERROR(FIND(" ",Table46[[#This Row],[LAST TEST]],1)),"",RIGHT(Table46[[#This Row],[LAST TEST]],LEN(Table46[[#This Row],[LAST TEST]])-FIND(" ",Table46[[#This Row],[LAST TEST]],1))))</f>
        <v/>
      </c>
      <c r="J32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3" spans="1:10" s="5" customFormat="1" ht="21.95" customHeight="1">
      <c r="A33" s="250"/>
      <c r="B33" s="251"/>
      <c r="C3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3" s="5" t="str">
        <f>PROPER(IF(Table46[[#This Row],[FIRST / LAST]]="","",IF(ISERROR(FIND(".",Table46[[#This Row],[FIRST / LAST]],1)),"",LEFT(Table46[[#This Row],[FIRST / LAST]],FIND(".",Table46[[#This Row],[FIRST / LAST]],1)))))</f>
        <v/>
      </c>
      <c r="E33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3" s="250"/>
      <c r="G33" s="250"/>
      <c r="H3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3" s="5" t="str">
        <f>PROPER(IF(ISERROR(FIND(" ",Table46[[#This Row],[LAST TEST]],1)),"",RIGHT(Table46[[#This Row],[LAST TEST]],LEN(Table46[[#This Row],[LAST TEST]])-FIND(" ",Table46[[#This Row],[LAST TEST]],1))))</f>
        <v/>
      </c>
      <c r="J33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4" spans="1:10" s="5" customFormat="1" ht="21.95" customHeight="1">
      <c r="A34" s="250"/>
      <c r="B34" s="251"/>
      <c r="C3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4" s="5" t="str">
        <f>PROPER(IF(Table46[[#This Row],[FIRST / LAST]]="","",IF(ISERROR(FIND(".",Table46[[#This Row],[FIRST / LAST]],1)),"",LEFT(Table46[[#This Row],[FIRST / LAST]],FIND(".",Table46[[#This Row],[FIRST / LAST]],1)))))</f>
        <v/>
      </c>
      <c r="E34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4" s="250"/>
      <c r="G34" s="250"/>
      <c r="H3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4" s="5" t="str">
        <f>PROPER(IF(ISERROR(FIND(" ",Table46[[#This Row],[LAST TEST]],1)),"",RIGHT(Table46[[#This Row],[LAST TEST]],LEN(Table46[[#This Row],[LAST TEST]])-FIND(" ",Table46[[#This Row],[LAST TEST]],1))))</f>
        <v/>
      </c>
      <c r="J34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5" spans="1:10" s="5" customFormat="1" ht="21.95" customHeight="1">
      <c r="A35" s="250"/>
      <c r="B35" s="251"/>
      <c r="C3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5" s="5" t="str">
        <f>PROPER(IF(Table46[[#This Row],[FIRST / LAST]]="","",IF(ISERROR(FIND(".",Table46[[#This Row],[FIRST / LAST]],1)),"",LEFT(Table46[[#This Row],[FIRST / LAST]],FIND(".",Table46[[#This Row],[FIRST / LAST]],1)))))</f>
        <v/>
      </c>
      <c r="E35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5" s="250"/>
      <c r="G35" s="250"/>
      <c r="H3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5" s="5" t="str">
        <f>PROPER(IF(ISERROR(FIND(" ",Table46[[#This Row],[LAST TEST]],1)),"",RIGHT(Table46[[#This Row],[LAST TEST]],LEN(Table46[[#This Row],[LAST TEST]])-FIND(" ",Table46[[#This Row],[LAST TEST]],1))))</f>
        <v/>
      </c>
      <c r="J35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6" spans="1:10" s="5" customFormat="1" ht="21.95" customHeight="1">
      <c r="A36" s="250"/>
      <c r="B36" s="251"/>
      <c r="C3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6" s="5" t="str">
        <f>PROPER(IF(Table46[[#This Row],[FIRST / LAST]]="","",IF(ISERROR(FIND(".",Table46[[#This Row],[FIRST / LAST]],1)),"",LEFT(Table46[[#This Row],[FIRST / LAST]],FIND(".",Table46[[#This Row],[FIRST / LAST]],1)))))</f>
        <v/>
      </c>
      <c r="E36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6" s="250"/>
      <c r="G36" s="250"/>
      <c r="H3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6" s="5" t="str">
        <f>PROPER(IF(ISERROR(FIND(" ",Table46[[#This Row],[LAST TEST]],1)),"",RIGHT(Table46[[#This Row],[LAST TEST]],LEN(Table46[[#This Row],[LAST TEST]])-FIND(" ",Table46[[#This Row],[LAST TEST]],1))))</f>
        <v/>
      </c>
      <c r="J36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7" spans="1:10" s="5" customFormat="1" ht="21.95" customHeight="1">
      <c r="A37" s="250"/>
      <c r="B37" s="251"/>
      <c r="C3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7" s="5" t="str">
        <f>PROPER(IF(Table46[[#This Row],[FIRST / LAST]]="","",IF(ISERROR(FIND(".",Table46[[#This Row],[FIRST / LAST]],1)),"",LEFT(Table46[[#This Row],[FIRST / LAST]],FIND(".",Table46[[#This Row],[FIRST / LAST]],1)))))</f>
        <v/>
      </c>
      <c r="E37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7" s="250"/>
      <c r="G37" s="250"/>
      <c r="H3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7" s="5" t="str">
        <f>PROPER(IF(ISERROR(FIND(" ",Table46[[#This Row],[LAST TEST]],1)),"",RIGHT(Table46[[#This Row],[LAST TEST]],LEN(Table46[[#This Row],[LAST TEST]])-FIND(" ",Table46[[#This Row],[LAST TEST]],1))))</f>
        <v/>
      </c>
      <c r="J37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8" spans="1:10" s="5" customFormat="1" ht="21.95" customHeight="1">
      <c r="A38" s="250"/>
      <c r="B38" s="251"/>
      <c r="C3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8" s="5" t="str">
        <f>PROPER(IF(Table46[[#This Row],[FIRST / LAST]]="","",IF(ISERROR(FIND(".",Table46[[#This Row],[FIRST / LAST]],1)),"",LEFT(Table46[[#This Row],[FIRST / LAST]],FIND(".",Table46[[#This Row],[FIRST / LAST]],1)))))</f>
        <v/>
      </c>
      <c r="E38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8" s="250"/>
      <c r="G38" s="250"/>
      <c r="H3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8" s="5" t="str">
        <f>PROPER(IF(ISERROR(FIND(" ",Table46[[#This Row],[LAST TEST]],1)),"",RIGHT(Table46[[#This Row],[LAST TEST]],LEN(Table46[[#This Row],[LAST TEST]])-FIND(" ",Table46[[#This Row],[LAST TEST]],1))))</f>
        <v/>
      </c>
      <c r="J38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39" spans="1:10" s="5" customFormat="1" ht="21.95" customHeight="1">
      <c r="A39" s="250"/>
      <c r="B39" s="251"/>
      <c r="C3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39" s="5" t="str">
        <f>PROPER(IF(Table46[[#This Row],[FIRST / LAST]]="","",IF(ISERROR(FIND(".",Table46[[#This Row],[FIRST / LAST]],1)),"",LEFT(Table46[[#This Row],[FIRST / LAST]],FIND(".",Table46[[#This Row],[FIRST / LAST]],1)))))</f>
        <v/>
      </c>
      <c r="E39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39" s="250"/>
      <c r="G39" s="250"/>
      <c r="H3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39" s="5" t="str">
        <f>PROPER(IF(ISERROR(FIND(" ",Table46[[#This Row],[LAST TEST]],1)),"",RIGHT(Table46[[#This Row],[LAST TEST]],LEN(Table46[[#This Row],[LAST TEST]])-FIND(" ",Table46[[#This Row],[LAST TEST]],1))))</f>
        <v/>
      </c>
      <c r="J39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0" spans="1:10" s="5" customFormat="1" ht="21.95" customHeight="1">
      <c r="A40" s="250"/>
      <c r="B40" s="251"/>
      <c r="C4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0" s="5" t="str">
        <f>PROPER(IF(Table46[[#This Row],[FIRST / LAST]]="","",IF(ISERROR(FIND(".",Table46[[#This Row],[FIRST / LAST]],1)),"",LEFT(Table46[[#This Row],[FIRST / LAST]],FIND(".",Table46[[#This Row],[FIRST / LAST]],1)))))</f>
        <v/>
      </c>
      <c r="E40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0" s="250"/>
      <c r="G40" s="250"/>
      <c r="H4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0" s="5" t="str">
        <f>PROPER(IF(ISERROR(FIND(" ",Table46[[#This Row],[LAST TEST]],1)),"",RIGHT(Table46[[#This Row],[LAST TEST]],LEN(Table46[[#This Row],[LAST TEST]])-FIND(" ",Table46[[#This Row],[LAST TEST]],1))))</f>
        <v/>
      </c>
      <c r="J40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1" spans="1:10" s="5" customFormat="1" ht="21.95" customHeight="1">
      <c r="A41" s="250"/>
      <c r="B41" s="251"/>
      <c r="C4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1" s="5" t="str">
        <f>PROPER(IF(Table46[[#This Row],[FIRST / LAST]]="","",IF(ISERROR(FIND(".",Table46[[#This Row],[FIRST / LAST]],1)),"",LEFT(Table46[[#This Row],[FIRST / LAST]],FIND(".",Table46[[#This Row],[FIRST / LAST]],1)))))</f>
        <v/>
      </c>
      <c r="E41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1" s="250"/>
      <c r="G41" s="250"/>
      <c r="H4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1" s="5" t="str">
        <f>PROPER(IF(ISERROR(FIND(" ",Table46[[#This Row],[LAST TEST]],1)),"",RIGHT(Table46[[#This Row],[LAST TEST]],LEN(Table46[[#This Row],[LAST TEST]])-FIND(" ",Table46[[#This Row],[LAST TEST]],1))))</f>
        <v/>
      </c>
      <c r="J41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2" spans="1:10" s="5" customFormat="1" ht="21.95" customHeight="1">
      <c r="A42" s="250"/>
      <c r="B42" s="251"/>
      <c r="C4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2" s="5" t="str">
        <f>PROPER(IF(Table46[[#This Row],[FIRST / LAST]]="","",IF(ISERROR(FIND(".",Table46[[#This Row],[FIRST / LAST]],1)),"",LEFT(Table46[[#This Row],[FIRST / LAST]],FIND(".",Table46[[#This Row],[FIRST / LAST]],1)))))</f>
        <v/>
      </c>
      <c r="E42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2" s="250"/>
      <c r="G42" s="250"/>
      <c r="H4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2" s="5" t="str">
        <f>PROPER(IF(ISERROR(FIND(" ",Table46[[#This Row],[LAST TEST]],1)),"",RIGHT(Table46[[#This Row],[LAST TEST]],LEN(Table46[[#This Row],[LAST TEST]])-FIND(" ",Table46[[#This Row],[LAST TEST]],1))))</f>
        <v/>
      </c>
      <c r="J42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3" spans="1:10" s="5" customFormat="1" ht="21.95" customHeight="1">
      <c r="A43" s="250"/>
      <c r="B43" s="251"/>
      <c r="C4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3" s="5" t="str">
        <f>PROPER(IF(Table46[[#This Row],[FIRST / LAST]]="","",IF(ISERROR(FIND(".",Table46[[#This Row],[FIRST / LAST]],1)),"",LEFT(Table46[[#This Row],[FIRST / LAST]],FIND(".",Table46[[#This Row],[FIRST / LAST]],1)))))</f>
        <v/>
      </c>
      <c r="E43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3" s="250"/>
      <c r="G43" s="250"/>
      <c r="H4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3" s="5" t="str">
        <f>PROPER(IF(ISERROR(FIND(" ",Table46[[#This Row],[LAST TEST]],1)),"",RIGHT(Table46[[#This Row],[LAST TEST]],LEN(Table46[[#This Row],[LAST TEST]])-FIND(" ",Table46[[#This Row],[LAST TEST]],1))))</f>
        <v/>
      </c>
      <c r="J43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4" spans="1:10" s="5" customFormat="1" ht="21.95" customHeight="1">
      <c r="A44" s="250"/>
      <c r="B44" s="251"/>
      <c r="C4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4" s="5" t="str">
        <f>PROPER(IF(Table46[[#This Row],[FIRST / LAST]]="","",IF(ISERROR(FIND(".",Table46[[#This Row],[FIRST / LAST]],1)),"",LEFT(Table46[[#This Row],[FIRST / LAST]],FIND(".",Table46[[#This Row],[FIRST / LAST]],1)))))</f>
        <v/>
      </c>
      <c r="E44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4" s="250"/>
      <c r="G44" s="250"/>
      <c r="H4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4" s="5" t="str">
        <f>PROPER(IF(ISERROR(FIND(" ",Table46[[#This Row],[LAST TEST]],1)),"",RIGHT(Table46[[#This Row],[LAST TEST]],LEN(Table46[[#This Row],[LAST TEST]])-FIND(" ",Table46[[#This Row],[LAST TEST]],1))))</f>
        <v/>
      </c>
      <c r="J44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5" spans="1:10" s="5" customFormat="1" ht="21.95" customHeight="1">
      <c r="A45" s="250"/>
      <c r="B45" s="251"/>
      <c r="C4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5" s="5" t="str">
        <f>PROPER(IF(Table46[[#This Row],[FIRST / LAST]]="","",IF(ISERROR(FIND(".",Table46[[#This Row],[FIRST / LAST]],1)),"",LEFT(Table46[[#This Row],[FIRST / LAST]],FIND(".",Table46[[#This Row],[FIRST / LAST]],1)))))</f>
        <v/>
      </c>
      <c r="E45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5" s="250"/>
      <c r="G45" s="250"/>
      <c r="H4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5" s="5" t="str">
        <f>PROPER(IF(ISERROR(FIND(" ",Table46[[#This Row],[LAST TEST]],1)),"",RIGHT(Table46[[#This Row],[LAST TEST]],LEN(Table46[[#This Row],[LAST TEST]])-FIND(" ",Table46[[#This Row],[LAST TEST]],1))))</f>
        <v/>
      </c>
      <c r="J45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6" spans="1:10" s="5" customFormat="1" ht="21.95" customHeight="1">
      <c r="A46" s="250"/>
      <c r="B46" s="251"/>
      <c r="C4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6" s="5" t="str">
        <f>PROPER(IF(Table46[[#This Row],[FIRST / LAST]]="","",IF(ISERROR(FIND(".",Table46[[#This Row],[FIRST / LAST]],1)),"",LEFT(Table46[[#This Row],[FIRST / LAST]],FIND(".",Table46[[#This Row],[FIRST / LAST]],1)))))</f>
        <v/>
      </c>
      <c r="E46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6" s="250"/>
      <c r="G46" s="250"/>
      <c r="H4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6" s="5" t="str">
        <f>PROPER(IF(ISERROR(FIND(" ",Table46[[#This Row],[LAST TEST]],1)),"",RIGHT(Table46[[#This Row],[LAST TEST]],LEN(Table46[[#This Row],[LAST TEST]])-FIND(" ",Table46[[#This Row],[LAST TEST]],1))))</f>
        <v/>
      </c>
      <c r="J46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7" spans="1:10" s="5" customFormat="1" ht="21.95" customHeight="1">
      <c r="A47" s="250"/>
      <c r="B47" s="251"/>
      <c r="C4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7" s="5" t="str">
        <f>PROPER(IF(Table46[[#This Row],[FIRST / LAST]]="","",IF(ISERROR(FIND(".",Table46[[#This Row],[FIRST / LAST]],1)),"",LEFT(Table46[[#This Row],[FIRST / LAST]],FIND(".",Table46[[#This Row],[FIRST / LAST]],1)))))</f>
        <v/>
      </c>
      <c r="E47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7" s="250"/>
      <c r="G47" s="250"/>
      <c r="H4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7" s="5" t="str">
        <f>PROPER(IF(ISERROR(FIND(" ",Table46[[#This Row],[LAST TEST]],1)),"",RIGHT(Table46[[#This Row],[LAST TEST]],LEN(Table46[[#This Row],[LAST TEST]])-FIND(" ",Table46[[#This Row],[LAST TEST]],1))))</f>
        <v/>
      </c>
      <c r="J47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8" spans="1:10" s="5" customFormat="1" ht="21.95" customHeight="1">
      <c r="A48" s="250"/>
      <c r="B48" s="251"/>
      <c r="C4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8" s="5" t="str">
        <f>PROPER(IF(Table46[[#This Row],[FIRST / LAST]]="","",IF(ISERROR(FIND(".",Table46[[#This Row],[FIRST / LAST]],1)),"",LEFT(Table46[[#This Row],[FIRST / LAST]],FIND(".",Table46[[#This Row],[FIRST / LAST]],1)))))</f>
        <v/>
      </c>
      <c r="E48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8" s="250"/>
      <c r="G48" s="250"/>
      <c r="H4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8" s="5" t="str">
        <f>PROPER(IF(ISERROR(FIND(" ",Table46[[#This Row],[LAST TEST]],1)),"",RIGHT(Table46[[#This Row],[LAST TEST]],LEN(Table46[[#This Row],[LAST TEST]])-FIND(" ",Table46[[#This Row],[LAST TEST]],1))))</f>
        <v/>
      </c>
      <c r="J48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49" spans="1:10" s="5" customFormat="1" ht="21.95" customHeight="1">
      <c r="A49" s="250"/>
      <c r="B49" s="251"/>
      <c r="C4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49" s="5" t="str">
        <f>PROPER(IF(Table46[[#This Row],[FIRST / LAST]]="","",IF(ISERROR(FIND(".",Table46[[#This Row],[FIRST / LAST]],1)),"",LEFT(Table46[[#This Row],[FIRST / LAST]],FIND(".",Table46[[#This Row],[FIRST / LAST]],1)))))</f>
        <v/>
      </c>
      <c r="E49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49" s="250"/>
      <c r="G49" s="250"/>
      <c r="H4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49" s="5" t="str">
        <f>PROPER(IF(ISERROR(FIND(" ",Table46[[#This Row],[LAST TEST]],1)),"",RIGHT(Table46[[#This Row],[LAST TEST]],LEN(Table46[[#This Row],[LAST TEST]])-FIND(" ",Table46[[#This Row],[LAST TEST]],1))))</f>
        <v/>
      </c>
      <c r="J49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0" spans="1:10" s="5" customFormat="1" ht="21.95" customHeight="1">
      <c r="A50" s="250"/>
      <c r="B50" s="251"/>
      <c r="C5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0" s="5" t="str">
        <f>PROPER(IF(Table46[[#This Row],[FIRST / LAST]]="","",IF(ISERROR(FIND(".",Table46[[#This Row],[FIRST / LAST]],1)),"",LEFT(Table46[[#This Row],[FIRST / LAST]],FIND(".",Table46[[#This Row],[FIRST / LAST]],1)))))</f>
        <v/>
      </c>
      <c r="E50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0" s="250"/>
      <c r="G50" s="250"/>
      <c r="H5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0" s="5" t="str">
        <f>PROPER(IF(ISERROR(FIND(" ",Table46[[#This Row],[LAST TEST]],1)),"",RIGHT(Table46[[#This Row],[LAST TEST]],LEN(Table46[[#This Row],[LAST TEST]])-FIND(" ",Table46[[#This Row],[LAST TEST]],1))))</f>
        <v/>
      </c>
      <c r="J50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1" spans="1:10" s="5" customFormat="1" ht="21.95" customHeight="1">
      <c r="A51" s="250"/>
      <c r="B51" s="251"/>
      <c r="C5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1" s="5" t="str">
        <f>PROPER(IF(Table46[[#This Row],[FIRST / LAST]]="","",IF(ISERROR(FIND(".",Table46[[#This Row],[FIRST / LAST]],1)),"",LEFT(Table46[[#This Row],[FIRST / LAST]],FIND(".",Table46[[#This Row],[FIRST / LAST]],1)))))</f>
        <v/>
      </c>
      <c r="E51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1" s="250"/>
      <c r="G51" s="250"/>
      <c r="H5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1" s="5" t="str">
        <f>PROPER(IF(ISERROR(FIND(" ",Table46[[#This Row],[LAST TEST]],1)),"",RIGHT(Table46[[#This Row],[LAST TEST]],LEN(Table46[[#This Row],[LAST TEST]])-FIND(" ",Table46[[#This Row],[LAST TEST]],1))))</f>
        <v/>
      </c>
      <c r="J51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2" spans="1:10" s="5" customFormat="1" ht="21.95" customHeight="1">
      <c r="A52" s="250"/>
      <c r="B52" s="251"/>
      <c r="C5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2" s="5" t="str">
        <f>PROPER(IF(Table46[[#This Row],[FIRST / LAST]]="","",IF(ISERROR(FIND(".",Table46[[#This Row],[FIRST / LAST]],1)),"",LEFT(Table46[[#This Row],[FIRST / LAST]],FIND(".",Table46[[#This Row],[FIRST / LAST]],1)))))</f>
        <v/>
      </c>
      <c r="E52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2" s="250"/>
      <c r="G52" s="250"/>
      <c r="H5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2" s="5" t="str">
        <f>PROPER(IF(ISERROR(FIND(" ",Table46[[#This Row],[LAST TEST]],1)),"",RIGHT(Table46[[#This Row],[LAST TEST]],LEN(Table46[[#This Row],[LAST TEST]])-FIND(" ",Table46[[#This Row],[LAST TEST]],1))))</f>
        <v/>
      </c>
      <c r="J52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3" spans="1:10" s="5" customFormat="1" ht="21.95" customHeight="1">
      <c r="A53" s="250"/>
      <c r="B53" s="251"/>
      <c r="C5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3" s="5" t="str">
        <f>PROPER(IF(Table46[[#This Row],[FIRST / LAST]]="","",IF(ISERROR(FIND(".",Table46[[#This Row],[FIRST / LAST]],1)),"",LEFT(Table46[[#This Row],[FIRST / LAST]],FIND(".",Table46[[#This Row],[FIRST / LAST]],1)))))</f>
        <v/>
      </c>
      <c r="E53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3" s="250"/>
      <c r="G53" s="250"/>
      <c r="H5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3" s="5" t="str">
        <f>PROPER(IF(ISERROR(FIND(" ",Table46[[#This Row],[LAST TEST]],1)),"",RIGHT(Table46[[#This Row],[LAST TEST]],LEN(Table46[[#This Row],[LAST TEST]])-FIND(" ",Table46[[#This Row],[LAST TEST]],1))))</f>
        <v/>
      </c>
      <c r="J53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4" spans="1:10" s="5" customFormat="1" ht="21.95" customHeight="1">
      <c r="A54" s="250"/>
      <c r="B54" s="251"/>
      <c r="C5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4" s="5" t="str">
        <f>PROPER(IF(Table46[[#This Row],[FIRST / LAST]]="","",IF(ISERROR(FIND(".",Table46[[#This Row],[FIRST / LAST]],1)),"",LEFT(Table46[[#This Row],[FIRST / LAST]],FIND(".",Table46[[#This Row],[FIRST / LAST]],1)))))</f>
        <v/>
      </c>
      <c r="E54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4" s="250"/>
      <c r="G54" s="250"/>
      <c r="H5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4" s="5" t="str">
        <f>PROPER(IF(ISERROR(FIND(" ",Table46[[#This Row],[LAST TEST]],1)),"",RIGHT(Table46[[#This Row],[LAST TEST]],LEN(Table46[[#This Row],[LAST TEST]])-FIND(" ",Table46[[#This Row],[LAST TEST]],1))))</f>
        <v/>
      </c>
      <c r="J54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5" spans="1:10" s="5" customFormat="1" ht="21.95" customHeight="1">
      <c r="A55" s="250"/>
      <c r="B55" s="251"/>
      <c r="C5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5" s="5" t="str">
        <f>PROPER(IF(Table46[[#This Row],[FIRST / LAST]]="","",IF(ISERROR(FIND(".",Table46[[#This Row],[FIRST / LAST]],1)),"",LEFT(Table46[[#This Row],[FIRST / LAST]],FIND(".",Table46[[#This Row],[FIRST / LAST]],1)))))</f>
        <v/>
      </c>
      <c r="E55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5" s="250"/>
      <c r="G55" s="250"/>
      <c r="H5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5" s="5" t="str">
        <f>PROPER(IF(ISERROR(FIND(" ",Table46[[#This Row],[LAST TEST]],1)),"",RIGHT(Table46[[#This Row],[LAST TEST]],LEN(Table46[[#This Row],[LAST TEST]])-FIND(" ",Table46[[#This Row],[LAST TEST]],1))))</f>
        <v/>
      </c>
      <c r="J55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6" spans="1:10" s="5" customFormat="1" ht="21.95" customHeight="1">
      <c r="A56" s="250"/>
      <c r="B56" s="251"/>
      <c r="C5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6" s="5" t="str">
        <f>PROPER(IF(Table46[[#This Row],[FIRST / LAST]]="","",IF(ISERROR(FIND(".",Table46[[#This Row],[FIRST / LAST]],1)),"",LEFT(Table46[[#This Row],[FIRST / LAST]],FIND(".",Table46[[#This Row],[FIRST / LAST]],1)))))</f>
        <v/>
      </c>
      <c r="E56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6" s="250"/>
      <c r="G56" s="250"/>
      <c r="H5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6" s="5" t="str">
        <f>PROPER(IF(ISERROR(FIND(" ",Table46[[#This Row],[LAST TEST]],1)),"",RIGHT(Table46[[#This Row],[LAST TEST]],LEN(Table46[[#This Row],[LAST TEST]])-FIND(" ",Table46[[#This Row],[LAST TEST]],1))))</f>
        <v/>
      </c>
      <c r="J56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7" spans="1:10" s="5" customFormat="1" ht="21.95" customHeight="1">
      <c r="A57" s="250"/>
      <c r="B57" s="251"/>
      <c r="C5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7" s="5" t="str">
        <f>PROPER(IF(Table46[[#This Row],[FIRST / LAST]]="","",IF(ISERROR(FIND(".",Table46[[#This Row],[FIRST / LAST]],1)),"",LEFT(Table46[[#This Row],[FIRST / LAST]],FIND(".",Table46[[#This Row],[FIRST / LAST]],1)))))</f>
        <v/>
      </c>
      <c r="E57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7" s="250"/>
      <c r="G57" s="250"/>
      <c r="H5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7" s="5" t="str">
        <f>PROPER(IF(ISERROR(FIND(" ",Table46[[#This Row],[LAST TEST]],1)),"",RIGHT(Table46[[#This Row],[LAST TEST]],LEN(Table46[[#This Row],[LAST TEST]])-FIND(" ",Table46[[#This Row],[LAST TEST]],1))))</f>
        <v/>
      </c>
      <c r="J57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8" spans="1:10" s="5" customFormat="1" ht="21.95" customHeight="1">
      <c r="A58" s="250"/>
      <c r="B58" s="251"/>
      <c r="C5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8" s="5" t="str">
        <f>PROPER(IF(Table46[[#This Row],[FIRST / LAST]]="","",IF(ISERROR(FIND(".",Table46[[#This Row],[FIRST / LAST]],1)),"",LEFT(Table46[[#This Row],[FIRST / LAST]],FIND(".",Table46[[#This Row],[FIRST / LAST]],1)))))</f>
        <v/>
      </c>
      <c r="E58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8" s="250"/>
      <c r="G58" s="250"/>
      <c r="H5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8" s="5" t="str">
        <f>PROPER(IF(ISERROR(FIND(" ",Table46[[#This Row],[LAST TEST]],1)),"",RIGHT(Table46[[#This Row],[LAST TEST]],LEN(Table46[[#This Row],[LAST TEST]])-FIND(" ",Table46[[#This Row],[LAST TEST]],1))))</f>
        <v/>
      </c>
      <c r="J58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59" spans="1:10" s="5" customFormat="1" ht="21.95" customHeight="1">
      <c r="A59" s="250"/>
      <c r="B59" s="251"/>
      <c r="C5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59" s="5" t="str">
        <f>PROPER(IF(Table46[[#This Row],[FIRST / LAST]]="","",IF(ISERROR(FIND(".",Table46[[#This Row],[FIRST / LAST]],1)),"",LEFT(Table46[[#This Row],[FIRST / LAST]],FIND(".",Table46[[#This Row],[FIRST / LAST]],1)))))</f>
        <v/>
      </c>
      <c r="E59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59" s="250"/>
      <c r="G59" s="250"/>
      <c r="H5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59" s="5" t="str">
        <f>PROPER(IF(ISERROR(FIND(" ",Table46[[#This Row],[LAST TEST]],1)),"",RIGHT(Table46[[#This Row],[LAST TEST]],LEN(Table46[[#This Row],[LAST TEST]])-FIND(" ",Table46[[#This Row],[LAST TEST]],1))))</f>
        <v/>
      </c>
      <c r="J59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0" spans="1:10" s="5" customFormat="1" ht="21.95" customHeight="1">
      <c r="A60" s="250"/>
      <c r="B60" s="251"/>
      <c r="C6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0" s="5" t="str">
        <f>PROPER(IF(Table46[[#This Row],[FIRST / LAST]]="","",IF(ISERROR(FIND(".",Table46[[#This Row],[FIRST / LAST]],1)),"",LEFT(Table46[[#This Row],[FIRST / LAST]],FIND(".",Table46[[#This Row],[FIRST / LAST]],1)))))</f>
        <v/>
      </c>
      <c r="E60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0" s="250"/>
      <c r="G60" s="250"/>
      <c r="H6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0" s="5" t="str">
        <f>PROPER(IF(ISERROR(FIND(" ",Table46[[#This Row],[LAST TEST]],1)),"",RIGHT(Table46[[#This Row],[LAST TEST]],LEN(Table46[[#This Row],[LAST TEST]])-FIND(" ",Table46[[#This Row],[LAST TEST]],1))))</f>
        <v/>
      </c>
      <c r="J60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1" spans="1:10" s="5" customFormat="1" ht="21.95" customHeight="1">
      <c r="A61" s="250"/>
      <c r="B61" s="251"/>
      <c r="C6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1" s="5" t="str">
        <f>PROPER(IF(Table46[[#This Row],[FIRST / LAST]]="","",IF(ISERROR(FIND(".",Table46[[#This Row],[FIRST / LAST]],1)),"",LEFT(Table46[[#This Row],[FIRST / LAST]],FIND(".",Table46[[#This Row],[FIRST / LAST]],1)))))</f>
        <v/>
      </c>
      <c r="E61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1" s="250"/>
      <c r="G61" s="250"/>
      <c r="H6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1" s="5" t="str">
        <f>PROPER(IF(ISERROR(FIND(" ",Table46[[#This Row],[LAST TEST]],1)),"",RIGHT(Table46[[#This Row],[LAST TEST]],LEN(Table46[[#This Row],[LAST TEST]])-FIND(" ",Table46[[#This Row],[LAST TEST]],1))))</f>
        <v/>
      </c>
      <c r="J61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2" spans="1:10" s="5" customFormat="1" ht="21.95" customHeight="1">
      <c r="A62" s="250"/>
      <c r="B62" s="251"/>
      <c r="C6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2" s="5" t="str">
        <f>PROPER(IF(Table46[[#This Row],[FIRST / LAST]]="","",IF(ISERROR(FIND(".",Table46[[#This Row],[FIRST / LAST]],1)),"",LEFT(Table46[[#This Row],[FIRST / LAST]],FIND(".",Table46[[#This Row],[FIRST / LAST]],1)))))</f>
        <v/>
      </c>
      <c r="E62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2" s="250"/>
      <c r="G62" s="250"/>
      <c r="H6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2" s="5" t="str">
        <f>PROPER(IF(ISERROR(FIND(" ",Table46[[#This Row],[LAST TEST]],1)),"",RIGHT(Table46[[#This Row],[LAST TEST]],LEN(Table46[[#This Row],[LAST TEST]])-FIND(" ",Table46[[#This Row],[LAST TEST]],1))))</f>
        <v/>
      </c>
      <c r="J62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3" spans="1:10" s="5" customFormat="1" ht="21.95" customHeight="1">
      <c r="A63" s="250"/>
      <c r="B63" s="251"/>
      <c r="C6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3" s="5" t="str">
        <f>PROPER(IF(Table46[[#This Row],[FIRST / LAST]]="","",IF(ISERROR(FIND(".",Table46[[#This Row],[FIRST / LAST]],1)),"",LEFT(Table46[[#This Row],[FIRST / LAST]],FIND(".",Table46[[#This Row],[FIRST / LAST]],1)))))</f>
        <v/>
      </c>
      <c r="E63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3" s="250"/>
      <c r="G63" s="250"/>
      <c r="H6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3" s="5" t="str">
        <f>PROPER(IF(ISERROR(FIND(" ",Table46[[#This Row],[LAST TEST]],1)),"",RIGHT(Table46[[#This Row],[LAST TEST]],LEN(Table46[[#This Row],[LAST TEST]])-FIND(" ",Table46[[#This Row],[LAST TEST]],1))))</f>
        <v/>
      </c>
      <c r="J63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4" spans="1:10" s="5" customFormat="1" ht="21.95" customHeight="1">
      <c r="A64" s="250"/>
      <c r="B64" s="251"/>
      <c r="C6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4" s="5" t="str">
        <f>PROPER(IF(Table46[[#This Row],[FIRST / LAST]]="","",IF(ISERROR(FIND(".",Table46[[#This Row],[FIRST / LAST]],1)),"",LEFT(Table46[[#This Row],[FIRST / LAST]],FIND(".",Table46[[#This Row],[FIRST / LAST]],1)))))</f>
        <v/>
      </c>
      <c r="E64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4" s="250"/>
      <c r="G64" s="250"/>
      <c r="H6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4" s="5" t="str">
        <f>PROPER(IF(ISERROR(FIND(" ",Table46[[#This Row],[LAST TEST]],1)),"",RIGHT(Table46[[#This Row],[LAST TEST]],LEN(Table46[[#This Row],[LAST TEST]])-FIND(" ",Table46[[#This Row],[LAST TEST]],1))))</f>
        <v/>
      </c>
      <c r="J64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5" spans="1:10" s="5" customFormat="1" ht="21.95" customHeight="1">
      <c r="A65" s="250"/>
      <c r="B65" s="251"/>
      <c r="C6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5" s="5" t="str">
        <f>PROPER(IF(Table46[[#This Row],[FIRST / LAST]]="","",IF(ISERROR(FIND(".",Table46[[#This Row],[FIRST / LAST]],1)),"",LEFT(Table46[[#This Row],[FIRST / LAST]],FIND(".",Table46[[#This Row],[FIRST / LAST]],1)))))</f>
        <v/>
      </c>
      <c r="E65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5" s="250"/>
      <c r="G65" s="250"/>
      <c r="H6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5" s="5" t="str">
        <f>PROPER(IF(ISERROR(FIND(" ",Table46[[#This Row],[LAST TEST]],1)),"",RIGHT(Table46[[#This Row],[LAST TEST]],LEN(Table46[[#This Row],[LAST TEST]])-FIND(" ",Table46[[#This Row],[LAST TEST]],1))))</f>
        <v/>
      </c>
      <c r="J65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6" spans="1:10" s="5" customFormat="1" ht="21.95" customHeight="1">
      <c r="A66" s="250"/>
      <c r="B66" s="251"/>
      <c r="C6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6" s="5" t="str">
        <f>PROPER(IF(Table46[[#This Row],[FIRST / LAST]]="","",IF(ISERROR(FIND(".",Table46[[#This Row],[FIRST / LAST]],1)),"",LEFT(Table46[[#This Row],[FIRST / LAST]],FIND(".",Table46[[#This Row],[FIRST / LAST]],1)))))</f>
        <v/>
      </c>
      <c r="E66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6" s="250"/>
      <c r="G66" s="250"/>
      <c r="H6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6" s="5" t="str">
        <f>PROPER(IF(ISERROR(FIND(" ",Table46[[#This Row],[LAST TEST]],1)),"",RIGHT(Table46[[#This Row],[LAST TEST]],LEN(Table46[[#This Row],[LAST TEST]])-FIND(" ",Table46[[#This Row],[LAST TEST]],1))))</f>
        <v/>
      </c>
      <c r="J66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7" spans="1:10" s="5" customFormat="1" ht="21.95" customHeight="1">
      <c r="A67" s="250"/>
      <c r="B67" s="251"/>
      <c r="C6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7" s="5" t="str">
        <f>PROPER(IF(Table46[[#This Row],[FIRST / LAST]]="","",IF(ISERROR(FIND(".",Table46[[#This Row],[FIRST / LAST]],1)),"",LEFT(Table46[[#This Row],[FIRST / LAST]],FIND(".",Table46[[#This Row],[FIRST / LAST]],1)))))</f>
        <v/>
      </c>
      <c r="E67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7" s="250"/>
      <c r="G67" s="250"/>
      <c r="H6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7" s="5" t="str">
        <f>PROPER(IF(ISERROR(FIND(" ",Table46[[#This Row],[LAST TEST]],1)),"",RIGHT(Table46[[#This Row],[LAST TEST]],LEN(Table46[[#This Row],[LAST TEST]])-FIND(" ",Table46[[#This Row],[LAST TEST]],1))))</f>
        <v/>
      </c>
      <c r="J67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8" spans="1:10" s="5" customFormat="1" ht="21.95" customHeight="1">
      <c r="A68" s="250"/>
      <c r="B68" s="251"/>
      <c r="C6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8" s="5" t="str">
        <f>PROPER(IF(Table46[[#This Row],[FIRST / LAST]]="","",IF(ISERROR(FIND(".",Table46[[#This Row],[FIRST / LAST]],1)),"",LEFT(Table46[[#This Row],[FIRST / LAST]],FIND(".",Table46[[#This Row],[FIRST / LAST]],1)))))</f>
        <v/>
      </c>
      <c r="E68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8" s="250"/>
      <c r="G68" s="250"/>
      <c r="H6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8" s="5" t="str">
        <f>PROPER(IF(ISERROR(FIND(" ",Table46[[#This Row],[LAST TEST]],1)),"",RIGHT(Table46[[#This Row],[LAST TEST]],LEN(Table46[[#This Row],[LAST TEST]])-FIND(" ",Table46[[#This Row],[LAST TEST]],1))))</f>
        <v/>
      </c>
      <c r="J68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69" spans="1:10" s="5" customFormat="1" ht="21.95" customHeight="1">
      <c r="A69" s="250"/>
      <c r="B69" s="251"/>
      <c r="C6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69" s="5" t="str">
        <f>PROPER(IF(Table46[[#This Row],[FIRST / LAST]]="","",IF(ISERROR(FIND(".",Table46[[#This Row],[FIRST / LAST]],1)),"",LEFT(Table46[[#This Row],[FIRST / LAST]],FIND(".",Table46[[#This Row],[FIRST / LAST]],1)))))</f>
        <v/>
      </c>
      <c r="E69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69" s="250"/>
      <c r="G69" s="250"/>
      <c r="H6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69" s="5" t="str">
        <f>PROPER(IF(ISERROR(FIND(" ",Table46[[#This Row],[LAST TEST]],1)),"",RIGHT(Table46[[#This Row],[LAST TEST]],LEN(Table46[[#This Row],[LAST TEST]])-FIND(" ",Table46[[#This Row],[LAST TEST]],1))))</f>
        <v/>
      </c>
      <c r="J69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0" spans="1:10" s="5" customFormat="1" ht="21.95" customHeight="1">
      <c r="A70" s="250"/>
      <c r="B70" s="251"/>
      <c r="C7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0" s="5" t="str">
        <f>PROPER(IF(Table46[[#This Row],[FIRST / LAST]]="","",IF(ISERROR(FIND(".",Table46[[#This Row],[FIRST / LAST]],1)),"",LEFT(Table46[[#This Row],[FIRST / LAST]],FIND(".",Table46[[#This Row],[FIRST / LAST]],1)))))</f>
        <v/>
      </c>
      <c r="E70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0" s="250"/>
      <c r="G70" s="250"/>
      <c r="H7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0" s="5" t="str">
        <f>PROPER(IF(ISERROR(FIND(" ",Table46[[#This Row],[LAST TEST]],1)),"",RIGHT(Table46[[#This Row],[LAST TEST]],LEN(Table46[[#This Row],[LAST TEST]])-FIND(" ",Table46[[#This Row],[LAST TEST]],1))))</f>
        <v/>
      </c>
      <c r="J70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1" spans="1:10" s="5" customFormat="1" ht="21.95" customHeight="1">
      <c r="A71" s="250"/>
      <c r="B71" s="251"/>
      <c r="C7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1" s="5" t="str">
        <f>PROPER(IF(Table46[[#This Row],[FIRST / LAST]]="","",IF(ISERROR(FIND(".",Table46[[#This Row],[FIRST / LAST]],1)),"",LEFT(Table46[[#This Row],[FIRST / LAST]],FIND(".",Table46[[#This Row],[FIRST / LAST]],1)))))</f>
        <v/>
      </c>
      <c r="E71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1" s="250"/>
      <c r="G71" s="250"/>
      <c r="H7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1" s="5" t="str">
        <f>PROPER(IF(ISERROR(FIND(" ",Table46[[#This Row],[LAST TEST]],1)),"",RIGHT(Table46[[#This Row],[LAST TEST]],LEN(Table46[[#This Row],[LAST TEST]])-FIND(" ",Table46[[#This Row],[LAST TEST]],1))))</f>
        <v/>
      </c>
      <c r="J71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2" spans="1:10" s="5" customFormat="1" ht="21.95" customHeight="1">
      <c r="A72" s="250"/>
      <c r="B72" s="251"/>
      <c r="C7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2" s="5" t="str">
        <f>PROPER(IF(Table46[[#This Row],[FIRST / LAST]]="","",IF(ISERROR(FIND(".",Table46[[#This Row],[FIRST / LAST]],1)),"",LEFT(Table46[[#This Row],[FIRST / LAST]],FIND(".",Table46[[#This Row],[FIRST / LAST]],1)))))</f>
        <v/>
      </c>
      <c r="E72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2" s="250"/>
      <c r="G72" s="250"/>
      <c r="H7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2" s="5" t="str">
        <f>PROPER(IF(ISERROR(FIND(" ",Table46[[#This Row],[LAST TEST]],1)),"",RIGHT(Table46[[#This Row],[LAST TEST]],LEN(Table46[[#This Row],[LAST TEST]])-FIND(" ",Table46[[#This Row],[LAST TEST]],1))))</f>
        <v/>
      </c>
      <c r="J72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3" spans="1:10" s="5" customFormat="1" ht="21.95" customHeight="1">
      <c r="A73" s="250"/>
      <c r="B73" s="251"/>
      <c r="C7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3" s="5" t="str">
        <f>PROPER(IF(Table46[[#This Row],[FIRST / LAST]]="","",IF(ISERROR(FIND(".",Table46[[#This Row],[FIRST / LAST]],1)),"",LEFT(Table46[[#This Row],[FIRST / LAST]],FIND(".",Table46[[#This Row],[FIRST / LAST]],1)))))</f>
        <v/>
      </c>
      <c r="E73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3" s="250"/>
      <c r="G73" s="250"/>
      <c r="H7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3" s="5" t="str">
        <f>PROPER(IF(ISERROR(FIND(" ",Table46[[#This Row],[LAST TEST]],1)),"",RIGHT(Table46[[#This Row],[LAST TEST]],LEN(Table46[[#This Row],[LAST TEST]])-FIND(" ",Table46[[#This Row],[LAST TEST]],1))))</f>
        <v/>
      </c>
      <c r="J73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4" spans="1:10" s="5" customFormat="1" ht="21.95" customHeight="1">
      <c r="A74" s="250"/>
      <c r="B74" s="251"/>
      <c r="C7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4" s="5" t="str">
        <f>PROPER(IF(Table46[[#This Row],[FIRST / LAST]]="","",IF(ISERROR(FIND(".",Table46[[#This Row],[FIRST / LAST]],1)),"",LEFT(Table46[[#This Row],[FIRST / LAST]],FIND(".",Table46[[#This Row],[FIRST / LAST]],1)))))</f>
        <v/>
      </c>
      <c r="E74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4" s="250"/>
      <c r="G74" s="250"/>
      <c r="H7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4" s="5" t="str">
        <f>PROPER(IF(ISERROR(FIND(" ",Table46[[#This Row],[LAST TEST]],1)),"",RIGHT(Table46[[#This Row],[LAST TEST]],LEN(Table46[[#This Row],[LAST TEST]])-FIND(" ",Table46[[#This Row],[LAST TEST]],1))))</f>
        <v/>
      </c>
      <c r="J74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5" spans="1:10" s="5" customFormat="1" ht="21.95" customHeight="1">
      <c r="A75" s="250"/>
      <c r="B75" s="251"/>
      <c r="C7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5" s="5" t="str">
        <f>PROPER(IF(Table46[[#This Row],[FIRST / LAST]]="","",IF(ISERROR(FIND(".",Table46[[#This Row],[FIRST / LAST]],1)),"",LEFT(Table46[[#This Row],[FIRST / LAST]],FIND(".",Table46[[#This Row],[FIRST / LAST]],1)))))</f>
        <v/>
      </c>
      <c r="E75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5" s="250"/>
      <c r="G75" s="250"/>
      <c r="H7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5" s="5" t="str">
        <f>PROPER(IF(ISERROR(FIND(" ",Table46[[#This Row],[LAST TEST]],1)),"",RIGHT(Table46[[#This Row],[LAST TEST]],LEN(Table46[[#This Row],[LAST TEST]])-FIND(" ",Table46[[#This Row],[LAST TEST]],1))))</f>
        <v/>
      </c>
      <c r="J75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6" spans="1:10" s="5" customFormat="1" ht="21.95" customHeight="1">
      <c r="A76" s="250"/>
      <c r="B76" s="251"/>
      <c r="C7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6" s="5" t="str">
        <f>PROPER(IF(Table46[[#This Row],[FIRST / LAST]]="","",IF(ISERROR(FIND(".",Table46[[#This Row],[FIRST / LAST]],1)),"",LEFT(Table46[[#This Row],[FIRST / LAST]],FIND(".",Table46[[#This Row],[FIRST / LAST]],1)))))</f>
        <v/>
      </c>
      <c r="E76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6" s="250"/>
      <c r="G76" s="250"/>
      <c r="H7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6" s="5" t="str">
        <f>PROPER(IF(ISERROR(FIND(" ",Table46[[#This Row],[LAST TEST]],1)),"",RIGHT(Table46[[#This Row],[LAST TEST]],LEN(Table46[[#This Row],[LAST TEST]])-FIND(" ",Table46[[#This Row],[LAST TEST]],1))))</f>
        <v/>
      </c>
      <c r="J76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7" spans="1:10" s="5" customFormat="1" ht="21.95" customHeight="1">
      <c r="A77" s="250"/>
      <c r="B77" s="251"/>
      <c r="C7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7" s="5" t="str">
        <f>PROPER(IF(Table46[[#This Row],[FIRST / LAST]]="","",IF(ISERROR(FIND(".",Table46[[#This Row],[FIRST / LAST]],1)),"",LEFT(Table46[[#This Row],[FIRST / LAST]],FIND(".",Table46[[#This Row],[FIRST / LAST]],1)))))</f>
        <v/>
      </c>
      <c r="E77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7" s="250"/>
      <c r="G77" s="250"/>
      <c r="H7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7" s="5" t="str">
        <f>PROPER(IF(ISERROR(FIND(" ",Table46[[#This Row],[LAST TEST]],1)),"",RIGHT(Table46[[#This Row],[LAST TEST]],LEN(Table46[[#This Row],[LAST TEST]])-FIND(" ",Table46[[#This Row],[LAST TEST]],1))))</f>
        <v/>
      </c>
      <c r="J77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8" spans="1:10" s="5" customFormat="1" ht="21.95" customHeight="1">
      <c r="A78" s="250"/>
      <c r="B78" s="251"/>
      <c r="C7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8" s="5" t="str">
        <f>PROPER(IF(Table46[[#This Row],[FIRST / LAST]]="","",IF(ISERROR(FIND(".",Table46[[#This Row],[FIRST / LAST]],1)),"",LEFT(Table46[[#This Row],[FIRST / LAST]],FIND(".",Table46[[#This Row],[FIRST / LAST]],1)))))</f>
        <v/>
      </c>
      <c r="E78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8" s="250"/>
      <c r="G78" s="250"/>
      <c r="H7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8" s="5" t="str">
        <f>PROPER(IF(ISERROR(FIND(" ",Table46[[#This Row],[LAST TEST]],1)),"",RIGHT(Table46[[#This Row],[LAST TEST]],LEN(Table46[[#This Row],[LAST TEST]])-FIND(" ",Table46[[#This Row],[LAST TEST]],1))))</f>
        <v/>
      </c>
      <c r="J78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79" spans="1:10" s="5" customFormat="1" ht="21.95" customHeight="1">
      <c r="A79" s="250"/>
      <c r="B79" s="251"/>
      <c r="C7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79" s="5" t="str">
        <f>PROPER(IF(Table46[[#This Row],[FIRST / LAST]]="","",IF(ISERROR(FIND(".",Table46[[#This Row],[FIRST / LAST]],1)),"",LEFT(Table46[[#This Row],[FIRST / LAST]],FIND(".",Table46[[#This Row],[FIRST / LAST]],1)))))</f>
        <v/>
      </c>
      <c r="E79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79" s="250"/>
      <c r="G79" s="250"/>
      <c r="H7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79" s="5" t="str">
        <f>PROPER(IF(ISERROR(FIND(" ",Table46[[#This Row],[LAST TEST]],1)),"",RIGHT(Table46[[#This Row],[LAST TEST]],LEN(Table46[[#This Row],[LAST TEST]])-FIND(" ",Table46[[#This Row],[LAST TEST]],1))))</f>
        <v/>
      </c>
      <c r="J79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0" spans="1:10" s="5" customFormat="1" ht="21.95" customHeight="1">
      <c r="A80" s="250"/>
      <c r="B80" s="251"/>
      <c r="C8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0" s="5" t="str">
        <f>PROPER(IF(Table46[[#This Row],[FIRST / LAST]]="","",IF(ISERROR(FIND(".",Table46[[#This Row],[FIRST / LAST]],1)),"",LEFT(Table46[[#This Row],[FIRST / LAST]],FIND(".",Table46[[#This Row],[FIRST / LAST]],1)))))</f>
        <v/>
      </c>
      <c r="E80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0" s="250"/>
      <c r="G80" s="250"/>
      <c r="H8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0" s="5" t="str">
        <f>PROPER(IF(ISERROR(FIND(" ",Table46[[#This Row],[LAST TEST]],1)),"",RIGHT(Table46[[#This Row],[LAST TEST]],LEN(Table46[[#This Row],[LAST TEST]])-FIND(" ",Table46[[#This Row],[LAST TEST]],1))))</f>
        <v/>
      </c>
      <c r="J80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1" spans="1:10" s="5" customFormat="1" ht="21.95" customHeight="1">
      <c r="A81" s="250"/>
      <c r="B81" s="251"/>
      <c r="C8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1" s="5" t="str">
        <f>PROPER(IF(Table46[[#This Row],[FIRST / LAST]]="","",IF(ISERROR(FIND(".",Table46[[#This Row],[FIRST / LAST]],1)),"",LEFT(Table46[[#This Row],[FIRST / LAST]],FIND(".",Table46[[#This Row],[FIRST / LAST]],1)))))</f>
        <v/>
      </c>
      <c r="E81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1" s="250"/>
      <c r="G81" s="250"/>
      <c r="H8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1" s="5" t="str">
        <f>PROPER(IF(ISERROR(FIND(" ",Table46[[#This Row],[LAST TEST]],1)),"",RIGHT(Table46[[#This Row],[LAST TEST]],LEN(Table46[[#This Row],[LAST TEST]])-FIND(" ",Table46[[#This Row],[LAST TEST]],1))))</f>
        <v/>
      </c>
      <c r="J81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2" spans="1:10" s="5" customFormat="1" ht="21.95" customHeight="1">
      <c r="A82" s="250"/>
      <c r="B82" s="251"/>
      <c r="C8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2" s="5" t="str">
        <f>PROPER(IF(Table46[[#This Row],[FIRST / LAST]]="","",IF(ISERROR(FIND(".",Table46[[#This Row],[FIRST / LAST]],1)),"",LEFT(Table46[[#This Row],[FIRST / LAST]],FIND(".",Table46[[#This Row],[FIRST / LAST]],1)))))</f>
        <v/>
      </c>
      <c r="E82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2" s="250"/>
      <c r="G82" s="250"/>
      <c r="H8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2" s="5" t="str">
        <f>PROPER(IF(ISERROR(FIND(" ",Table46[[#This Row],[LAST TEST]],1)),"",RIGHT(Table46[[#This Row],[LAST TEST]],LEN(Table46[[#This Row],[LAST TEST]])-FIND(" ",Table46[[#This Row],[LAST TEST]],1))))</f>
        <v/>
      </c>
      <c r="J82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3" spans="1:10" s="5" customFormat="1" ht="21.95" customHeight="1">
      <c r="A83" s="250"/>
      <c r="B83" s="251"/>
      <c r="C8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3" s="5" t="str">
        <f>PROPER(IF(Table46[[#This Row],[FIRST / LAST]]="","",IF(ISERROR(FIND(".",Table46[[#This Row],[FIRST / LAST]],1)),"",LEFT(Table46[[#This Row],[FIRST / LAST]],FIND(".",Table46[[#This Row],[FIRST / LAST]],1)))))</f>
        <v/>
      </c>
      <c r="E83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3" s="250"/>
      <c r="G83" s="250"/>
      <c r="H8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3" s="5" t="str">
        <f>PROPER(IF(ISERROR(FIND(" ",Table46[[#This Row],[LAST TEST]],1)),"",RIGHT(Table46[[#This Row],[LAST TEST]],LEN(Table46[[#This Row],[LAST TEST]])-FIND(" ",Table46[[#This Row],[LAST TEST]],1))))</f>
        <v/>
      </c>
      <c r="J83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4" spans="1:10" s="5" customFormat="1" ht="21.95" customHeight="1">
      <c r="A84" s="250"/>
      <c r="B84" s="251"/>
      <c r="C8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4" s="5" t="str">
        <f>PROPER(IF(Table46[[#This Row],[FIRST / LAST]]="","",IF(ISERROR(FIND(".",Table46[[#This Row],[FIRST / LAST]],1)),"",LEFT(Table46[[#This Row],[FIRST / LAST]],FIND(".",Table46[[#This Row],[FIRST / LAST]],1)))))</f>
        <v/>
      </c>
      <c r="E84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4" s="250"/>
      <c r="G84" s="250"/>
      <c r="H8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4" s="5" t="str">
        <f>PROPER(IF(ISERROR(FIND(" ",Table46[[#This Row],[LAST TEST]],1)),"",RIGHT(Table46[[#This Row],[LAST TEST]],LEN(Table46[[#This Row],[LAST TEST]])-FIND(" ",Table46[[#This Row],[LAST TEST]],1))))</f>
        <v/>
      </c>
      <c r="J84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5" spans="1:10" s="5" customFormat="1" ht="21.95" customHeight="1">
      <c r="A85" s="250"/>
      <c r="B85" s="251"/>
      <c r="C8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5" s="5" t="str">
        <f>PROPER(IF(Table46[[#This Row],[FIRST / LAST]]="","",IF(ISERROR(FIND(".",Table46[[#This Row],[FIRST / LAST]],1)),"",LEFT(Table46[[#This Row],[FIRST / LAST]],FIND(".",Table46[[#This Row],[FIRST / LAST]],1)))))</f>
        <v/>
      </c>
      <c r="E85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5" s="250"/>
      <c r="G85" s="250"/>
      <c r="H8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5" s="5" t="str">
        <f>PROPER(IF(ISERROR(FIND(" ",Table46[[#This Row],[LAST TEST]],1)),"",RIGHT(Table46[[#This Row],[LAST TEST]],LEN(Table46[[#This Row],[LAST TEST]])-FIND(" ",Table46[[#This Row],[LAST TEST]],1))))</f>
        <v/>
      </c>
      <c r="J85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6" spans="1:10" s="5" customFormat="1" ht="21.95" customHeight="1">
      <c r="A86" s="250"/>
      <c r="B86" s="251"/>
      <c r="C8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6" s="5" t="str">
        <f>PROPER(IF(Table46[[#This Row],[FIRST / LAST]]="","",IF(ISERROR(FIND(".",Table46[[#This Row],[FIRST / LAST]],1)),"",LEFT(Table46[[#This Row],[FIRST / LAST]],FIND(".",Table46[[#This Row],[FIRST / LAST]],1)))))</f>
        <v/>
      </c>
      <c r="E86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6" s="250"/>
      <c r="G86" s="250"/>
      <c r="H8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6" s="5" t="str">
        <f>PROPER(IF(ISERROR(FIND(" ",Table46[[#This Row],[LAST TEST]],1)),"",RIGHT(Table46[[#This Row],[LAST TEST]],LEN(Table46[[#This Row],[LAST TEST]])-FIND(" ",Table46[[#This Row],[LAST TEST]],1))))</f>
        <v/>
      </c>
      <c r="J86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7" spans="1:10" s="5" customFormat="1" ht="21.95" customHeight="1">
      <c r="A87" s="250"/>
      <c r="B87" s="251"/>
      <c r="C8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7" s="5" t="str">
        <f>PROPER(IF(Table46[[#This Row],[FIRST / LAST]]="","",IF(ISERROR(FIND(".",Table46[[#This Row],[FIRST / LAST]],1)),"",LEFT(Table46[[#This Row],[FIRST / LAST]],FIND(".",Table46[[#This Row],[FIRST / LAST]],1)))))</f>
        <v/>
      </c>
      <c r="E87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7" s="250"/>
      <c r="G87" s="250"/>
      <c r="H8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7" s="5" t="str">
        <f>PROPER(IF(ISERROR(FIND(" ",Table46[[#This Row],[LAST TEST]],1)),"",RIGHT(Table46[[#This Row],[LAST TEST]],LEN(Table46[[#This Row],[LAST TEST]])-FIND(" ",Table46[[#This Row],[LAST TEST]],1))))</f>
        <v/>
      </c>
      <c r="J87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8" spans="1:10" s="5" customFormat="1" ht="21.95" customHeight="1">
      <c r="A88" s="250"/>
      <c r="B88" s="251"/>
      <c r="C8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8" s="5" t="str">
        <f>PROPER(IF(Table46[[#This Row],[FIRST / LAST]]="","",IF(ISERROR(FIND(".",Table46[[#This Row],[FIRST / LAST]],1)),"",LEFT(Table46[[#This Row],[FIRST / LAST]],FIND(".",Table46[[#This Row],[FIRST / LAST]],1)))))</f>
        <v/>
      </c>
      <c r="E88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8" s="250"/>
      <c r="G88" s="250"/>
      <c r="H8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8" s="5" t="str">
        <f>PROPER(IF(ISERROR(FIND(" ",Table46[[#This Row],[LAST TEST]],1)),"",RIGHT(Table46[[#This Row],[LAST TEST]],LEN(Table46[[#This Row],[LAST TEST]])-FIND(" ",Table46[[#This Row],[LAST TEST]],1))))</f>
        <v/>
      </c>
      <c r="J88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89" spans="1:10" s="5" customFormat="1" ht="21.95" customHeight="1">
      <c r="A89" s="250"/>
      <c r="B89" s="251"/>
      <c r="C8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89" s="5" t="str">
        <f>PROPER(IF(Table46[[#This Row],[FIRST / LAST]]="","",IF(ISERROR(FIND(".",Table46[[#This Row],[FIRST / LAST]],1)),"",LEFT(Table46[[#This Row],[FIRST / LAST]],FIND(".",Table46[[#This Row],[FIRST / LAST]],1)))))</f>
        <v/>
      </c>
      <c r="E89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89" s="250"/>
      <c r="G89" s="250"/>
      <c r="H8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89" s="5" t="str">
        <f>PROPER(IF(ISERROR(FIND(" ",Table46[[#This Row],[LAST TEST]],1)),"",RIGHT(Table46[[#This Row],[LAST TEST]],LEN(Table46[[#This Row],[LAST TEST]])-FIND(" ",Table46[[#This Row],[LAST TEST]],1))))</f>
        <v/>
      </c>
      <c r="J89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0" spans="1:10" s="5" customFormat="1" ht="21.95" customHeight="1">
      <c r="A90" s="250"/>
      <c r="B90" s="251"/>
      <c r="C9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0" s="5" t="str">
        <f>PROPER(IF(Table46[[#This Row],[FIRST / LAST]]="","",IF(ISERROR(FIND(".",Table46[[#This Row],[FIRST / LAST]],1)),"",LEFT(Table46[[#This Row],[FIRST / LAST]],FIND(".",Table46[[#This Row],[FIRST / LAST]],1)))))</f>
        <v/>
      </c>
      <c r="E90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0" s="250"/>
      <c r="G90" s="250"/>
      <c r="H9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0" s="5" t="str">
        <f>PROPER(IF(ISERROR(FIND(" ",Table46[[#This Row],[LAST TEST]],1)),"",RIGHT(Table46[[#This Row],[LAST TEST]],LEN(Table46[[#This Row],[LAST TEST]])-FIND(" ",Table46[[#This Row],[LAST TEST]],1))))</f>
        <v/>
      </c>
      <c r="J90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1" spans="1:10" s="5" customFormat="1" ht="21.95" customHeight="1">
      <c r="A91" s="250"/>
      <c r="B91" s="251"/>
      <c r="C9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1" s="5" t="str">
        <f>PROPER(IF(Table46[[#This Row],[FIRST / LAST]]="","",IF(ISERROR(FIND(".",Table46[[#This Row],[FIRST / LAST]],1)),"",LEFT(Table46[[#This Row],[FIRST / LAST]],FIND(".",Table46[[#This Row],[FIRST / LAST]],1)))))</f>
        <v/>
      </c>
      <c r="E91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1" s="250"/>
      <c r="G91" s="250"/>
      <c r="H9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1" s="5" t="str">
        <f>PROPER(IF(ISERROR(FIND(" ",Table46[[#This Row],[LAST TEST]],1)),"",RIGHT(Table46[[#This Row],[LAST TEST]],LEN(Table46[[#This Row],[LAST TEST]])-FIND(" ",Table46[[#This Row],[LAST TEST]],1))))</f>
        <v/>
      </c>
      <c r="J91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2" spans="1:10" s="5" customFormat="1" ht="21.95" customHeight="1">
      <c r="A92" s="250"/>
      <c r="B92" s="251"/>
      <c r="C92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2" s="5" t="str">
        <f>PROPER(IF(Table46[[#This Row],[FIRST / LAST]]="","",IF(ISERROR(FIND(".",Table46[[#This Row],[FIRST / LAST]],1)),"",LEFT(Table46[[#This Row],[FIRST / LAST]],FIND(".",Table46[[#This Row],[FIRST / LAST]],1)))))</f>
        <v/>
      </c>
      <c r="E92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2" s="250"/>
      <c r="G92" s="250"/>
      <c r="H92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2" s="5" t="str">
        <f>PROPER(IF(ISERROR(FIND(" ",Table46[[#This Row],[LAST TEST]],1)),"",RIGHT(Table46[[#This Row],[LAST TEST]],LEN(Table46[[#This Row],[LAST TEST]])-FIND(" ",Table46[[#This Row],[LAST TEST]],1))))</f>
        <v/>
      </c>
      <c r="J92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3" spans="1:10" s="5" customFormat="1" ht="21.95" customHeight="1">
      <c r="A93" s="250"/>
      <c r="B93" s="251"/>
      <c r="C93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3" s="5" t="str">
        <f>PROPER(IF(Table46[[#This Row],[FIRST / LAST]]="","",IF(ISERROR(FIND(".",Table46[[#This Row],[FIRST / LAST]],1)),"",LEFT(Table46[[#This Row],[FIRST / LAST]],FIND(".",Table46[[#This Row],[FIRST / LAST]],1)))))</f>
        <v/>
      </c>
      <c r="E93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3" s="250"/>
      <c r="G93" s="250"/>
      <c r="H93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3" s="5" t="str">
        <f>PROPER(IF(ISERROR(FIND(" ",Table46[[#This Row],[LAST TEST]],1)),"",RIGHT(Table46[[#This Row],[LAST TEST]],LEN(Table46[[#This Row],[LAST TEST]])-FIND(" ",Table46[[#This Row],[LAST TEST]],1))))</f>
        <v/>
      </c>
      <c r="J93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4" spans="1:10" s="5" customFormat="1" ht="21.95" customHeight="1">
      <c r="A94" s="250"/>
      <c r="B94" s="251"/>
      <c r="C94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4" s="5" t="str">
        <f>PROPER(IF(Table46[[#This Row],[FIRST / LAST]]="","",IF(ISERROR(FIND(".",Table46[[#This Row],[FIRST / LAST]],1)),"",LEFT(Table46[[#This Row],[FIRST / LAST]],FIND(".",Table46[[#This Row],[FIRST / LAST]],1)))))</f>
        <v/>
      </c>
      <c r="E94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4" s="250"/>
      <c r="G94" s="250"/>
      <c r="H94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4" s="5" t="str">
        <f>PROPER(IF(ISERROR(FIND(" ",Table46[[#This Row],[LAST TEST]],1)),"",RIGHT(Table46[[#This Row],[LAST TEST]],LEN(Table46[[#This Row],[LAST TEST]])-FIND(" ",Table46[[#This Row],[LAST TEST]],1))))</f>
        <v/>
      </c>
      <c r="J94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5" spans="1:10" s="5" customFormat="1" ht="21.95" customHeight="1">
      <c r="A95" s="250"/>
      <c r="B95" s="251"/>
      <c r="C95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5" s="5" t="str">
        <f>PROPER(IF(Table46[[#This Row],[FIRST / LAST]]="","",IF(ISERROR(FIND(".",Table46[[#This Row],[FIRST / LAST]],1)),"",LEFT(Table46[[#This Row],[FIRST / LAST]],FIND(".",Table46[[#This Row],[FIRST / LAST]],1)))))</f>
        <v/>
      </c>
      <c r="E95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5" s="250"/>
      <c r="G95" s="250"/>
      <c r="H95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5" s="5" t="str">
        <f>PROPER(IF(ISERROR(FIND(" ",Table46[[#This Row],[LAST TEST]],1)),"",RIGHT(Table46[[#This Row],[LAST TEST]],LEN(Table46[[#This Row],[LAST TEST]])-FIND(" ",Table46[[#This Row],[LAST TEST]],1))))</f>
        <v/>
      </c>
      <c r="J95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6" spans="1:10" s="5" customFormat="1" ht="21.95" customHeight="1">
      <c r="A96" s="250"/>
      <c r="B96" s="251"/>
      <c r="C96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6" s="5" t="str">
        <f>PROPER(IF(Table46[[#This Row],[FIRST / LAST]]="","",IF(ISERROR(FIND(".",Table46[[#This Row],[FIRST / LAST]],1)),"",LEFT(Table46[[#This Row],[FIRST / LAST]],FIND(".",Table46[[#This Row],[FIRST / LAST]],1)))))</f>
        <v/>
      </c>
      <c r="E96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6" s="250"/>
      <c r="G96" s="250"/>
      <c r="H96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6" s="5" t="str">
        <f>PROPER(IF(ISERROR(FIND(" ",Table46[[#This Row],[LAST TEST]],1)),"",RIGHT(Table46[[#This Row],[LAST TEST]],LEN(Table46[[#This Row],[LAST TEST]])-FIND(" ",Table46[[#This Row],[LAST TEST]],1))))</f>
        <v/>
      </c>
      <c r="J96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7" spans="1:10" s="5" customFormat="1" ht="21.95" customHeight="1">
      <c r="A97" s="250"/>
      <c r="B97" s="251"/>
      <c r="C97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7" s="5" t="str">
        <f>PROPER(IF(Table46[[#This Row],[FIRST / LAST]]="","",IF(ISERROR(FIND(".",Table46[[#This Row],[FIRST / LAST]],1)),"",LEFT(Table46[[#This Row],[FIRST / LAST]],FIND(".",Table46[[#This Row],[FIRST / LAST]],1)))))</f>
        <v/>
      </c>
      <c r="E97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7" s="250"/>
      <c r="G97" s="250"/>
      <c r="H97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7" s="5" t="str">
        <f>PROPER(IF(ISERROR(FIND(" ",Table46[[#This Row],[LAST TEST]],1)),"",RIGHT(Table46[[#This Row],[LAST TEST]],LEN(Table46[[#This Row],[LAST TEST]])-FIND(" ",Table46[[#This Row],[LAST TEST]],1))))</f>
        <v/>
      </c>
      <c r="J97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8" spans="1:10" s="5" customFormat="1" ht="21.95" customHeight="1">
      <c r="A98" s="250"/>
      <c r="B98" s="251"/>
      <c r="C98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8" s="5" t="str">
        <f>PROPER(IF(Table46[[#This Row],[FIRST / LAST]]="","",IF(ISERROR(FIND(".",Table46[[#This Row],[FIRST / LAST]],1)),"",LEFT(Table46[[#This Row],[FIRST / LAST]],FIND(".",Table46[[#This Row],[FIRST / LAST]],1)))))</f>
        <v/>
      </c>
      <c r="E98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8" s="250"/>
      <c r="G98" s="250"/>
      <c r="H98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8" s="5" t="str">
        <f>PROPER(IF(ISERROR(FIND(" ",Table46[[#This Row],[LAST TEST]],1)),"",RIGHT(Table46[[#This Row],[LAST TEST]],LEN(Table46[[#This Row],[LAST TEST]])-FIND(" ",Table46[[#This Row],[LAST TEST]],1))))</f>
        <v/>
      </c>
      <c r="J98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99" spans="1:10" s="5" customFormat="1" ht="21.95" customHeight="1">
      <c r="A99" s="250"/>
      <c r="B99" s="251"/>
      <c r="C99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99" s="5" t="str">
        <f>PROPER(IF(Table46[[#This Row],[FIRST / LAST]]="","",IF(ISERROR(FIND(".",Table46[[#This Row],[FIRST / LAST]],1)),"",LEFT(Table46[[#This Row],[FIRST / LAST]],FIND(".",Table46[[#This Row],[FIRST / LAST]],1)))))</f>
        <v/>
      </c>
      <c r="E99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99" s="250"/>
      <c r="G99" s="250"/>
      <c r="H99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99" s="5" t="str">
        <f>PROPER(IF(ISERROR(FIND(" ",Table46[[#This Row],[LAST TEST]],1)),"",RIGHT(Table46[[#This Row],[LAST TEST]],LEN(Table46[[#This Row],[LAST TEST]])-FIND(" ",Table46[[#This Row],[LAST TEST]],1))))</f>
        <v/>
      </c>
      <c r="J99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00" spans="1:10" s="5" customFormat="1" ht="21.95" customHeight="1">
      <c r="A100" s="250"/>
      <c r="B100" s="251"/>
      <c r="C100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00" s="5" t="str">
        <f>PROPER(IF(Table46[[#This Row],[FIRST / LAST]]="","",IF(ISERROR(FIND(".",Table46[[#This Row],[FIRST / LAST]],1)),"",LEFT(Table46[[#This Row],[FIRST / LAST]],FIND(".",Table46[[#This Row],[FIRST / LAST]],1)))))</f>
        <v/>
      </c>
      <c r="E100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00" s="250"/>
      <c r="G100" s="250"/>
      <c r="H100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00" s="5" t="str">
        <f>PROPER(IF(ISERROR(FIND(" ",Table46[[#This Row],[LAST TEST]],1)),"",RIGHT(Table46[[#This Row],[LAST TEST]],LEN(Table46[[#This Row],[LAST TEST]])-FIND(" ",Table46[[#This Row],[LAST TEST]],1))))</f>
        <v/>
      </c>
      <c r="J100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01" spans="1:10" s="5" customFormat="1" ht="21.95" customHeight="1">
      <c r="A101" s="250"/>
      <c r="B101" s="251"/>
      <c r="C101" s="5" t="str">
        <f>PROPER(IF(Table46[[#This Row],[FIRST / LAST]]="","",IF(ISERROR(FIND(" ",Table46[[#This Row],[FIRST / LAST]],1)),"",IF(ISERROR(FIND(".",Table46[[#This Row],[FIRST / LAST]],1)),RIGHT(Table46[[#This Row],[FIRST / LAST]],LEN(Table46[[#This Row],[FIRST / LAST]])-FIND(" ",Table46[[#This Row],[FIRST / LAST]],1)),RIGHT(Table46[[#This Row],[FIRST / LAST]],LEN(Table46[[#This Row],[FIRST / LAST]])-SEARCH(" ",Table46[[#This Row],[FIRST / LAST]],SEARCH(" ",Table46[[#This Row],[FIRST / LAST]],1)+1))))))</f>
        <v/>
      </c>
      <c r="D101" s="5" t="str">
        <f>PROPER(IF(Table46[[#This Row],[FIRST / LAST]]="","",IF(ISERROR(FIND(".",Table46[[#This Row],[FIRST / LAST]],1)),"",LEFT(Table46[[#This Row],[FIRST / LAST]],FIND(".",Table46[[#This Row],[FIRST / LAST]],1)))))</f>
        <v/>
      </c>
      <c r="E101" s="5" t="str">
        <f>PROPER(IF(Table46[[#This Row],[FIRST / LAST]]="","",IF(ISERROR(FIND(" ",Table46[[#This Row],[FIRST / LAST]],1)),Table46[[#This Row],[FIRST / LAST]],IF(ISERROR(FIND(".",Table46[[#This Row],[FIRST / LAST]],1)),LEFT(Table46[[#This Row],[FIRST / LAST]],FIND(" ",Table46[[#This Row],[FIRST / LAST]],1)-1),MID(Table46[[#This Row],[FIRST / LAST]],SEARCH(" ",Table46[[#This Row],[FIRST / LAST]],1)+1,SEARCH(" ",Table46[[#This Row],[FIRST / LAST]],SEARCH(" ",Table46[[#This Row],[FIRST / LAST]],1)+1)-(SEARCH(" ",Table46[[#This Row],[FIRST / LAST]],1)+1))))))</f>
        <v/>
      </c>
      <c r="F101" s="250"/>
      <c r="G101" s="250"/>
      <c r="H101" s="5" t="str">
        <f>PROPER(IF(Table46[[#This Row],[FIRST / LAST]]="","",IF(ISERROR(LEFT(Table46[[#This Row],[LAST TEST]],FIND(" ",Table46[[#This Row],[LAST TEST]],1))),Table46[[#This Row],[LAST TEST]],TRIM(LEFT(Table46[[#This Row],[LAST TEST]],FIND(" ",Table46[[#This Row],[LAST TEST]],1))))))</f>
        <v/>
      </c>
      <c r="I101" s="5" t="str">
        <f>PROPER(IF(ISERROR(FIND(" ",Table46[[#This Row],[LAST TEST]],1)),"",RIGHT(Table46[[#This Row],[LAST TEST]],LEN(Table46[[#This Row],[LAST TEST]])-FIND(" ",Table46[[#This Row],[LAST TEST]],1))))</f>
        <v/>
      </c>
      <c r="J101" s="5" t="str">
        <f>SUBSTITUTE(TRIM(Table46[[#This Row],[LAST]] &amp;IF(LEN(Table46[[#This Row],[LAST]])=0,"", ", ")&amp; Table46[[#This Row],[FIRST]] &amp; " " &amp; Table46[[#This Row],[MIDDLE]] &amp; " " &amp;IF(LEN(Table46[[#This Row],[FIRST]])=1," ", IF(LEN(Table46[[#This Row],[NICKNAME]])=0,"",IF(Table46[[#This Row],[FIRST]]=Table46[[#This Row],[NICKNAME]]," ","("&amp;Table46[[#This Row],[NICKNAME]]&amp;")"))) &amp; " "  &amp; Table46[[#This Row],[SUFFIX]]), " ", " ")</f>
        <v/>
      </c>
    </row>
    <row r="102" spans="1:10" s="5" customFormat="1" ht="18.95" customHeight="1">
      <c r="A102" s="250"/>
      <c r="B102" s="250"/>
      <c r="F102" s="250"/>
      <c r="G102" s="250"/>
    </row>
    <row r="103" spans="1:10" s="5" customFormat="1" ht="18.95" customHeight="1">
      <c r="A103" s="250"/>
      <c r="B103" s="250"/>
      <c r="F103" s="250"/>
      <c r="G103" s="250"/>
    </row>
    <row r="104" spans="1:10" s="5" customFormat="1" ht="18.95" customHeight="1">
      <c r="A104" s="250"/>
      <c r="B104" s="250"/>
      <c r="F104" s="250"/>
      <c r="G104" s="250"/>
    </row>
    <row r="105" spans="1:10" s="5" customFormat="1" ht="18.95" customHeight="1">
      <c r="A105" s="250"/>
      <c r="B105" s="250"/>
      <c r="F105" s="250"/>
      <c r="G105" s="250"/>
    </row>
    <row r="106" spans="1:10" s="5" customFormat="1" ht="18.95" customHeight="1">
      <c r="A106" s="250"/>
      <c r="B106" s="250"/>
      <c r="F106" s="250"/>
      <c r="G106" s="250"/>
    </row>
    <row r="107" spans="1:10" s="5" customFormat="1" ht="18.95" customHeight="1">
      <c r="A107" s="250"/>
      <c r="B107" s="250"/>
      <c r="F107" s="250"/>
      <c r="G107" s="250"/>
    </row>
    <row r="108" spans="1:10" s="5" customFormat="1" ht="18.95" customHeight="1">
      <c r="A108" s="250"/>
      <c r="B108" s="250"/>
      <c r="F108" s="250"/>
      <c r="G108" s="250"/>
    </row>
    <row r="109" spans="1:10" s="5" customFormat="1" ht="18.95" customHeight="1">
      <c r="A109" s="250"/>
      <c r="B109" s="250"/>
      <c r="F109" s="250"/>
      <c r="G109" s="250"/>
    </row>
    <row r="110" spans="1:10" s="5" customFormat="1" ht="18.95" customHeight="1">
      <c r="A110" s="250"/>
      <c r="B110" s="250"/>
      <c r="F110" s="250"/>
      <c r="G110" s="250"/>
    </row>
    <row r="111" spans="1:10" s="5" customFormat="1" ht="18.95" customHeight="1">
      <c r="A111" s="250"/>
      <c r="B111" s="250"/>
      <c r="F111" s="250"/>
      <c r="G111" s="250"/>
    </row>
    <row r="112" spans="1:10" s="5" customFormat="1" ht="18.95" customHeight="1">
      <c r="A112" s="250"/>
      <c r="B112" s="250"/>
      <c r="F112" s="250"/>
      <c r="G112" s="250"/>
    </row>
    <row r="113" spans="1:7" s="5" customFormat="1" ht="18.95" customHeight="1">
      <c r="A113" s="250"/>
      <c r="B113" s="250"/>
      <c r="F113" s="250"/>
      <c r="G113" s="250"/>
    </row>
    <row r="114" spans="1:7" s="5" customFormat="1" ht="18.95" customHeight="1">
      <c r="A114" s="250"/>
      <c r="B114" s="250"/>
      <c r="F114" s="250"/>
      <c r="G114" s="250"/>
    </row>
    <row r="115" spans="1:7" s="5" customFormat="1" ht="18.95" customHeight="1">
      <c r="A115" s="250"/>
      <c r="B115" s="250"/>
      <c r="F115" s="250"/>
      <c r="G115" s="250"/>
    </row>
    <row r="116" spans="1:7" s="5" customFormat="1" ht="18.95" customHeight="1">
      <c r="A116" s="250"/>
      <c r="B116" s="250"/>
      <c r="F116" s="250"/>
      <c r="G116" s="250"/>
    </row>
    <row r="117" spans="1:7" s="5" customFormat="1" ht="18.95" customHeight="1">
      <c r="A117" s="250"/>
      <c r="B117" s="250"/>
      <c r="F117" s="250"/>
      <c r="G117" s="250"/>
    </row>
    <row r="118" spans="1:7" s="5" customFormat="1" ht="18.95" customHeight="1">
      <c r="A118" s="250"/>
      <c r="B118" s="250"/>
      <c r="F118" s="250"/>
      <c r="G118" s="250"/>
    </row>
    <row r="119" spans="1:7" s="5" customFormat="1" ht="18.95" customHeight="1">
      <c r="A119" s="250"/>
      <c r="B119" s="250"/>
      <c r="F119" s="250"/>
      <c r="G119" s="250"/>
    </row>
    <row r="120" spans="1:7" s="5" customFormat="1" ht="18.95" customHeight="1">
      <c r="A120" s="250"/>
      <c r="B120" s="250"/>
      <c r="F120" s="250"/>
      <c r="G120" s="250"/>
    </row>
    <row r="121" spans="1:7" s="5" customFormat="1" ht="18.95" customHeight="1">
      <c r="A121" s="250"/>
      <c r="B121" s="250"/>
      <c r="F121" s="250"/>
      <c r="G121" s="250"/>
    </row>
    <row r="122" spans="1:7" s="5" customFormat="1" ht="18.95" customHeight="1">
      <c r="A122" s="250"/>
      <c r="B122" s="250"/>
      <c r="F122" s="250"/>
      <c r="G122" s="250"/>
    </row>
    <row r="123" spans="1:7" s="5" customFormat="1" ht="18.95" customHeight="1">
      <c r="A123" s="250"/>
      <c r="B123" s="250"/>
      <c r="F123" s="250"/>
      <c r="G123" s="250"/>
    </row>
    <row r="124" spans="1:7" s="5" customFormat="1" ht="18.95" customHeight="1">
      <c r="A124" s="250"/>
      <c r="B124" s="250"/>
      <c r="F124" s="250"/>
      <c r="G124" s="250"/>
    </row>
    <row r="125" spans="1:7" s="5" customFormat="1" ht="18.95" customHeight="1">
      <c r="A125" s="250"/>
      <c r="B125" s="250"/>
      <c r="F125" s="250"/>
      <c r="G125" s="250"/>
    </row>
    <row r="126" spans="1:7" s="5" customFormat="1" ht="18.95" customHeight="1">
      <c r="A126" s="250"/>
      <c r="B126" s="250"/>
      <c r="F126" s="250"/>
      <c r="G126" s="250"/>
    </row>
    <row r="127" spans="1:7" s="5" customFormat="1" ht="18.95" customHeight="1">
      <c r="A127" s="250"/>
      <c r="B127" s="250"/>
      <c r="F127" s="250"/>
      <c r="G127" s="250"/>
    </row>
    <row r="128" spans="1:7" s="5" customFormat="1" ht="18.95" customHeight="1">
      <c r="A128" s="250"/>
      <c r="B128" s="250"/>
      <c r="F128" s="250"/>
      <c r="G128" s="250"/>
    </row>
    <row r="129" spans="1:7" s="5" customFormat="1" ht="18.95" customHeight="1">
      <c r="A129" s="250"/>
      <c r="B129" s="250"/>
      <c r="F129" s="250"/>
      <c r="G129" s="250"/>
    </row>
    <row r="130" spans="1:7" s="5" customFormat="1" ht="18.95" customHeight="1">
      <c r="A130" s="250"/>
      <c r="B130" s="250"/>
      <c r="F130" s="250"/>
      <c r="G130" s="250"/>
    </row>
    <row r="131" spans="1:7" s="5" customFormat="1" ht="18.95" customHeight="1">
      <c r="A131" s="250"/>
      <c r="B131" s="250"/>
      <c r="F131" s="250"/>
      <c r="G131" s="250"/>
    </row>
    <row r="132" spans="1:7" s="5" customFormat="1" ht="18.95" customHeight="1">
      <c r="A132" s="250"/>
      <c r="B132" s="250"/>
      <c r="F132" s="250"/>
      <c r="G132" s="250"/>
    </row>
    <row r="133" spans="1:7" s="5" customFormat="1" ht="18.95" customHeight="1">
      <c r="A133" s="250"/>
      <c r="B133" s="250"/>
      <c r="F133" s="250"/>
      <c r="G133" s="250"/>
    </row>
    <row r="134" spans="1:7" s="5" customFormat="1" ht="18.95" customHeight="1">
      <c r="A134" s="250"/>
      <c r="B134" s="250"/>
      <c r="F134" s="250"/>
      <c r="G134" s="250"/>
    </row>
    <row r="135" spans="1:7" s="5" customFormat="1" ht="18.95" customHeight="1">
      <c r="A135" s="250"/>
      <c r="B135" s="250"/>
      <c r="F135" s="250"/>
      <c r="G135" s="250"/>
    </row>
    <row r="136" spans="1:7" s="5" customFormat="1" ht="18.95" customHeight="1">
      <c r="A136" s="250"/>
      <c r="B136" s="250"/>
      <c r="F136" s="250"/>
      <c r="G136" s="250"/>
    </row>
    <row r="137" spans="1:7" s="5" customFormat="1" ht="18.95" customHeight="1">
      <c r="A137" s="250"/>
      <c r="B137" s="250"/>
      <c r="F137" s="250"/>
      <c r="G137" s="250"/>
    </row>
    <row r="138" spans="1:7" s="5" customFormat="1" ht="18.95" customHeight="1">
      <c r="A138" s="250"/>
      <c r="B138" s="250"/>
      <c r="F138" s="250"/>
      <c r="G138" s="250"/>
    </row>
    <row r="139" spans="1:7" s="5" customFormat="1" ht="18.95" customHeight="1">
      <c r="A139" s="250"/>
      <c r="B139" s="250"/>
      <c r="F139" s="250"/>
      <c r="G139" s="250"/>
    </row>
    <row r="140" spans="1:7" s="5" customFormat="1" ht="18.95" customHeight="1">
      <c r="A140" s="250"/>
      <c r="B140" s="250"/>
      <c r="F140" s="250"/>
      <c r="G140" s="250"/>
    </row>
    <row r="141" spans="1:7" s="5" customFormat="1" ht="18.95" customHeight="1">
      <c r="A141" s="250"/>
      <c r="B141" s="250"/>
      <c r="F141" s="250"/>
      <c r="G141" s="250"/>
    </row>
    <row r="142" spans="1:7" s="5" customFormat="1" ht="18.95" customHeight="1">
      <c r="A142" s="250"/>
      <c r="B142" s="250"/>
      <c r="F142" s="250"/>
      <c r="G142" s="250"/>
    </row>
    <row r="143" spans="1:7" s="5" customFormat="1" ht="18.95" customHeight="1">
      <c r="A143" s="250"/>
      <c r="B143" s="250"/>
      <c r="F143" s="250"/>
      <c r="G143" s="250"/>
    </row>
    <row r="144" spans="1:7" s="5" customFormat="1" ht="18.95" customHeight="1">
      <c r="A144" s="250"/>
      <c r="B144" s="250"/>
      <c r="F144" s="250"/>
      <c r="G144" s="250"/>
    </row>
    <row r="145" spans="1:7" s="5" customFormat="1" ht="18.95" customHeight="1">
      <c r="A145" s="250"/>
      <c r="B145" s="250"/>
      <c r="F145" s="250"/>
      <c r="G145" s="250"/>
    </row>
    <row r="146" spans="1:7" s="5" customFormat="1" ht="18.95" customHeight="1">
      <c r="A146" s="250"/>
      <c r="B146" s="250"/>
      <c r="F146" s="250"/>
      <c r="G146" s="250"/>
    </row>
    <row r="147" spans="1:7" s="5" customFormat="1" ht="18.95" customHeight="1">
      <c r="A147" s="250"/>
      <c r="B147" s="250"/>
      <c r="F147" s="250"/>
      <c r="G147" s="250"/>
    </row>
    <row r="148" spans="1:7" s="5" customFormat="1" ht="18.95" customHeight="1">
      <c r="A148" s="250"/>
      <c r="B148" s="250"/>
      <c r="F148" s="250"/>
      <c r="G148" s="250"/>
    </row>
    <row r="149" spans="1:7" s="5" customFormat="1" ht="18.95" customHeight="1">
      <c r="A149" s="250"/>
      <c r="B149" s="250"/>
      <c r="F149" s="250"/>
      <c r="G149" s="250"/>
    </row>
    <row r="150" spans="1:7" s="5" customFormat="1" ht="18.95" customHeight="1">
      <c r="A150" s="250"/>
      <c r="B150" s="250"/>
      <c r="F150" s="250"/>
      <c r="G150" s="250"/>
    </row>
    <row r="151" spans="1:7" s="5" customFormat="1" ht="18.95" customHeight="1">
      <c r="A151" s="250"/>
      <c r="B151" s="250"/>
      <c r="F151" s="250"/>
      <c r="G151" s="250"/>
    </row>
    <row r="152" spans="1:7" s="5" customFormat="1" ht="18.95" customHeight="1">
      <c r="A152" s="250"/>
      <c r="B152" s="250"/>
      <c r="F152" s="250"/>
      <c r="G152" s="250"/>
    </row>
    <row r="153" spans="1:7" s="5" customFormat="1" ht="18.95" customHeight="1">
      <c r="A153" s="250"/>
      <c r="B153" s="250"/>
      <c r="F153" s="250"/>
      <c r="G153" s="250"/>
    </row>
    <row r="154" spans="1:7" s="5" customFormat="1" ht="18.95" customHeight="1">
      <c r="A154" s="250"/>
      <c r="B154" s="250"/>
      <c r="F154" s="250"/>
      <c r="G154" s="250"/>
    </row>
    <row r="155" spans="1:7" s="5" customFormat="1" ht="18.95" customHeight="1">
      <c r="A155" s="250"/>
      <c r="B155" s="250"/>
      <c r="F155" s="250"/>
      <c r="G155" s="250"/>
    </row>
    <row r="156" spans="1:7" s="5" customFormat="1" ht="18.95" customHeight="1">
      <c r="A156" s="250"/>
      <c r="B156" s="250"/>
      <c r="F156" s="250"/>
      <c r="G156" s="250"/>
    </row>
    <row r="157" spans="1:7" s="5" customFormat="1" ht="18.95" customHeight="1">
      <c r="A157" s="250"/>
      <c r="B157" s="250"/>
      <c r="F157" s="250"/>
      <c r="G157" s="250"/>
    </row>
    <row r="158" spans="1:7" s="5" customFormat="1" ht="18.95" customHeight="1">
      <c r="A158" s="250"/>
      <c r="B158" s="250"/>
      <c r="F158" s="250"/>
      <c r="G158" s="250"/>
    </row>
    <row r="159" spans="1:7" s="5" customFormat="1" ht="18.95" customHeight="1">
      <c r="A159" s="250"/>
      <c r="B159" s="250"/>
      <c r="F159" s="250"/>
      <c r="G159" s="250"/>
    </row>
    <row r="160" spans="1:7" s="5" customFormat="1" ht="18.95" customHeight="1">
      <c r="A160" s="250"/>
      <c r="B160" s="250"/>
      <c r="F160" s="250"/>
      <c r="G160" s="250"/>
    </row>
    <row r="161" spans="1:7" s="5" customFormat="1" ht="18.95" customHeight="1">
      <c r="A161" s="250"/>
      <c r="B161" s="250"/>
      <c r="F161" s="250"/>
      <c r="G161" s="250"/>
    </row>
    <row r="162" spans="1:7" s="5" customFormat="1" ht="18.95" customHeight="1">
      <c r="A162" s="250"/>
      <c r="B162" s="250"/>
      <c r="F162" s="250"/>
      <c r="G162" s="250"/>
    </row>
    <row r="163" spans="1:7" s="5" customFormat="1" ht="18.95" customHeight="1">
      <c r="A163" s="250"/>
      <c r="B163" s="250"/>
      <c r="F163" s="250"/>
      <c r="G163" s="250"/>
    </row>
    <row r="164" spans="1:7" s="5" customFormat="1" ht="18.95" customHeight="1">
      <c r="A164" s="250"/>
      <c r="B164" s="250"/>
      <c r="F164" s="250"/>
      <c r="G164" s="250"/>
    </row>
    <row r="165" spans="1:7" s="5" customFormat="1" ht="18.95" customHeight="1">
      <c r="A165" s="250"/>
      <c r="B165" s="250"/>
      <c r="F165" s="250"/>
      <c r="G165" s="250"/>
    </row>
    <row r="166" spans="1:7" s="5" customFormat="1" ht="18.95" customHeight="1">
      <c r="A166" s="250"/>
      <c r="B166" s="250"/>
      <c r="F166" s="250"/>
      <c r="G166" s="250"/>
    </row>
    <row r="167" spans="1:7" s="5" customFormat="1" ht="18.95" customHeight="1">
      <c r="A167" s="250"/>
      <c r="B167" s="250"/>
      <c r="F167" s="250"/>
      <c r="G167" s="250"/>
    </row>
    <row r="168" spans="1:7" s="5" customFormat="1" ht="18.95" customHeight="1">
      <c r="A168" s="250"/>
      <c r="B168" s="250"/>
      <c r="F168" s="250"/>
      <c r="G168" s="250"/>
    </row>
  </sheetData>
  <sheetProtection sheet="1" formatCells="0" formatColumns="0" formatRows="0" insertColumns="0" insertRows="0" insertHyperlinks="0" deleteColumns="0" deleteRows="0" selectLockedCells="1" sort="0" autoFilter="0" pivotTables="0"/>
  <pageMargins left="0.75" right="0.75" top="1" bottom="1" header="0.5" footer="0.5"/>
  <pageSetup orientation="portrait" horizontalDpi="4294967292" verticalDpi="4294967292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I11"/>
  <sheetViews>
    <sheetView showGridLines="0" workbookViewId="0">
      <selection activeCell="C8" sqref="C8"/>
    </sheetView>
  </sheetViews>
  <sheetFormatPr defaultColWidth="10.6640625" defaultRowHeight="18"/>
  <cols>
    <col min="1" max="1" width="27.44140625" style="26" customWidth="1"/>
    <col min="2" max="2" width="15.33203125" style="26" customWidth="1"/>
    <col min="3" max="5" width="10.6640625" style="26"/>
    <col min="6" max="8" width="13.109375" style="27" customWidth="1"/>
    <col min="9" max="11" width="13.88671875" style="26" customWidth="1"/>
    <col min="12" max="16384" width="10.6640625" style="26"/>
  </cols>
  <sheetData>
    <row r="1" spans="1:9" s="32" customFormat="1" ht="51" customHeight="1">
      <c r="A1" s="271" t="s">
        <v>129</v>
      </c>
      <c r="B1" s="272"/>
      <c r="C1" s="272"/>
      <c r="D1" s="272"/>
      <c r="E1" s="272"/>
      <c r="F1" s="272"/>
      <c r="G1" s="272"/>
      <c r="H1" s="272"/>
      <c r="I1" s="273"/>
    </row>
    <row r="2" spans="1:9" ht="39" customHeight="1">
      <c r="A2" s="145"/>
      <c r="B2" s="149"/>
      <c r="C2" s="149"/>
      <c r="D2" s="149"/>
      <c r="E2" s="149"/>
      <c r="F2" s="150"/>
      <c r="G2" s="150"/>
      <c r="H2" s="150"/>
      <c r="I2" s="151"/>
    </row>
    <row r="3" spans="1:9" ht="39" customHeight="1">
      <c r="A3" s="145"/>
      <c r="B3" s="34" t="s">
        <v>130</v>
      </c>
      <c r="C3" s="34" t="s">
        <v>9</v>
      </c>
      <c r="D3" s="149"/>
      <c r="E3" s="149"/>
      <c r="F3" s="35" t="s">
        <v>130</v>
      </c>
      <c r="G3" s="35" t="s">
        <v>131</v>
      </c>
      <c r="H3" s="35" t="s">
        <v>9</v>
      </c>
      <c r="I3" s="151"/>
    </row>
    <row r="4" spans="1:9" ht="39" customHeight="1">
      <c r="A4" s="146" t="s">
        <v>132</v>
      </c>
      <c r="B4" s="28" t="s">
        <v>133</v>
      </c>
      <c r="C4" s="33">
        <f>VLOOKUP(B4,F4:H8,3,FALSE)</f>
        <v>130</v>
      </c>
      <c r="D4" s="149"/>
      <c r="E4" s="149"/>
      <c r="F4" s="10" t="s">
        <v>133</v>
      </c>
      <c r="G4" s="10">
        <v>6616</v>
      </c>
      <c r="H4" s="10">
        <v>130</v>
      </c>
      <c r="I4" s="151"/>
    </row>
    <row r="5" spans="1:9" ht="39" customHeight="1">
      <c r="A5" s="145"/>
      <c r="B5" s="149"/>
      <c r="C5" s="149"/>
      <c r="D5" s="149"/>
      <c r="E5" s="149"/>
      <c r="F5" s="29" t="s">
        <v>134</v>
      </c>
      <c r="G5" s="29">
        <v>6301</v>
      </c>
      <c r="H5" s="29">
        <v>126</v>
      </c>
      <c r="I5" s="151"/>
    </row>
    <row r="6" spans="1:9" ht="39" customHeight="1">
      <c r="A6" s="147"/>
      <c r="B6" s="155"/>
      <c r="C6" s="255" t="s">
        <v>140</v>
      </c>
      <c r="D6" s="149"/>
      <c r="E6" s="149"/>
      <c r="F6" s="13" t="s">
        <v>135</v>
      </c>
      <c r="G6" s="13">
        <v>5918</v>
      </c>
      <c r="H6" s="13">
        <v>121</v>
      </c>
      <c r="I6" s="151"/>
    </row>
    <row r="7" spans="1:9" ht="39" customHeight="1">
      <c r="A7" s="145"/>
      <c r="B7" s="156" t="s">
        <v>136</v>
      </c>
      <c r="C7" s="36">
        <v>22</v>
      </c>
      <c r="D7" s="149"/>
      <c r="E7" s="149"/>
      <c r="F7" s="30" t="s">
        <v>137</v>
      </c>
      <c r="G7" s="30">
        <v>5918</v>
      </c>
      <c r="H7" s="30">
        <v>117</v>
      </c>
      <c r="I7" s="151"/>
    </row>
    <row r="8" spans="1:9" ht="39" customHeight="1">
      <c r="A8" s="145"/>
      <c r="B8" s="156" t="s">
        <v>138</v>
      </c>
      <c r="C8" s="257">
        <f>IF(OR(C4=0,$C4=""),0,ROUND((C7*$C$4)/113,0))</f>
        <v>25</v>
      </c>
      <c r="D8" s="149"/>
      <c r="E8" s="149"/>
      <c r="F8" s="31" t="s">
        <v>139</v>
      </c>
      <c r="G8" s="31">
        <v>5210</v>
      </c>
      <c r="H8" s="31">
        <v>118</v>
      </c>
      <c r="I8" s="151"/>
    </row>
    <row r="9" spans="1:9" ht="24.95" customHeight="1">
      <c r="A9" s="145"/>
      <c r="B9" s="149"/>
      <c r="C9" s="149"/>
      <c r="D9" s="149"/>
      <c r="E9" s="149"/>
      <c r="F9" s="150"/>
      <c r="G9" s="150"/>
      <c r="H9" s="150"/>
      <c r="I9" s="151"/>
    </row>
    <row r="10" spans="1:9" ht="24.95" customHeight="1">
      <c r="A10" s="145"/>
      <c r="B10" s="149"/>
      <c r="C10" s="149"/>
      <c r="D10" s="149"/>
      <c r="E10" s="149"/>
      <c r="F10" s="150"/>
      <c r="G10" s="150"/>
      <c r="H10" s="150"/>
      <c r="I10" s="151"/>
    </row>
    <row r="11" spans="1:9" ht="24.95" customHeight="1">
      <c r="A11" s="148"/>
      <c r="B11" s="153"/>
      <c r="C11" s="153"/>
      <c r="D11" s="153"/>
      <c r="E11" s="153"/>
      <c r="F11" s="154"/>
      <c r="G11" s="154"/>
      <c r="H11" s="154"/>
      <c r="I11" s="152"/>
    </row>
  </sheetData>
  <sheetProtection sheet="1" formatCells="0" formatColumns="0" formatRows="0" insertColumns="0" insertRows="0" deleteColumns="0" deleteRows="0" selectLockedCells="1" sort="0" autoFilter="0" pivotTables="0"/>
  <dataValidations count="1">
    <dataValidation type="list" allowBlank="1" showInputMessage="1" showErrorMessage="1" sqref="B4:B5">
      <formula1>$F$4:$F$8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Tournament Director Home</vt:lpstr>
      <vt:lpstr>Defaults and Lookup Lists</vt:lpstr>
      <vt:lpstr>Contestant Entry List</vt:lpstr>
      <vt:lpstr>Hole Event List</vt:lpstr>
      <vt:lpstr>Gift Card List</vt:lpstr>
      <vt:lpstr>Player Lookup</vt:lpstr>
      <vt:lpstr>Course Information</vt:lpstr>
      <vt:lpstr>Concatenation Helper</vt:lpstr>
      <vt:lpstr>Get Index From Handicap</vt:lpstr>
      <vt:lpstr>LOOKUP_TABLE_NAMES</vt:lpstr>
      <vt:lpstr>PopUpClubName</vt:lpstr>
      <vt:lpstr>PopUpEventOpenTo</vt:lpstr>
      <vt:lpstr>PopUpExtraRule</vt:lpstr>
      <vt:lpstr>PopUpFlights</vt:lpstr>
      <vt:lpstr>PopUpGender</vt:lpstr>
      <vt:lpstr>PopUpGiftCards</vt:lpstr>
      <vt:lpstr>PopUpHoleEvent</vt:lpstr>
      <vt:lpstr>PopUpLookUpName</vt:lpstr>
      <vt:lpstr>PopUpTeeMarkers</vt:lpstr>
      <vt:lpstr>TeeMarkerTable</vt:lpstr>
    </vt:vector>
  </TitlesOfParts>
  <Company>Turtleback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Carter</dc:creator>
  <cp:lastModifiedBy>Daniel</cp:lastModifiedBy>
  <dcterms:created xsi:type="dcterms:W3CDTF">2013-11-08T21:13:24Z</dcterms:created>
  <dcterms:modified xsi:type="dcterms:W3CDTF">2014-03-09T13:32:00Z</dcterms:modified>
</cp:coreProperties>
</file>