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19155" windowHeight="8475" activeTab="2"/>
  </bookViews>
  <sheets>
    <sheet name="ProductInfo" sheetId="1" r:id="rId1"/>
    <sheet name="PivotTable" sheetId="3" r:id="rId2"/>
    <sheet name="Customer01" sheetId="2" r:id="rId3"/>
    <sheet name="Desired Result" sheetId="4" r:id="rId4"/>
  </sheets>
  <definedNames>
    <definedName name="_xlnm._FilterDatabase" localSheetId="2" hidden="1">Customer01!$N$1:$O$8</definedName>
    <definedName name="BigNumber">9.99E+307</definedName>
    <definedName name="CriteriaProOwed">ProductInfo!$F$1:$F$2</definedName>
    <definedName name="_xlnm.Extract" localSheetId="2">Customer01!$Q$1:$R$1</definedName>
    <definedName name="Omega">"Ω"</definedName>
    <definedName name="ProductsList">ProductInfo!$A$2:INDEX(ProductInfo!$A$2:$A$11,MATCH(Omega,ProductInfo!$A$2:$A$11))</definedName>
    <definedName name="ProductsTable">ProductInfo!$A$2:INDEX(ProductInfo!$C$2:$C$11,MATCH(BigNumber,ProductInfo!$C$2:$C$11))</definedName>
  </definedNames>
  <calcPr calcId="145621"/>
  <pivotCaches>
    <pivotCache cacheId="0" r:id="rId5"/>
  </pivotCaches>
</workbook>
</file>

<file path=xl/calcChain.xml><?xml version="1.0" encoding="utf-8"?>
<calcChain xmlns="http://schemas.openxmlformats.org/spreadsheetml/2006/main">
  <c r="D1" i="2" l="1"/>
  <c r="C1" i="2"/>
  <c r="B1" i="2"/>
  <c r="H1" i="2" s="1"/>
  <c r="K1" i="2" s="1"/>
  <c r="N1" i="2" s="1"/>
  <c r="Q1" i="2" s="1"/>
  <c r="C2" i="2"/>
  <c r="D2" i="2"/>
  <c r="C3" i="2"/>
  <c r="D3" i="2"/>
  <c r="C4" i="2"/>
  <c r="D4" i="2"/>
  <c r="C5" i="2"/>
  <c r="D5" i="2"/>
  <c r="C6" i="2"/>
  <c r="D6" i="2"/>
  <c r="C7" i="2"/>
  <c r="D7" i="2"/>
  <c r="C8" i="2"/>
  <c r="D8" i="2"/>
  <c r="C9" i="2"/>
  <c r="D9" i="2"/>
  <c r="C10" i="2"/>
  <c r="D10" i="2"/>
  <c r="C11" i="2"/>
  <c r="D11" i="2"/>
  <c r="C12" i="2"/>
  <c r="D12" i="2"/>
  <c r="C13" i="2"/>
  <c r="D13" i="2"/>
  <c r="C14" i="2"/>
  <c r="D14" i="2"/>
  <c r="C15" i="2"/>
  <c r="D15" i="2"/>
  <c r="C16" i="2"/>
  <c r="D16" i="2"/>
  <c r="C17" i="2"/>
  <c r="D17" i="2"/>
  <c r="C18" i="2"/>
  <c r="D18" i="2"/>
  <c r="C19" i="2"/>
  <c r="D19" i="2"/>
  <c r="C20" i="2"/>
  <c r="D20" i="2"/>
  <c r="C21" i="2"/>
  <c r="D21" i="2"/>
  <c r="H2" i="2"/>
  <c r="I2" i="2" s="1"/>
  <c r="H3" i="2"/>
  <c r="I3" i="2" s="1"/>
  <c r="H4" i="2"/>
  <c r="I4" i="2" s="1"/>
  <c r="H5" i="2"/>
  <c r="I5" i="2" s="1"/>
  <c r="H6" i="2"/>
  <c r="I6" i="2" s="1"/>
  <c r="H7" i="2"/>
  <c r="K7" i="2" s="1"/>
  <c r="L7" i="2" s="1"/>
  <c r="H8" i="2"/>
  <c r="I8" i="2" s="1"/>
  <c r="N7" i="2" l="1"/>
  <c r="I7" i="2"/>
  <c r="O7" i="2" s="1"/>
  <c r="K8" i="2"/>
  <c r="K6" i="2"/>
  <c r="K5" i="2"/>
  <c r="K4" i="2"/>
  <c r="K3" i="2"/>
  <c r="K2" i="2"/>
  <c r="L2" i="2" l="1"/>
  <c r="O2" i="2" s="1"/>
  <c r="N2" i="2"/>
  <c r="L4" i="2"/>
  <c r="O4" i="2" s="1"/>
  <c r="N4" i="2"/>
  <c r="L6" i="2"/>
  <c r="O6" i="2" s="1"/>
  <c r="N6" i="2"/>
  <c r="L3" i="2"/>
  <c r="O3" i="2" s="1"/>
  <c r="N3" i="2"/>
  <c r="L5" i="2"/>
  <c r="O5" i="2" s="1"/>
  <c r="N5" i="2"/>
  <c r="L8" i="2"/>
  <c r="O8" i="2" s="1"/>
  <c r="N8" i="2"/>
</calcChain>
</file>

<file path=xl/sharedStrings.xml><?xml version="1.0" encoding="utf-8"?>
<sst xmlns="http://schemas.openxmlformats.org/spreadsheetml/2006/main" count="93" uniqueCount="36">
  <si>
    <t>A8603</t>
  </si>
  <si>
    <t>A8085</t>
  </si>
  <si>
    <t>Product</t>
  </si>
  <si>
    <t>Reference</t>
  </si>
  <si>
    <t>Price</t>
  </si>
  <si>
    <t>Date</t>
  </si>
  <si>
    <t>Units Returned</t>
  </si>
  <si>
    <t>Units Borrowed</t>
  </si>
  <si>
    <t>Product 01</t>
  </si>
  <si>
    <t>Product 02</t>
  </si>
  <si>
    <t>Product 03</t>
  </si>
  <si>
    <t>Product 04</t>
  </si>
  <si>
    <t>Product 05</t>
  </si>
  <si>
    <t>Product 06</t>
  </si>
  <si>
    <t>Product 07</t>
  </si>
  <si>
    <t>A8143</t>
  </si>
  <si>
    <t>A8976</t>
  </si>
  <si>
    <t>A3478</t>
  </si>
  <si>
    <t>A9900</t>
  </si>
  <si>
    <t>A8994</t>
  </si>
  <si>
    <t>Total Qty Returned</t>
  </si>
  <si>
    <t>Total Qty Borrowed</t>
  </si>
  <si>
    <t>Grand Total</t>
  </si>
  <si>
    <t>Values</t>
  </si>
  <si>
    <t>Sum of Units Returned</t>
  </si>
  <si>
    <t>Sum of Units Borrowed</t>
  </si>
  <si>
    <t>Qty Owed</t>
  </si>
  <si>
    <t>Product 01 Total</t>
  </si>
  <si>
    <t>Product 02 Total</t>
  </si>
  <si>
    <t>Product 03 Total</t>
  </si>
  <si>
    <t>Product 04 Total</t>
  </si>
  <si>
    <t>Product 05 Total</t>
  </si>
  <si>
    <t>Product 07 Total</t>
  </si>
  <si>
    <t>Friend 01</t>
  </si>
  <si>
    <t>&gt;0</t>
  </si>
  <si>
    <t>TEST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</si>
</sst>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/>
    <xf numFmtId="8" fontId="0" fillId="0" borderId="0" xfId="0" applyNumberFormat="1"/>
    <xf numFmtId="164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0" fillId="0" borderId="0" xfId="0" applyAlignment="1">
      <alignment horizontal="left" indent="2"/>
    </xf>
    <xf numFmtId="0" fontId="0" fillId="0" borderId="0" xfId="0" pivotButton="1"/>
    <xf numFmtId="0" fontId="0" fillId="0" borderId="0" xfId="0" applyNumberFormat="1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1">
    <dxf>
      <font>
        <b/>
        <i val="0"/>
      </font>
    </dxf>
  </dxfs>
  <tableStyles count="1" defaultTableStyle="TableStyleMedium9" defaultPivotStyle="PivotStyleLight16">
    <tableStyle name="Table Style 1" pivot="0" count="1"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rmes Suarez" refreshedDate="41495.935882754631" createdVersion="3" refreshedVersion="3" minRefreshableVersion="3" recordCount="20">
  <cacheSource type="worksheet">
    <worksheetSource ref="A1:F21" sheet="Customer01"/>
  </cacheSource>
  <cacheFields count="6">
    <cacheField name="Date" numFmtId="164">
      <sharedItems containsSemiMixedTypes="0" containsNonDate="0" containsDate="1" containsString="0" minDate="2013-01-01T00:00:00" maxDate="2013-02-09T00:00:00" count="20">
        <d v="2013-01-01T00:00:00"/>
        <d v="2013-01-03T00:00:00"/>
        <d v="2013-01-05T00:00:00"/>
        <d v="2013-01-07T00:00:00"/>
        <d v="2013-01-09T00:00:00"/>
        <d v="2013-01-11T00:00:00"/>
        <d v="2013-01-13T00:00:00"/>
        <d v="2013-01-15T00:00:00"/>
        <d v="2013-01-17T00:00:00"/>
        <d v="2013-01-19T00:00:00"/>
        <d v="2013-01-21T00:00:00"/>
        <d v="2013-01-23T00:00:00"/>
        <d v="2013-01-25T00:00:00"/>
        <d v="2013-01-27T00:00:00"/>
        <d v="2013-01-29T00:00:00"/>
        <d v="2013-01-31T00:00:00"/>
        <d v="2013-02-02T00:00:00"/>
        <d v="2013-02-04T00:00:00"/>
        <d v="2013-02-06T00:00:00"/>
        <d v="2013-02-08T00:00:00"/>
      </sharedItems>
    </cacheField>
    <cacheField name="Product" numFmtId="0">
      <sharedItems count="6">
        <s v="Product 01"/>
        <s v="Product 02"/>
        <s v="Product 03"/>
        <s v="Product 05"/>
        <s v="Product 04"/>
        <s v="Product 07"/>
      </sharedItems>
    </cacheField>
    <cacheField name="Reference" numFmtId="0">
      <sharedItems/>
    </cacheField>
    <cacheField name="Price" numFmtId="8">
      <sharedItems containsSemiMixedTypes="0" containsString="0" containsNumber="1" minValue="27.32" maxValue="76.010000000000005"/>
    </cacheField>
    <cacheField name="Units Returned" numFmtId="0">
      <sharedItems containsString="0" containsBlank="1" containsNumber="1" containsInteger="1" minValue="1" maxValue="3"/>
    </cacheField>
    <cacheField name="Units Borrowed" numFmtId="0">
      <sharedItems containsString="0" containsBlank="1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  <s v="A8603"/>
    <n v="54"/>
    <m/>
    <n v="1"/>
  </r>
  <r>
    <x v="1"/>
    <x v="0"/>
    <s v="A8603"/>
    <n v="54"/>
    <m/>
    <n v="1"/>
  </r>
  <r>
    <x v="2"/>
    <x v="0"/>
    <s v="A8603"/>
    <n v="54"/>
    <m/>
    <n v="1"/>
  </r>
  <r>
    <x v="3"/>
    <x v="0"/>
    <s v="A8603"/>
    <n v="54"/>
    <n v="1"/>
    <m/>
  </r>
  <r>
    <x v="4"/>
    <x v="1"/>
    <s v="A8085"/>
    <n v="27.32"/>
    <m/>
    <n v="2"/>
  </r>
  <r>
    <x v="5"/>
    <x v="2"/>
    <s v="A8143"/>
    <n v="28.57"/>
    <m/>
    <n v="1"/>
  </r>
  <r>
    <x v="6"/>
    <x v="2"/>
    <s v="A8143"/>
    <n v="28.57"/>
    <m/>
    <n v="1"/>
  </r>
  <r>
    <x v="7"/>
    <x v="0"/>
    <s v="A8603"/>
    <n v="54"/>
    <m/>
    <n v="1"/>
  </r>
  <r>
    <x v="8"/>
    <x v="0"/>
    <s v="A8603"/>
    <n v="54"/>
    <n v="1"/>
    <m/>
  </r>
  <r>
    <x v="9"/>
    <x v="3"/>
    <s v="A3478"/>
    <n v="76.010000000000005"/>
    <m/>
    <n v="3"/>
  </r>
  <r>
    <x v="10"/>
    <x v="1"/>
    <s v="A8085"/>
    <n v="27.32"/>
    <m/>
    <n v="2"/>
  </r>
  <r>
    <x v="11"/>
    <x v="1"/>
    <s v="A8085"/>
    <n v="27.32"/>
    <n v="2"/>
    <m/>
  </r>
  <r>
    <x v="12"/>
    <x v="2"/>
    <s v="A8143"/>
    <n v="28.57"/>
    <m/>
    <n v="1"/>
  </r>
  <r>
    <x v="13"/>
    <x v="3"/>
    <s v="A3478"/>
    <n v="76.010000000000005"/>
    <m/>
    <n v="1"/>
  </r>
  <r>
    <x v="14"/>
    <x v="3"/>
    <s v="A3478"/>
    <n v="76.010000000000005"/>
    <n v="2"/>
    <m/>
  </r>
  <r>
    <x v="15"/>
    <x v="4"/>
    <s v="A8976"/>
    <n v="28.57"/>
    <m/>
    <n v="2"/>
  </r>
  <r>
    <x v="16"/>
    <x v="5"/>
    <s v="A8994"/>
    <n v="29.26"/>
    <m/>
    <n v="3"/>
  </r>
  <r>
    <x v="17"/>
    <x v="2"/>
    <s v="A8143"/>
    <n v="28.57"/>
    <n v="2"/>
    <m/>
  </r>
  <r>
    <x v="18"/>
    <x v="5"/>
    <s v="A8994"/>
    <n v="29.26"/>
    <n v="3"/>
    <m/>
  </r>
  <r>
    <x v="19"/>
    <x v="4"/>
    <s v="A8976"/>
    <n v="28.57"/>
    <n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multipleFieldFilters="0">
  <location ref="A3:D31" firstHeaderRow="1" firstDataRow="2" firstDataCol="2"/>
  <pivotFields count="6">
    <pivotField axis="axisRow" compact="0" numFmtId="164" outline="0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compact="0" outline="0" showAll="0">
      <items count="7">
        <item x="0"/>
        <item x="1"/>
        <item x="2"/>
        <item x="4"/>
        <item x="3"/>
        <item x="5"/>
        <item t="default"/>
      </items>
    </pivotField>
    <pivotField compact="0" outline="0" showAll="0"/>
    <pivotField compact="0" numFmtId="8" outline="0" showAll="0"/>
    <pivotField dataField="1" compact="0" outline="0" showAll="0"/>
    <pivotField dataField="1" compact="0" outline="0" showAll="0"/>
  </pivotFields>
  <rowFields count="2">
    <field x="1"/>
    <field x="0"/>
  </rowFields>
  <rowItems count="27">
    <i>
      <x/>
      <x/>
    </i>
    <i r="1">
      <x v="1"/>
    </i>
    <i r="1">
      <x v="2"/>
    </i>
    <i r="1">
      <x v="3"/>
    </i>
    <i r="1">
      <x v="7"/>
    </i>
    <i r="1">
      <x v="8"/>
    </i>
    <i t="default">
      <x/>
    </i>
    <i>
      <x v="1"/>
      <x v="4"/>
    </i>
    <i r="1">
      <x v="10"/>
    </i>
    <i r="1">
      <x v="11"/>
    </i>
    <i t="default">
      <x v="1"/>
    </i>
    <i>
      <x v="2"/>
      <x v="5"/>
    </i>
    <i r="1">
      <x v="6"/>
    </i>
    <i r="1">
      <x v="12"/>
    </i>
    <i r="1">
      <x v="17"/>
    </i>
    <i t="default">
      <x v="2"/>
    </i>
    <i>
      <x v="3"/>
      <x v="15"/>
    </i>
    <i r="1">
      <x v="19"/>
    </i>
    <i t="default">
      <x v="3"/>
    </i>
    <i>
      <x v="4"/>
      <x v="9"/>
    </i>
    <i r="1">
      <x v="13"/>
    </i>
    <i r="1">
      <x v="14"/>
    </i>
    <i t="default">
      <x v="4"/>
    </i>
    <i>
      <x v="5"/>
      <x v="16"/>
    </i>
    <i r="1">
      <x v="18"/>
    </i>
    <i t="default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ts Returned" fld="4" baseField="0" baseItem="0"/>
    <dataField name="Sum of Units Borrowed" fld="5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"/>
  <sheetViews>
    <sheetView workbookViewId="0">
      <selection activeCell="K6" sqref="K6"/>
    </sheetView>
  </sheetViews>
  <sheetFormatPr defaultRowHeight="15" x14ac:dyDescent="0.25"/>
  <cols>
    <col min="1" max="3" width="13" customWidth="1"/>
    <col min="6" max="6" width="9.85546875" bestFit="1" customWidth="1"/>
  </cols>
  <sheetData>
    <row r="1" spans="1:6" ht="15.75" thickBot="1" x14ac:dyDescent="0.3">
      <c r="A1" s="4" t="s">
        <v>2</v>
      </c>
      <c r="B1" s="4" t="s">
        <v>3</v>
      </c>
      <c r="C1" s="4" t="s">
        <v>4</v>
      </c>
      <c r="F1" s="5" t="s">
        <v>26</v>
      </c>
    </row>
    <row r="2" spans="1:6" x14ac:dyDescent="0.25">
      <c r="A2" s="1" t="s">
        <v>8</v>
      </c>
      <c r="B2" t="s">
        <v>0</v>
      </c>
      <c r="C2" s="2">
        <v>54</v>
      </c>
      <c r="F2" s="1" t="s">
        <v>34</v>
      </c>
    </row>
    <row r="3" spans="1:6" x14ac:dyDescent="0.25">
      <c r="A3" s="1" t="s">
        <v>9</v>
      </c>
      <c r="B3" t="s">
        <v>1</v>
      </c>
      <c r="C3" s="2">
        <v>27.32</v>
      </c>
    </row>
    <row r="4" spans="1:6" x14ac:dyDescent="0.25">
      <c r="A4" s="1" t="s">
        <v>10</v>
      </c>
      <c r="B4" s="1" t="s">
        <v>15</v>
      </c>
      <c r="C4" s="2">
        <v>28.57</v>
      </c>
    </row>
    <row r="5" spans="1:6" x14ac:dyDescent="0.25">
      <c r="A5" s="1" t="s">
        <v>11</v>
      </c>
      <c r="B5" s="1" t="s">
        <v>16</v>
      </c>
      <c r="C5" s="2">
        <v>28.57</v>
      </c>
    </row>
    <row r="6" spans="1:6" x14ac:dyDescent="0.25">
      <c r="A6" s="1" t="s">
        <v>12</v>
      </c>
      <c r="B6" s="1" t="s">
        <v>17</v>
      </c>
      <c r="C6" s="2">
        <v>76.010000000000005</v>
      </c>
    </row>
    <row r="7" spans="1:6" x14ac:dyDescent="0.25">
      <c r="A7" s="1" t="s">
        <v>13</v>
      </c>
      <c r="B7" s="1" t="s">
        <v>18</v>
      </c>
      <c r="C7" s="2">
        <v>17.440000000000001</v>
      </c>
    </row>
    <row r="8" spans="1:6" x14ac:dyDescent="0.25">
      <c r="A8" s="1" t="s">
        <v>14</v>
      </c>
      <c r="B8" s="1" t="s">
        <v>19</v>
      </c>
      <c r="C8" s="2">
        <v>29.26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D31"/>
  <sheetViews>
    <sheetView topLeftCell="A3" workbookViewId="0">
      <selection activeCell="B6" sqref="B6"/>
    </sheetView>
  </sheetViews>
  <sheetFormatPr defaultRowHeight="15" x14ac:dyDescent="0.25"/>
  <cols>
    <col min="1" max="1" width="15.28515625" bestFit="1" customWidth="1"/>
    <col min="2" max="2" width="28.28515625" bestFit="1" customWidth="1"/>
    <col min="3" max="3" width="21.42578125" bestFit="1" customWidth="1"/>
    <col min="4" max="4" width="21.85546875" bestFit="1" customWidth="1"/>
  </cols>
  <sheetData>
    <row r="3" spans="1:4" x14ac:dyDescent="0.25">
      <c r="C3" s="7" t="s">
        <v>23</v>
      </c>
    </row>
    <row r="4" spans="1:4" x14ac:dyDescent="0.25">
      <c r="A4" s="7" t="s">
        <v>2</v>
      </c>
      <c r="B4" s="7" t="s">
        <v>5</v>
      </c>
      <c r="C4" s="1" t="s">
        <v>24</v>
      </c>
      <c r="D4" s="1" t="s">
        <v>25</v>
      </c>
    </row>
    <row r="5" spans="1:4" x14ac:dyDescent="0.25">
      <c r="A5" s="1" t="s">
        <v>8</v>
      </c>
      <c r="B5" s="3">
        <v>41275</v>
      </c>
      <c r="C5" s="8"/>
      <c r="D5" s="8">
        <v>1</v>
      </c>
    </row>
    <row r="6" spans="1:4" x14ac:dyDescent="0.25">
      <c r="B6" s="3">
        <v>41277</v>
      </c>
      <c r="C6" s="8"/>
      <c r="D6" s="8">
        <v>1</v>
      </c>
    </row>
    <row r="7" spans="1:4" x14ac:dyDescent="0.25">
      <c r="B7" s="3">
        <v>41279</v>
      </c>
      <c r="C7" s="8"/>
      <c r="D7" s="8">
        <v>1</v>
      </c>
    </row>
    <row r="8" spans="1:4" x14ac:dyDescent="0.25">
      <c r="B8" s="3">
        <v>41281</v>
      </c>
      <c r="C8" s="8">
        <v>1</v>
      </c>
      <c r="D8" s="8"/>
    </row>
    <row r="9" spans="1:4" x14ac:dyDescent="0.25">
      <c r="B9" s="3">
        <v>41289</v>
      </c>
      <c r="C9" s="8"/>
      <c r="D9" s="8">
        <v>1</v>
      </c>
    </row>
    <row r="10" spans="1:4" x14ac:dyDescent="0.25">
      <c r="B10" s="3">
        <v>41291</v>
      </c>
      <c r="C10" s="8">
        <v>1</v>
      </c>
      <c r="D10" s="8"/>
    </row>
    <row r="11" spans="1:4" x14ac:dyDescent="0.25">
      <c r="A11" s="1" t="s">
        <v>27</v>
      </c>
      <c r="B11" s="1"/>
      <c r="C11" s="8">
        <v>2</v>
      </c>
      <c r="D11" s="8">
        <v>4</v>
      </c>
    </row>
    <row r="12" spans="1:4" x14ac:dyDescent="0.25">
      <c r="A12" s="1" t="s">
        <v>9</v>
      </c>
      <c r="B12" s="3">
        <v>41283</v>
      </c>
      <c r="C12" s="8"/>
      <c r="D12" s="8">
        <v>2</v>
      </c>
    </row>
    <row r="13" spans="1:4" x14ac:dyDescent="0.25">
      <c r="B13" s="3">
        <v>41295</v>
      </c>
      <c r="C13" s="8"/>
      <c r="D13" s="8">
        <v>2</v>
      </c>
    </row>
    <row r="14" spans="1:4" x14ac:dyDescent="0.25">
      <c r="B14" s="3">
        <v>41297</v>
      </c>
      <c r="C14" s="8">
        <v>2</v>
      </c>
      <c r="D14" s="8"/>
    </row>
    <row r="15" spans="1:4" x14ac:dyDescent="0.25">
      <c r="A15" s="1" t="s">
        <v>28</v>
      </c>
      <c r="B15" s="1"/>
      <c r="C15" s="8">
        <v>2</v>
      </c>
      <c r="D15" s="8">
        <v>4</v>
      </c>
    </row>
    <row r="16" spans="1:4" x14ac:dyDescent="0.25">
      <c r="A16" s="1" t="s">
        <v>10</v>
      </c>
      <c r="B16" s="3">
        <v>41285</v>
      </c>
      <c r="C16" s="8"/>
      <c r="D16" s="8">
        <v>1</v>
      </c>
    </row>
    <row r="17" spans="1:4" x14ac:dyDescent="0.25">
      <c r="B17" s="3">
        <v>41287</v>
      </c>
      <c r="C17" s="8"/>
      <c r="D17" s="8">
        <v>1</v>
      </c>
    </row>
    <row r="18" spans="1:4" x14ac:dyDescent="0.25">
      <c r="B18" s="3">
        <v>41299</v>
      </c>
      <c r="C18" s="8"/>
      <c r="D18" s="8">
        <v>1</v>
      </c>
    </row>
    <row r="19" spans="1:4" x14ac:dyDescent="0.25">
      <c r="B19" s="3">
        <v>41309</v>
      </c>
      <c r="C19" s="8">
        <v>2</v>
      </c>
      <c r="D19" s="8"/>
    </row>
    <row r="20" spans="1:4" x14ac:dyDescent="0.25">
      <c r="A20" s="1" t="s">
        <v>29</v>
      </c>
      <c r="B20" s="1"/>
      <c r="C20" s="8">
        <v>2</v>
      </c>
      <c r="D20" s="8">
        <v>3</v>
      </c>
    </row>
    <row r="21" spans="1:4" x14ac:dyDescent="0.25">
      <c r="A21" s="1" t="s">
        <v>11</v>
      </c>
      <c r="B21" s="3">
        <v>41305</v>
      </c>
      <c r="C21" s="8"/>
      <c r="D21" s="8">
        <v>2</v>
      </c>
    </row>
    <row r="22" spans="1:4" x14ac:dyDescent="0.25">
      <c r="B22" s="3">
        <v>41313</v>
      </c>
      <c r="C22" s="8">
        <v>1</v>
      </c>
      <c r="D22" s="8"/>
    </row>
    <row r="23" spans="1:4" x14ac:dyDescent="0.25">
      <c r="A23" s="1" t="s">
        <v>30</v>
      </c>
      <c r="B23" s="1"/>
      <c r="C23" s="8">
        <v>1</v>
      </c>
      <c r="D23" s="8">
        <v>2</v>
      </c>
    </row>
    <row r="24" spans="1:4" x14ac:dyDescent="0.25">
      <c r="A24" s="1" t="s">
        <v>12</v>
      </c>
      <c r="B24" s="3">
        <v>41293</v>
      </c>
      <c r="C24" s="8"/>
      <c r="D24" s="8">
        <v>3</v>
      </c>
    </row>
    <row r="25" spans="1:4" x14ac:dyDescent="0.25">
      <c r="B25" s="3">
        <v>41301</v>
      </c>
      <c r="C25" s="8"/>
      <c r="D25" s="8">
        <v>1</v>
      </c>
    </row>
    <row r="26" spans="1:4" x14ac:dyDescent="0.25">
      <c r="B26" s="3">
        <v>41303</v>
      </c>
      <c r="C26" s="8">
        <v>2</v>
      </c>
      <c r="D26" s="8"/>
    </row>
    <row r="27" spans="1:4" x14ac:dyDescent="0.25">
      <c r="A27" s="1" t="s">
        <v>31</v>
      </c>
      <c r="B27" s="1"/>
      <c r="C27" s="8">
        <v>2</v>
      </c>
      <c r="D27" s="8">
        <v>4</v>
      </c>
    </row>
    <row r="28" spans="1:4" x14ac:dyDescent="0.25">
      <c r="A28" s="1" t="s">
        <v>14</v>
      </c>
      <c r="B28" s="3">
        <v>41307</v>
      </c>
      <c r="C28" s="8"/>
      <c r="D28" s="8">
        <v>3</v>
      </c>
    </row>
    <row r="29" spans="1:4" x14ac:dyDescent="0.25">
      <c r="B29" s="3">
        <v>41311</v>
      </c>
      <c r="C29" s="8">
        <v>3</v>
      </c>
      <c r="D29" s="8"/>
    </row>
    <row r="30" spans="1:4" x14ac:dyDescent="0.25">
      <c r="A30" s="1" t="s">
        <v>32</v>
      </c>
      <c r="B30" s="1"/>
      <c r="C30" s="8">
        <v>3</v>
      </c>
      <c r="D30" s="8">
        <v>3</v>
      </c>
    </row>
    <row r="31" spans="1:4" x14ac:dyDescent="0.25">
      <c r="A31" s="1" t="s">
        <v>22</v>
      </c>
      <c r="C31" s="8">
        <v>12</v>
      </c>
      <c r="D31" s="8">
        <v>20</v>
      </c>
    </row>
  </sheetData>
  <pageMargins left="0.7" right="0.7" top="0.75" bottom="0.75" header="0.3" footer="0.3"/>
  <pageSetup orientation="portrait" horizontalDpi="4294967293" verticalDpi="4294967293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6"/>
  <sheetViews>
    <sheetView tabSelected="1" zoomScaleNormal="100" workbookViewId="0">
      <selection activeCell="E5" sqref="E5"/>
    </sheetView>
  </sheetViews>
  <sheetFormatPr defaultRowHeight="15" x14ac:dyDescent="0.25"/>
  <cols>
    <col min="1" max="1" width="29.7109375" bestFit="1" customWidth="1"/>
    <col min="2" max="3" width="13.28515625" customWidth="1"/>
    <col min="4" max="4" width="9.42578125" customWidth="1"/>
    <col min="5" max="5" width="16.42578125" customWidth="1"/>
    <col min="6" max="6" width="16.85546875" customWidth="1"/>
    <col min="7" max="7" width="1.7109375" customWidth="1"/>
    <col min="8" max="8" width="11.7109375" customWidth="1"/>
    <col min="9" max="9" width="18.140625" bestFit="1" customWidth="1"/>
    <col min="10" max="10" width="1.7109375" customWidth="1"/>
    <col min="11" max="11" width="11.7109375" customWidth="1"/>
    <col min="12" max="12" width="18.5703125" bestFit="1" customWidth="1"/>
    <col min="13" max="13" width="1.7109375" customWidth="1"/>
    <col min="14" max="14" width="11.7109375" customWidth="1"/>
    <col min="15" max="15" width="10" bestFit="1" customWidth="1"/>
    <col min="17" max="17" width="10.28515625" bestFit="1" customWidth="1"/>
    <col min="20" max="20" width="27.140625" bestFit="1" customWidth="1"/>
    <col min="21" max="21" width="10.28515625" bestFit="1" customWidth="1"/>
    <col min="22" max="22" width="2" bestFit="1" customWidth="1"/>
  </cols>
  <sheetData>
    <row r="1" spans="1:22" ht="15.75" thickBot="1" x14ac:dyDescent="0.3">
      <c r="A1" s="5" t="s">
        <v>5</v>
      </c>
      <c r="B1" s="5" t="str">
        <f>ProductInfo!A1</f>
        <v>Product</v>
      </c>
      <c r="C1" s="5" t="str">
        <f>ProductInfo!B1</f>
        <v>Reference</v>
      </c>
      <c r="D1" s="5" t="str">
        <f>ProductInfo!C1</f>
        <v>Price</v>
      </c>
      <c r="E1" s="5" t="s">
        <v>6</v>
      </c>
      <c r="F1" s="5" t="s">
        <v>7</v>
      </c>
      <c r="H1" s="5" t="str">
        <f>B1</f>
        <v>Product</v>
      </c>
      <c r="I1" s="5" t="s">
        <v>20</v>
      </c>
      <c r="K1" s="5" t="str">
        <f>H1</f>
        <v>Product</v>
      </c>
      <c r="L1" s="5" t="s">
        <v>21</v>
      </c>
      <c r="N1" s="5" t="str">
        <f>K1</f>
        <v>Product</v>
      </c>
      <c r="O1" s="5" t="s">
        <v>26</v>
      </c>
      <c r="Q1" s="5" t="str">
        <f>N1</f>
        <v>Product</v>
      </c>
      <c r="R1" s="5" t="s">
        <v>26</v>
      </c>
      <c r="T1" s="10" t="s">
        <v>35</v>
      </c>
    </row>
    <row r="2" spans="1:22" x14ac:dyDescent="0.25">
      <c r="A2" s="3">
        <v>41275</v>
      </c>
      <c r="B2" s="1" t="s">
        <v>8</v>
      </c>
      <c r="C2" s="6" t="str">
        <f>IF($B2="","",VLOOKUP($B2,ProductsTable,COLUMNS($B2:C2),0))</f>
        <v>A8603</v>
      </c>
      <c r="D2" s="2">
        <f>IF($B2="","",VLOOKUP($B2,ProductsTable,COLUMNS($B2:D2),0))</f>
        <v>54</v>
      </c>
      <c r="E2" s="1"/>
      <c r="F2" s="1">
        <v>1</v>
      </c>
      <c r="H2" t="str">
        <f>ProductInfo!$A2</f>
        <v>Product 01</v>
      </c>
      <c r="I2">
        <f>SUMIFS(Customer01!$E$2:$E$21,Customer01!$B$2:$B$21,H2)</f>
        <v>2</v>
      </c>
      <c r="K2" t="str">
        <f>H2</f>
        <v>Product 01</v>
      </c>
      <c r="L2">
        <f>SUMIFS(Customer01!$F$2:$F$21,Customer01!$B$2:$B$21,K2)</f>
        <v>4</v>
      </c>
      <c r="N2" t="str">
        <f>K2</f>
        <v>Product 01</v>
      </c>
      <c r="O2">
        <f>L2-I2</f>
        <v>2</v>
      </c>
      <c r="Q2" s="1" t="s">
        <v>8</v>
      </c>
      <c r="R2" s="1">
        <v>2</v>
      </c>
      <c r="T2" s="3">
        <v>41289</v>
      </c>
      <c r="U2" s="1" t="s">
        <v>8</v>
      </c>
      <c r="V2" s="1">
        <v>1</v>
      </c>
    </row>
    <row r="3" spans="1:22" x14ac:dyDescent="0.25">
      <c r="A3" s="3">
        <v>41277</v>
      </c>
      <c r="B3" s="1" t="s">
        <v>8</v>
      </c>
      <c r="C3" s="6" t="str">
        <f>IF($B3="","",VLOOKUP($B3,ProductsTable,COLUMNS($B3:C3),0))</f>
        <v>A8603</v>
      </c>
      <c r="D3" s="2">
        <f>IF($B3="","",VLOOKUP($B3,ProductsTable,COLUMNS($B3:D3),0))</f>
        <v>54</v>
      </c>
      <c r="E3" s="1"/>
      <c r="F3" s="1">
        <v>1</v>
      </c>
      <c r="H3" s="1" t="str">
        <f>ProductInfo!$A3</f>
        <v>Product 02</v>
      </c>
      <c r="I3">
        <f>SUMIFS(Customer01!$E$2:$E$21,Customer01!$B$2:$B$21,H3)</f>
        <v>2</v>
      </c>
      <c r="K3" s="1" t="str">
        <f t="shared" ref="K3:K8" si="0">H3</f>
        <v>Product 02</v>
      </c>
      <c r="L3">
        <f>SUMIFS(Customer01!$F$2:$F$21,Customer01!$B$2:$B$21,K3)</f>
        <v>4</v>
      </c>
      <c r="N3" s="1" t="str">
        <f t="shared" ref="N3:N8" si="1">K3</f>
        <v>Product 02</v>
      </c>
      <c r="O3" s="1">
        <f t="shared" ref="O3:O8" si="2">L3-I3</f>
        <v>2</v>
      </c>
      <c r="Q3" s="1" t="s">
        <v>9</v>
      </c>
      <c r="R3" s="1">
        <v>2</v>
      </c>
      <c r="T3" s="3">
        <v>41279</v>
      </c>
      <c r="U3" s="1" t="s">
        <v>8</v>
      </c>
      <c r="V3" s="1">
        <v>1</v>
      </c>
    </row>
    <row r="4" spans="1:22" x14ac:dyDescent="0.25">
      <c r="A4" s="3">
        <v>41279</v>
      </c>
      <c r="B4" s="1" t="s">
        <v>8</v>
      </c>
      <c r="C4" s="6" t="str">
        <f>IF($B4="","",VLOOKUP($B4,ProductsTable,COLUMNS($B4:C4),0))</f>
        <v>A8603</v>
      </c>
      <c r="D4" s="2">
        <f>IF($B4="","",VLOOKUP($B4,ProductsTable,COLUMNS($B4:D4),0))</f>
        <v>54</v>
      </c>
      <c r="E4" s="1"/>
      <c r="F4" s="1">
        <v>1</v>
      </c>
      <c r="H4" s="1" t="str">
        <f>ProductInfo!$A4</f>
        <v>Product 03</v>
      </c>
      <c r="I4">
        <f>SUMIFS(Customer01!$E$2:$E$21,Customer01!$B$2:$B$21,H4)</f>
        <v>2</v>
      </c>
      <c r="K4" s="1" t="str">
        <f t="shared" si="0"/>
        <v>Product 03</v>
      </c>
      <c r="L4">
        <f>SUMIFS(Customer01!$F$2:$F$21,Customer01!$B$2:$B$21,K4)</f>
        <v>3</v>
      </c>
      <c r="N4" s="1" t="str">
        <f t="shared" si="1"/>
        <v>Product 03</v>
      </c>
      <c r="O4" s="1">
        <f t="shared" si="2"/>
        <v>1</v>
      </c>
      <c r="Q4" s="1" t="s">
        <v>10</v>
      </c>
      <c r="R4" s="1">
        <v>1</v>
      </c>
      <c r="T4" s="3">
        <v>41277</v>
      </c>
      <c r="U4" s="1" t="s">
        <v>8</v>
      </c>
      <c r="V4" s="1">
        <v>1</v>
      </c>
    </row>
    <row r="5" spans="1:22" x14ac:dyDescent="0.25">
      <c r="A5" s="3">
        <v>41281</v>
      </c>
      <c r="B5" s="1" t="s">
        <v>8</v>
      </c>
      <c r="C5" s="6" t="str">
        <f>IF($B5="","",VLOOKUP($B5,ProductsTable,COLUMNS($B5:C5),0))</f>
        <v>A8603</v>
      </c>
      <c r="D5" s="2">
        <f>IF($B5="","",VLOOKUP($B5,ProductsTable,COLUMNS($B5:D5),0))</f>
        <v>54</v>
      </c>
      <c r="E5" s="1">
        <v>1</v>
      </c>
      <c r="F5" s="1"/>
      <c r="H5" s="1" t="str">
        <f>ProductInfo!$A5</f>
        <v>Product 04</v>
      </c>
      <c r="I5">
        <f>SUMIFS(Customer01!$E$2:$E$21,Customer01!$B$2:$B$21,H5)</f>
        <v>1</v>
      </c>
      <c r="K5" s="1" t="str">
        <f t="shared" si="0"/>
        <v>Product 04</v>
      </c>
      <c r="L5">
        <f>SUMIFS(Customer01!$F$2:$F$21,Customer01!$B$2:$B$21,K5)</f>
        <v>2</v>
      </c>
      <c r="N5" s="1" t="str">
        <f t="shared" si="1"/>
        <v>Product 04</v>
      </c>
      <c r="O5" s="1">
        <f t="shared" si="2"/>
        <v>1</v>
      </c>
      <c r="Q5" s="1" t="s">
        <v>11</v>
      </c>
      <c r="R5" s="1">
        <v>1</v>
      </c>
      <c r="T5" s="3">
        <v>41275</v>
      </c>
      <c r="U5" s="1" t="s">
        <v>8</v>
      </c>
      <c r="V5" s="1">
        <v>1</v>
      </c>
    </row>
    <row r="6" spans="1:22" x14ac:dyDescent="0.25">
      <c r="A6" s="3">
        <v>41283</v>
      </c>
      <c r="B6" s="1" t="s">
        <v>9</v>
      </c>
      <c r="C6" s="6" t="str">
        <f>IF($B6="","",VLOOKUP($B6,ProductsTable,COLUMNS($B6:C6),0))</f>
        <v>A8085</v>
      </c>
      <c r="D6" s="2">
        <f>IF($B6="","",VLOOKUP($B6,ProductsTable,COLUMNS($B6:D6),0))</f>
        <v>27.32</v>
      </c>
      <c r="E6" s="1"/>
      <c r="F6" s="1">
        <v>2</v>
      </c>
      <c r="H6" s="1" t="str">
        <f>ProductInfo!$A6</f>
        <v>Product 05</v>
      </c>
      <c r="I6">
        <f>SUMIFS(Customer01!$E$2:$E$21,Customer01!$B$2:$B$21,H6)</f>
        <v>2</v>
      </c>
      <c r="K6" s="1" t="str">
        <f t="shared" si="0"/>
        <v>Product 05</v>
      </c>
      <c r="L6">
        <f>SUMIFS(Customer01!$F$2:$F$21,Customer01!$B$2:$B$21,K6)</f>
        <v>4</v>
      </c>
      <c r="N6" s="1" t="str">
        <f t="shared" si="1"/>
        <v>Product 05</v>
      </c>
      <c r="O6" s="1">
        <f t="shared" si="2"/>
        <v>2</v>
      </c>
      <c r="Q6" s="1" t="s">
        <v>12</v>
      </c>
      <c r="R6" s="1">
        <v>2</v>
      </c>
      <c r="T6" s="3">
        <v>41295</v>
      </c>
      <c r="U6" s="1" t="s">
        <v>9</v>
      </c>
      <c r="V6" s="1">
        <v>2</v>
      </c>
    </row>
    <row r="7" spans="1:22" x14ac:dyDescent="0.25">
      <c r="A7" s="3">
        <v>41285</v>
      </c>
      <c r="B7" s="1" t="s">
        <v>10</v>
      </c>
      <c r="C7" s="6" t="str">
        <f>IF($B7="","",VLOOKUP($B7,ProductsTable,COLUMNS($B7:C7),0))</f>
        <v>A8143</v>
      </c>
      <c r="D7" s="2">
        <f>IF($B7="","",VLOOKUP($B7,ProductsTable,COLUMNS($B7:D7),0))</f>
        <v>28.57</v>
      </c>
      <c r="E7" s="1"/>
      <c r="F7" s="1">
        <v>1</v>
      </c>
      <c r="H7" s="1" t="str">
        <f>ProductInfo!$A7</f>
        <v>Product 06</v>
      </c>
      <c r="I7">
        <f>SUMIFS(Customer01!$E$2:$E$21,Customer01!$B$2:$B$21,H7)</f>
        <v>0</v>
      </c>
      <c r="K7" s="1" t="str">
        <f t="shared" si="0"/>
        <v>Product 06</v>
      </c>
      <c r="L7">
        <f>SUMIFS(Customer01!$F$2:$F$21,Customer01!$B$2:$B$21,K7)</f>
        <v>0</v>
      </c>
      <c r="N7" s="1" t="str">
        <f t="shared" si="1"/>
        <v>Product 06</v>
      </c>
      <c r="O7" s="1">
        <f t="shared" si="2"/>
        <v>0</v>
      </c>
      <c r="T7" s="3">
        <v>41283</v>
      </c>
      <c r="U7" s="1" t="s">
        <v>9</v>
      </c>
      <c r="V7" s="1">
        <v>2</v>
      </c>
    </row>
    <row r="8" spans="1:22" x14ac:dyDescent="0.25">
      <c r="A8" s="3">
        <v>41287</v>
      </c>
      <c r="B8" s="1" t="s">
        <v>10</v>
      </c>
      <c r="C8" s="6" t="str">
        <f>IF($B8="","",VLOOKUP($B8,ProductsTable,COLUMNS($B8:C8),0))</f>
        <v>A8143</v>
      </c>
      <c r="D8" s="2">
        <f>IF($B8="","",VLOOKUP($B8,ProductsTable,COLUMNS($B8:D8),0))</f>
        <v>28.57</v>
      </c>
      <c r="E8" s="1"/>
      <c r="F8" s="1">
        <v>1</v>
      </c>
      <c r="H8" s="1" t="str">
        <f>ProductInfo!$A8</f>
        <v>Product 07</v>
      </c>
      <c r="I8">
        <f>SUMIFS(Customer01!$E$2:$E$21,Customer01!$B$2:$B$21,H8)</f>
        <v>3</v>
      </c>
      <c r="K8" s="1" t="str">
        <f t="shared" si="0"/>
        <v>Product 07</v>
      </c>
      <c r="L8">
        <f>SUMIFS(Customer01!$F$2:$F$21,Customer01!$B$2:$B$21,K8)</f>
        <v>3</v>
      </c>
      <c r="N8" s="1" t="str">
        <f t="shared" si="1"/>
        <v>Product 07</v>
      </c>
      <c r="O8" s="1">
        <f t="shared" si="2"/>
        <v>0</v>
      </c>
      <c r="T8" s="3">
        <v>41299</v>
      </c>
      <c r="U8" s="1" t="s">
        <v>10</v>
      </c>
      <c r="V8" s="1">
        <v>1</v>
      </c>
    </row>
    <row r="9" spans="1:22" x14ac:dyDescent="0.25">
      <c r="A9" s="3">
        <v>41289</v>
      </c>
      <c r="B9" s="1" t="s">
        <v>8</v>
      </c>
      <c r="C9" s="6" t="str">
        <f>IF($B9="","",VLOOKUP($B9,ProductsTable,COLUMNS($B9:C9),0))</f>
        <v>A8603</v>
      </c>
      <c r="D9" s="2">
        <f>IF($B9="","",VLOOKUP($B9,ProductsTable,COLUMNS($B9:D9),0))</f>
        <v>54</v>
      </c>
      <c r="E9" s="1"/>
      <c r="F9" s="1">
        <v>1</v>
      </c>
      <c r="H9" s="1"/>
      <c r="K9" s="1"/>
      <c r="T9" s="3">
        <v>41287</v>
      </c>
      <c r="U9" s="1" t="s">
        <v>10</v>
      </c>
      <c r="V9" s="1">
        <v>1</v>
      </c>
    </row>
    <row r="10" spans="1:22" x14ac:dyDescent="0.25">
      <c r="A10" s="3">
        <v>41291</v>
      </c>
      <c r="B10" s="1" t="s">
        <v>8</v>
      </c>
      <c r="C10" s="6" t="str">
        <f>IF($B10="","",VLOOKUP($B10,ProductsTable,COLUMNS($B10:C10),0))</f>
        <v>A8603</v>
      </c>
      <c r="D10" s="2">
        <f>IF($B10="","",VLOOKUP($B10,ProductsTable,COLUMNS($B10:D10),0))</f>
        <v>54</v>
      </c>
      <c r="E10" s="1">
        <v>1</v>
      </c>
      <c r="F10" s="1"/>
      <c r="H10" s="1"/>
      <c r="K10" s="1"/>
      <c r="T10" s="3">
        <v>41285</v>
      </c>
      <c r="U10" s="1" t="s">
        <v>10</v>
      </c>
      <c r="V10" s="1">
        <v>1</v>
      </c>
    </row>
    <row r="11" spans="1:22" x14ac:dyDescent="0.25">
      <c r="A11" s="3">
        <v>41293</v>
      </c>
      <c r="B11" s="1" t="s">
        <v>12</v>
      </c>
      <c r="C11" s="6" t="str">
        <f>IF($B11="","",VLOOKUP($B11,ProductsTable,COLUMNS($B11:C11),0))</f>
        <v>A3478</v>
      </c>
      <c r="D11" s="2">
        <f>IF($B11="","",VLOOKUP($B11,ProductsTable,COLUMNS($B11:D11),0))</f>
        <v>76.010000000000005</v>
      </c>
      <c r="E11" s="1"/>
      <c r="F11" s="1">
        <v>3</v>
      </c>
      <c r="H11" s="1"/>
      <c r="K11" s="1"/>
      <c r="T11" s="3">
        <v>41305</v>
      </c>
      <c r="U11" s="1" t="s">
        <v>11</v>
      </c>
      <c r="V11" s="1">
        <v>2</v>
      </c>
    </row>
    <row r="12" spans="1:22" x14ac:dyDescent="0.25">
      <c r="A12" s="3">
        <v>41295</v>
      </c>
      <c r="B12" s="1" t="s">
        <v>9</v>
      </c>
      <c r="C12" s="6" t="str">
        <f>IF($B12="","",VLOOKUP($B12,ProductsTable,COLUMNS($B12:C12),0))</f>
        <v>A8085</v>
      </c>
      <c r="D12" s="2">
        <f>IF($B12="","",VLOOKUP($B12,ProductsTable,COLUMNS($B12:D12),0))</f>
        <v>27.32</v>
      </c>
      <c r="E12" s="1"/>
      <c r="F12" s="1">
        <v>2</v>
      </c>
      <c r="H12" s="1"/>
      <c r="K12" s="1"/>
      <c r="T12" s="3">
        <v>41301</v>
      </c>
      <c r="U12" s="1" t="s">
        <v>12</v>
      </c>
      <c r="V12" s="1">
        <v>1</v>
      </c>
    </row>
    <row r="13" spans="1:22" x14ac:dyDescent="0.25">
      <c r="A13" s="3">
        <v>41297</v>
      </c>
      <c r="B13" s="1" t="s">
        <v>9</v>
      </c>
      <c r="C13" s="6" t="str">
        <f>IF($B13="","",VLOOKUP($B13,ProductsTable,COLUMNS($B13:C13),0))</f>
        <v>A8085</v>
      </c>
      <c r="D13" s="2">
        <f>IF($B13="","",VLOOKUP($B13,ProductsTable,COLUMNS($B13:D13),0))</f>
        <v>27.32</v>
      </c>
      <c r="E13" s="1">
        <v>2</v>
      </c>
      <c r="F13" s="1"/>
      <c r="H13" s="1"/>
      <c r="K13" s="1"/>
      <c r="T13" s="3">
        <v>41293</v>
      </c>
      <c r="U13" s="1" t="s">
        <v>12</v>
      </c>
      <c r="V13" s="1">
        <v>3</v>
      </c>
    </row>
    <row r="14" spans="1:22" x14ac:dyDescent="0.25">
      <c r="A14" s="3">
        <v>41299</v>
      </c>
      <c r="B14" s="1" t="s">
        <v>10</v>
      </c>
      <c r="C14" s="6" t="str">
        <f>IF($B14="","",VLOOKUP($B14,ProductsTable,COLUMNS($B14:C14),0))</f>
        <v>A8143</v>
      </c>
      <c r="D14" s="2">
        <f>IF($B14="","",VLOOKUP($B14,ProductsTable,COLUMNS($B14:D14),0))</f>
        <v>28.57</v>
      </c>
      <c r="E14" s="1"/>
      <c r="F14" s="1">
        <v>1</v>
      </c>
      <c r="H14" s="1"/>
      <c r="K14" s="1"/>
    </row>
    <row r="15" spans="1:22" x14ac:dyDescent="0.25">
      <c r="A15" s="3">
        <v>41301</v>
      </c>
      <c r="B15" s="1" t="s">
        <v>12</v>
      </c>
      <c r="C15" s="6" t="str">
        <f>IF($B15="","",VLOOKUP($B15,ProductsTable,COLUMNS($B15:C15),0))</f>
        <v>A3478</v>
      </c>
      <c r="D15" s="2">
        <f>IF($B15="","",VLOOKUP($B15,ProductsTable,COLUMNS($B15:D15),0))</f>
        <v>76.010000000000005</v>
      </c>
      <c r="E15" s="1"/>
      <c r="F15" s="1">
        <v>1</v>
      </c>
      <c r="H15" s="1"/>
      <c r="K15" s="1"/>
    </row>
    <row r="16" spans="1:22" x14ac:dyDescent="0.25">
      <c r="A16" s="3">
        <v>41303</v>
      </c>
      <c r="B16" s="1" t="s">
        <v>12</v>
      </c>
      <c r="C16" s="6" t="str">
        <f>IF($B16="","",VLOOKUP($B16,ProductsTable,COLUMNS($B16:C16),0))</f>
        <v>A3478</v>
      </c>
      <c r="D16" s="2">
        <f>IF($B16="","",VLOOKUP($B16,ProductsTable,COLUMNS($B16:D16),0))</f>
        <v>76.010000000000005</v>
      </c>
      <c r="E16" s="1">
        <v>2</v>
      </c>
      <c r="F16" s="1"/>
      <c r="H16" s="1"/>
      <c r="K16" s="1"/>
    </row>
    <row r="17" spans="1:6" x14ac:dyDescent="0.25">
      <c r="A17" s="3">
        <v>41305</v>
      </c>
      <c r="B17" s="1" t="s">
        <v>11</v>
      </c>
      <c r="C17" s="6" t="str">
        <f>IF($B17="","",VLOOKUP($B17,ProductsTable,COLUMNS($B17:C17),0))</f>
        <v>A8976</v>
      </c>
      <c r="D17" s="2">
        <f>IF($B17="","",VLOOKUP($B17,ProductsTable,COLUMNS($B17:D17),0))</f>
        <v>28.57</v>
      </c>
      <c r="E17" s="1"/>
      <c r="F17" s="1">
        <v>2</v>
      </c>
    </row>
    <row r="18" spans="1:6" x14ac:dyDescent="0.25">
      <c r="A18" s="3">
        <v>41307</v>
      </c>
      <c r="B18" s="1" t="s">
        <v>14</v>
      </c>
      <c r="C18" s="6" t="str">
        <f>IF($B18="","",VLOOKUP($B18,ProductsTable,COLUMNS($B18:C18),0))</f>
        <v>A8994</v>
      </c>
      <c r="D18" s="2">
        <f>IF($B18="","",VLOOKUP($B18,ProductsTable,COLUMNS($B18:D18),0))</f>
        <v>29.26</v>
      </c>
      <c r="E18" s="1"/>
      <c r="F18" s="1">
        <v>3</v>
      </c>
    </row>
    <row r="19" spans="1:6" x14ac:dyDescent="0.25">
      <c r="A19" s="3">
        <v>41309</v>
      </c>
      <c r="B19" s="1" t="s">
        <v>10</v>
      </c>
      <c r="C19" s="6" t="str">
        <f>IF($B19="","",VLOOKUP($B19,ProductsTable,COLUMNS($B19:C19),0))</f>
        <v>A8143</v>
      </c>
      <c r="D19" s="2">
        <f>IF($B19="","",VLOOKUP($B19,ProductsTable,COLUMNS($B19:D19),0))</f>
        <v>28.57</v>
      </c>
      <c r="E19" s="1">
        <v>2</v>
      </c>
      <c r="F19" s="1"/>
    </row>
    <row r="20" spans="1:6" x14ac:dyDescent="0.25">
      <c r="A20" s="3">
        <v>41311</v>
      </c>
      <c r="B20" s="1" t="s">
        <v>14</v>
      </c>
      <c r="C20" s="6" t="str">
        <f>IF($B20="","",VLOOKUP($B20,ProductsTable,COLUMNS($B20:C20),0))</f>
        <v>A8994</v>
      </c>
      <c r="D20" s="2">
        <f>IF($B20="","",VLOOKUP($B20,ProductsTable,COLUMNS($B20:D20),0))</f>
        <v>29.26</v>
      </c>
      <c r="E20" s="1">
        <v>3</v>
      </c>
      <c r="F20" s="1"/>
    </row>
    <row r="21" spans="1:6" x14ac:dyDescent="0.25">
      <c r="A21" s="3">
        <v>41313</v>
      </c>
      <c r="B21" s="1" t="s">
        <v>11</v>
      </c>
      <c r="C21" s="6" t="str">
        <f>IF($B21="","",VLOOKUP($B21,ProductsTable,COLUMNS($B21:C21),0))</f>
        <v>A8976</v>
      </c>
      <c r="D21" s="2">
        <f>IF($B21="","",VLOOKUP($B21,ProductsTable,COLUMNS($B21:D21),0))</f>
        <v>28.57</v>
      </c>
      <c r="E21" s="1">
        <v>1</v>
      </c>
      <c r="F21" s="1"/>
    </row>
    <row r="22" spans="1:6" ht="15" customHeight="1" x14ac:dyDescent="0.25"/>
    <row r="23" spans="1:6" ht="15" customHeight="1" x14ac:dyDescent="0.25"/>
    <row r="24" spans="1:6" ht="15.75" x14ac:dyDescent="0.25">
      <c r="A24" s="9"/>
    </row>
    <row r="25" spans="1:6" s="1" customFormat="1" x14ac:dyDescent="0.25">
      <c r="A25" s="3"/>
      <c r="C25" s="6"/>
      <c r="D25" s="2"/>
    </row>
    <row r="26" spans="1:6" x14ac:dyDescent="0.25">
      <c r="A26" s="3"/>
      <c r="B26" s="1"/>
      <c r="C26" s="6"/>
      <c r="D26" s="2"/>
      <c r="E26" s="1"/>
      <c r="F26" s="1"/>
    </row>
    <row r="27" spans="1:6" x14ac:dyDescent="0.25">
      <c r="A27" s="3"/>
      <c r="B27" s="1"/>
      <c r="C27" s="6"/>
      <c r="D27" s="2"/>
      <c r="E27" s="1"/>
      <c r="F27" s="1"/>
    </row>
    <row r="28" spans="1:6" x14ac:dyDescent="0.25">
      <c r="A28" s="3"/>
      <c r="B28" s="1"/>
      <c r="C28" s="6"/>
      <c r="D28" s="2"/>
      <c r="E28" s="1"/>
      <c r="F28" s="1"/>
    </row>
    <row r="29" spans="1:6" x14ac:dyDescent="0.25">
      <c r="A29" s="3"/>
      <c r="B29" s="1"/>
      <c r="C29" s="6"/>
      <c r="D29" s="2"/>
      <c r="E29" s="1"/>
      <c r="F29" s="1"/>
    </row>
    <row r="30" spans="1:6" x14ac:dyDescent="0.25">
      <c r="A30" s="3"/>
      <c r="B30" s="1"/>
      <c r="C30" s="6"/>
      <c r="D30" s="2"/>
      <c r="E30" s="1"/>
      <c r="F30" s="1"/>
    </row>
    <row r="31" spans="1:6" x14ac:dyDescent="0.25">
      <c r="A31" s="3"/>
      <c r="B31" s="1"/>
      <c r="C31" s="6"/>
      <c r="D31" s="2"/>
      <c r="E31" s="1"/>
      <c r="F31" s="1"/>
    </row>
    <row r="32" spans="1:6" x14ac:dyDescent="0.25">
      <c r="A32" s="3"/>
      <c r="B32" s="1"/>
      <c r="C32" s="6"/>
      <c r="D32" s="2"/>
      <c r="E32" s="1"/>
      <c r="F32" s="1"/>
    </row>
    <row r="33" spans="1:6" x14ac:dyDescent="0.25">
      <c r="A33" s="3"/>
      <c r="B33" s="1"/>
      <c r="C33" s="6"/>
      <c r="D33" s="2"/>
      <c r="E33" s="1"/>
      <c r="F33" s="1"/>
    </row>
    <row r="34" spans="1:6" x14ac:dyDescent="0.25">
      <c r="A34" s="3"/>
      <c r="B34" s="1"/>
      <c r="C34" s="6"/>
      <c r="D34" s="2"/>
      <c r="E34" s="1"/>
      <c r="F34" s="1"/>
    </row>
    <row r="35" spans="1:6" x14ac:dyDescent="0.25">
      <c r="A35" s="3"/>
      <c r="B35" s="1"/>
      <c r="C35" s="6"/>
      <c r="D35" s="2"/>
      <c r="E35" s="1"/>
      <c r="F35" s="1"/>
    </row>
    <row r="36" spans="1:6" x14ac:dyDescent="0.25">
      <c r="A36" s="3"/>
      <c r="B36" s="1"/>
      <c r="C36" s="6"/>
      <c r="D36" s="2"/>
      <c r="E36" s="1"/>
      <c r="F36" s="1"/>
    </row>
  </sheetData>
  <dataValidations count="1">
    <dataValidation type="list" allowBlank="1" showInputMessage="1" showErrorMessage="1" sqref="B2:B21 B25:B36 U2:U13">
      <formula1>ProductsList</formula1>
    </dataValidation>
  </dataValidations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9"/>
  <sheetViews>
    <sheetView workbookViewId="0">
      <selection activeCell="A3" sqref="A3"/>
    </sheetView>
  </sheetViews>
  <sheetFormatPr defaultRowHeight="15" x14ac:dyDescent="0.25"/>
  <cols>
    <col min="1" max="1" width="24.5703125" bestFit="1" customWidth="1"/>
    <col min="2" max="2" width="10.28515625" bestFit="1" customWidth="1"/>
    <col min="3" max="3" width="10.85546875" bestFit="1" customWidth="1"/>
  </cols>
  <sheetData>
    <row r="1" spans="1:3" s="1" customFormat="1" ht="15.75" x14ac:dyDescent="0.25">
      <c r="A1" s="9" t="s">
        <v>33</v>
      </c>
    </row>
    <row r="2" spans="1:3" ht="15.75" x14ac:dyDescent="0.25">
      <c r="A2" s="9" t="s">
        <v>5</v>
      </c>
      <c r="B2" s="9" t="s">
        <v>2</v>
      </c>
      <c r="C2" s="9" t="s">
        <v>26</v>
      </c>
    </row>
    <row r="3" spans="1:3" x14ac:dyDescent="0.25">
      <c r="A3" s="3">
        <v>41279</v>
      </c>
      <c r="B3" s="1" t="s">
        <v>8</v>
      </c>
      <c r="C3" s="1">
        <v>1</v>
      </c>
    </row>
    <row r="4" spans="1:3" x14ac:dyDescent="0.25">
      <c r="A4" s="3">
        <v>41289</v>
      </c>
      <c r="B4" s="1" t="s">
        <v>8</v>
      </c>
      <c r="C4" s="1">
        <v>1</v>
      </c>
    </row>
    <row r="5" spans="1:3" x14ac:dyDescent="0.25">
      <c r="A5" s="3">
        <v>41295</v>
      </c>
      <c r="B5" s="1" t="s">
        <v>9</v>
      </c>
      <c r="C5" s="1">
        <v>2</v>
      </c>
    </row>
    <row r="6" spans="1:3" x14ac:dyDescent="0.25">
      <c r="A6" s="3">
        <v>41299</v>
      </c>
      <c r="B6" s="1" t="s">
        <v>10</v>
      </c>
      <c r="C6" s="1">
        <v>1</v>
      </c>
    </row>
    <row r="7" spans="1:3" x14ac:dyDescent="0.25">
      <c r="A7" s="3">
        <v>41305</v>
      </c>
      <c r="B7" s="1" t="s">
        <v>11</v>
      </c>
      <c r="C7" s="1">
        <v>1</v>
      </c>
    </row>
    <row r="8" spans="1:3" x14ac:dyDescent="0.25">
      <c r="A8" s="3">
        <v>41293</v>
      </c>
      <c r="B8" s="1" t="s">
        <v>12</v>
      </c>
      <c r="C8" s="1">
        <v>1</v>
      </c>
    </row>
    <row r="9" spans="1:3" x14ac:dyDescent="0.25">
      <c r="A9" s="3">
        <v>41301</v>
      </c>
      <c r="B9" s="1" t="s">
        <v>12</v>
      </c>
      <c r="C9" s="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ProductInfo</vt:lpstr>
      <vt:lpstr>PivotTable</vt:lpstr>
      <vt:lpstr>Customer01</vt:lpstr>
      <vt:lpstr>Desired Result</vt:lpstr>
      <vt:lpstr>CriteriaProOwed</vt:lpstr>
      <vt:lpstr>Customer01!Extract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trimegis2</dc:creator>
  <cp:lastModifiedBy>Daniel</cp:lastModifiedBy>
  <dcterms:created xsi:type="dcterms:W3CDTF">2013-08-09T22:30:48Z</dcterms:created>
  <dcterms:modified xsi:type="dcterms:W3CDTF">2013-08-16T20:35:28Z</dcterms:modified>
</cp:coreProperties>
</file>