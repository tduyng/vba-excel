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950" yWindow="360" windowWidth="12120" windowHeight="8070" tabRatio="702" firstSheet="5" activeTab="12"/>
  </bookViews>
  <sheets>
    <sheet name="Explanation" sheetId="12" r:id="rId1"/>
    <sheet name="TS" sheetId="1" state="hidden" r:id="rId2"/>
    <sheet name="Tracksheet" sheetId="14" r:id="rId3"/>
    <sheet name="CROSS OFFS" sheetId="7" r:id="rId4"/>
    <sheet name="Calculations" sheetId="6" r:id="rId5"/>
    <sheet name="Fuel Sheet" sheetId="10" r:id="rId6"/>
    <sheet name="Calc2" sheetId="9" r:id="rId7"/>
    <sheet name="Open" sheetId="8" r:id="rId8"/>
    <sheet name="PG1" sheetId="2" r:id="rId9"/>
    <sheet name="PG2" sheetId="3" r:id="rId10"/>
    <sheet name="PG3" sheetId="4" r:id="rId11"/>
    <sheet name="PLEASE DO NOT C.O.R THESE BUSES" sheetId="5" state="hidden" r:id="rId12"/>
    <sheet name="bookoutsort" sheetId="11" r:id="rId13"/>
    <sheet name="Artics" sheetId="16" r:id="rId14"/>
    <sheet name="Low Floors" sheetId="17" r:id="rId15"/>
    <sheet name="Orions" sheetId="18" r:id="rId16"/>
    <sheet name="interface" sheetId="19" r:id="rId17"/>
    <sheet name="Questions " sheetId="15" r:id="rId18"/>
  </sheets>
  <definedNames>
    <definedName name="bustype">Calculations!$E$11:$E$14</definedName>
    <definedName name="hold">Calc2!$D$4:$D$12</definedName>
    <definedName name="inspections">Calc2!$N$4:$N$9</definedName>
    <definedName name="interior">Calc2!$H$4:$H$7</definedName>
    <definedName name="List">Calculations!$A$3:$A$278</definedName>
    <definedName name="long">Calc2!$B$4:$B$16</definedName>
    <definedName name="off">Calc2!$L$4:$L$11</definedName>
    <definedName name="_xlnm.Print_Area" localSheetId="3">'CROSS OFFS'!$A$1:$J$28</definedName>
    <definedName name="_xlnm.Print_Area" localSheetId="1">TS!$A$1:$AC$74</definedName>
    <definedName name="reline">Calc2!$J$4:$J$6</definedName>
    <definedName name="short">Calc2!$F$4:$F$22</definedName>
    <definedName name="yndrop">Calculations!$E$3:$E$5</definedName>
  </definedNames>
  <calcPr calcId="145621"/>
</workbook>
</file>

<file path=xl/calcChain.xml><?xml version="1.0" encoding="utf-8"?>
<calcChain xmlns="http://schemas.openxmlformats.org/spreadsheetml/2006/main">
  <c r="V59" i="8" l="1"/>
  <c r="AF28" i="1" s="1"/>
  <c r="V60" i="8"/>
  <c r="AF31" i="1" s="1"/>
  <c r="V61" i="8"/>
  <c r="V62" i="8"/>
  <c r="T59" i="8"/>
  <c r="AF12" i="1" s="1"/>
  <c r="T60" i="8"/>
  <c r="T61" i="8"/>
  <c r="T62" i="8"/>
  <c r="U59" i="8"/>
  <c r="AE28" i="1" s="1"/>
  <c r="U60" i="8"/>
  <c r="U61" i="8"/>
  <c r="U62" i="8"/>
  <c r="S59" i="8"/>
  <c r="AE12" i="1" s="1"/>
  <c r="S60" i="8"/>
  <c r="S61" i="8"/>
  <c r="S62" i="8"/>
  <c r="AB23" i="14"/>
  <c r="AB24" i="14"/>
  <c r="AB25" i="14"/>
  <c r="AB26" i="14"/>
  <c r="AB27" i="14"/>
  <c r="AB28" i="14"/>
  <c r="AB29" i="14"/>
  <c r="AB30" i="14"/>
  <c r="AA23" i="14"/>
  <c r="AA24" i="14"/>
  <c r="AA25" i="14"/>
  <c r="AA26" i="14"/>
  <c r="AA27" i="14"/>
  <c r="AA28" i="14"/>
  <c r="AA29" i="14"/>
  <c r="AA30" i="14"/>
  <c r="U53" i="8"/>
  <c r="U54" i="8"/>
  <c r="T53" i="8"/>
  <c r="T54" i="8"/>
  <c r="S53" i="8"/>
  <c r="S54" i="8"/>
  <c r="Y50" i="8"/>
  <c r="Y51" i="8"/>
  <c r="X50" i="8"/>
  <c r="X51" i="8"/>
  <c r="W50" i="8"/>
  <c r="W51" i="8"/>
  <c r="X37" i="8"/>
  <c r="X38" i="8"/>
  <c r="W37" i="8"/>
  <c r="W38" i="8"/>
  <c r="Y33" i="8"/>
  <c r="P70" i="1" s="1"/>
  <c r="X33" i="8"/>
  <c r="X34" i="8"/>
  <c r="R70" i="1" s="1"/>
  <c r="W33" i="8"/>
  <c r="W34" i="8"/>
  <c r="Q70" i="1" s="1"/>
  <c r="U37" i="8"/>
  <c r="T37" i="8"/>
  <c r="T38" i="8"/>
  <c r="S37" i="8"/>
  <c r="S70" i="1" s="1"/>
  <c r="S38" i="8"/>
  <c r="V70" i="1" s="1"/>
  <c r="U33" i="8"/>
  <c r="T33" i="8"/>
  <c r="S33" i="8"/>
  <c r="I70" i="1" s="1"/>
  <c r="P27" i="14"/>
  <c r="P28" i="14"/>
  <c r="P29" i="14"/>
  <c r="P30" i="14"/>
  <c r="P31" i="14"/>
  <c r="P32" i="14"/>
  <c r="L27" i="14"/>
  <c r="L28" i="14"/>
  <c r="L29" i="14"/>
  <c r="L30" i="14"/>
  <c r="L31" i="14"/>
  <c r="J27" i="14"/>
  <c r="J28" i="14"/>
  <c r="J29" i="14"/>
  <c r="J30" i="14"/>
  <c r="J31" i="14"/>
  <c r="H27" i="14"/>
  <c r="H28" i="14"/>
  <c r="H29" i="14"/>
  <c r="R27" i="14"/>
  <c r="R28" i="14"/>
  <c r="R29" i="14"/>
  <c r="R30" i="14"/>
  <c r="N27" i="14"/>
  <c r="N28" i="14"/>
  <c r="N29" i="14"/>
  <c r="Y41" i="8"/>
  <c r="Y42" i="8"/>
  <c r="N68" i="1" s="1"/>
  <c r="Y43" i="8"/>
  <c r="X41" i="8"/>
  <c r="J68" i="1" s="1"/>
  <c r="X42" i="8"/>
  <c r="X43" i="8"/>
  <c r="W41" i="8"/>
  <c r="W42" i="8"/>
  <c r="L68" i="1" s="1"/>
  <c r="W43" i="8"/>
  <c r="T21" i="14"/>
  <c r="T22" i="14"/>
  <c r="T23" i="14"/>
  <c r="T24" i="14"/>
  <c r="S21" i="14"/>
  <c r="S22" i="14"/>
  <c r="S23" i="14"/>
  <c r="S24" i="14"/>
  <c r="S25" i="14"/>
  <c r="U41" i="8"/>
  <c r="U42" i="8"/>
  <c r="N67" i="1" s="1"/>
  <c r="T41" i="8"/>
  <c r="J67" i="1" s="1"/>
  <c r="T42" i="8"/>
  <c r="M67" i="1" s="1"/>
  <c r="S41" i="8"/>
  <c r="I67" i="1" s="1"/>
  <c r="S42" i="8"/>
  <c r="V21" i="14"/>
  <c r="V22" i="14"/>
  <c r="V23" i="14"/>
  <c r="V24" i="14"/>
  <c r="V25" i="14"/>
  <c r="V26" i="14"/>
  <c r="U49" i="8"/>
  <c r="T49" i="8"/>
  <c r="T50" i="8"/>
  <c r="S49" i="8"/>
  <c r="C74" i="1" s="1"/>
  <c r="S50" i="8"/>
  <c r="F74" i="1" s="1"/>
  <c r="F27" i="14"/>
  <c r="F28" i="14"/>
  <c r="F29" i="14"/>
  <c r="F30" i="14"/>
  <c r="F31" i="14"/>
  <c r="Y46" i="8"/>
  <c r="X46" i="8"/>
  <c r="P71" i="1" s="1"/>
  <c r="X47" i="8"/>
  <c r="T71" i="1" s="1"/>
  <c r="W46" i="8"/>
  <c r="O71" i="1" s="1"/>
  <c r="W47" i="8"/>
  <c r="S71" i="1" s="1"/>
  <c r="D27" i="14"/>
  <c r="D28" i="14"/>
  <c r="D29" i="14"/>
  <c r="D30" i="14"/>
  <c r="D31" i="14"/>
  <c r="Q21" i="14"/>
  <c r="Q22" i="14"/>
  <c r="Q23" i="14"/>
  <c r="Q24" i="14"/>
  <c r="P21" i="14"/>
  <c r="P22" i="14"/>
  <c r="P23" i="14"/>
  <c r="P24" i="14"/>
  <c r="U45" i="8"/>
  <c r="L71" i="1" s="1"/>
  <c r="T45" i="8"/>
  <c r="K71" i="1" s="1"/>
  <c r="S45" i="8"/>
  <c r="B27" i="14"/>
  <c r="B28" i="14"/>
  <c r="B29" i="14"/>
  <c r="F17" i="9"/>
  <c r="F18" i="9"/>
  <c r="F19" i="9"/>
  <c r="F20" i="9"/>
  <c r="F21" i="9"/>
  <c r="F22" i="9"/>
  <c r="T8" i="2"/>
  <c r="U8" i="2"/>
  <c r="T9" i="2"/>
  <c r="U9" i="2"/>
  <c r="T10" i="2"/>
  <c r="U10" i="2"/>
  <c r="T11" i="2"/>
  <c r="U11" i="2"/>
  <c r="T12" i="2"/>
  <c r="U12" i="2"/>
  <c r="T13" i="2"/>
  <c r="U13" i="2"/>
  <c r="T14" i="2"/>
  <c r="U14" i="2"/>
  <c r="T15" i="2"/>
  <c r="U15" i="2"/>
  <c r="T16" i="2"/>
  <c r="U16" i="2"/>
  <c r="T17" i="2"/>
  <c r="U17" i="2"/>
  <c r="T18" i="2"/>
  <c r="U18" i="2"/>
  <c r="T19" i="2"/>
  <c r="U19" i="2"/>
  <c r="T20" i="2"/>
  <c r="U20" i="2"/>
  <c r="T21" i="2"/>
  <c r="U21" i="2"/>
  <c r="T22" i="2"/>
  <c r="U22" i="2"/>
  <c r="T23" i="2"/>
  <c r="U23" i="2"/>
  <c r="T24" i="2"/>
  <c r="U24" i="2"/>
  <c r="T25" i="2"/>
  <c r="U25" i="2"/>
  <c r="T26" i="2"/>
  <c r="U26" i="2"/>
  <c r="T27" i="2"/>
  <c r="U27" i="2"/>
  <c r="T28" i="2"/>
  <c r="U28" i="2"/>
  <c r="T29" i="2"/>
  <c r="U29" i="2"/>
  <c r="T30" i="2"/>
  <c r="U30" i="2"/>
  <c r="T31" i="2"/>
  <c r="U31" i="2"/>
  <c r="H28" i="2"/>
  <c r="I28" i="2"/>
  <c r="H29" i="2"/>
  <c r="I29" i="2"/>
  <c r="H30" i="2"/>
  <c r="I30" i="2"/>
  <c r="H31" i="2"/>
  <c r="I31" i="2"/>
  <c r="H16" i="2"/>
  <c r="I16" i="2"/>
  <c r="H17" i="2"/>
  <c r="I17" i="2"/>
  <c r="H18" i="2"/>
  <c r="I18" i="2"/>
  <c r="H19" i="2"/>
  <c r="I19" i="2"/>
  <c r="H20" i="2"/>
  <c r="I20" i="2"/>
  <c r="H21" i="2"/>
  <c r="I21" i="2"/>
  <c r="H22" i="2"/>
  <c r="I22" i="2"/>
  <c r="H23" i="2"/>
  <c r="I23" i="2"/>
  <c r="H24" i="2"/>
  <c r="I24" i="2"/>
  <c r="H25" i="2"/>
  <c r="I25" i="2"/>
  <c r="H12" i="2"/>
  <c r="I12" i="2"/>
  <c r="H11" i="2"/>
  <c r="I11" i="2"/>
  <c r="H10" i="2"/>
  <c r="I10" i="2"/>
  <c r="H9" i="2"/>
  <c r="I9" i="2"/>
  <c r="H8" i="2"/>
  <c r="I8" i="2"/>
  <c r="N4" i="9"/>
  <c r="N5" i="9"/>
  <c r="N6" i="9"/>
  <c r="N7" i="9"/>
  <c r="N8" i="9"/>
  <c r="N9" i="9"/>
  <c r="H4" i="9"/>
  <c r="H5" i="9"/>
  <c r="H6" i="9"/>
  <c r="H7" i="9"/>
  <c r="L11" i="9"/>
  <c r="L10" i="9"/>
  <c r="L9" i="9"/>
  <c r="L8" i="9"/>
  <c r="L7" i="9"/>
  <c r="L6" i="9"/>
  <c r="L5" i="9"/>
  <c r="L4" i="9"/>
  <c r="J6" i="9"/>
  <c r="J5" i="9"/>
  <c r="J4" i="9"/>
  <c r="F16" i="9"/>
  <c r="F15" i="9"/>
  <c r="F14" i="9"/>
  <c r="F13" i="9"/>
  <c r="F12" i="9"/>
  <c r="F11" i="9"/>
  <c r="F10" i="9"/>
  <c r="F9" i="9"/>
  <c r="F8" i="9"/>
  <c r="F7" i="9"/>
  <c r="F6" i="9"/>
  <c r="F5" i="9"/>
  <c r="F4" i="9"/>
  <c r="D12" i="9"/>
  <c r="D11" i="9"/>
  <c r="D10" i="9"/>
  <c r="D9" i="9"/>
  <c r="D8" i="9"/>
  <c r="D7" i="9"/>
  <c r="D6" i="9"/>
  <c r="D5" i="9"/>
  <c r="D4" i="9"/>
  <c r="B16" i="9"/>
  <c r="B15" i="9"/>
  <c r="B14" i="9"/>
  <c r="B13" i="9"/>
  <c r="B12" i="9"/>
  <c r="B11" i="9"/>
  <c r="B10" i="9"/>
  <c r="B9" i="9"/>
  <c r="B8" i="9"/>
  <c r="B7" i="9"/>
  <c r="B6" i="9"/>
  <c r="B5" i="9"/>
  <c r="B4" i="9"/>
  <c r="G66" i="10"/>
  <c r="A4" i="10"/>
  <c r="A5" i="10" s="1"/>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G74" i="1"/>
  <c r="D74" i="1"/>
  <c r="E74" i="1"/>
  <c r="W71" i="1"/>
  <c r="X71" i="1"/>
  <c r="U71" i="1"/>
  <c r="V71" i="1"/>
  <c r="Q71" i="1"/>
  <c r="R71" i="1"/>
  <c r="J71" i="1"/>
  <c r="AE66" i="1"/>
  <c r="AF64" i="1"/>
  <c r="AE64" i="1"/>
  <c r="AF62" i="1"/>
  <c r="AE62" i="1"/>
  <c r="AF60" i="1"/>
  <c r="AE60" i="1"/>
  <c r="AF58" i="1"/>
  <c r="AE58" i="1"/>
  <c r="AE56" i="1"/>
  <c r="AF56" i="1"/>
  <c r="AE54" i="1"/>
  <c r="AF54" i="1"/>
  <c r="AE52" i="1"/>
  <c r="AF52" i="1"/>
  <c r="AE50" i="1"/>
  <c r="AF50" i="1"/>
  <c r="AE48" i="1"/>
  <c r="AF48" i="1"/>
  <c r="AE46" i="1"/>
  <c r="AF46" i="1"/>
  <c r="AE44" i="1"/>
  <c r="AF44" i="1"/>
  <c r="AE42" i="1"/>
  <c r="AF42" i="1"/>
  <c r="AE40" i="1"/>
  <c r="AF40" i="1"/>
  <c r="AE35" i="1"/>
  <c r="AF35" i="1"/>
  <c r="AE33" i="1"/>
  <c r="AF33" i="1"/>
  <c r="AE31" i="1"/>
  <c r="AE26" i="1"/>
  <c r="AF26" i="1"/>
  <c r="AE24" i="1"/>
  <c r="AF24" i="1"/>
  <c r="AE22" i="1"/>
  <c r="AF22" i="1"/>
  <c r="AE20" i="1"/>
  <c r="AF20" i="1"/>
  <c r="AE18" i="1"/>
  <c r="AF18" i="1"/>
  <c r="AE16" i="1"/>
  <c r="AF16" i="1"/>
  <c r="AE14" i="1"/>
  <c r="AF14" i="1"/>
  <c r="AE10" i="1"/>
  <c r="AF10" i="1"/>
  <c r="AE8" i="1"/>
  <c r="AF8" i="1"/>
  <c r="AE6" i="1"/>
  <c r="AF6" i="1"/>
  <c r="AE4" i="1"/>
  <c r="AF4" i="1"/>
  <c r="X67" i="1"/>
  <c r="Y67" i="1"/>
  <c r="Z67" i="1"/>
  <c r="AA67" i="1"/>
  <c r="AB67" i="1"/>
  <c r="AC67" i="1"/>
  <c r="X68" i="1"/>
  <c r="Y68" i="1"/>
  <c r="Z68" i="1"/>
  <c r="AA68" i="1"/>
  <c r="AB68" i="1"/>
  <c r="AC68" i="1"/>
  <c r="T67" i="1"/>
  <c r="U67" i="1"/>
  <c r="T68" i="1"/>
  <c r="U68" i="1"/>
  <c r="P67" i="1"/>
  <c r="Q67" i="1"/>
  <c r="P68" i="1"/>
  <c r="Q68" i="1"/>
  <c r="M68" i="1"/>
  <c r="I68" i="1"/>
  <c r="K68" i="1"/>
  <c r="L67" i="1"/>
  <c r="K67" i="1"/>
  <c r="Z70" i="1"/>
  <c r="AA70" i="1"/>
  <c r="X70" i="1"/>
  <c r="Y70" i="1"/>
  <c r="W70" i="1"/>
  <c r="T70" i="1"/>
  <c r="U70" i="1"/>
  <c r="N70" i="1"/>
  <c r="O70" i="1"/>
  <c r="L70" i="1"/>
  <c r="M70" i="1"/>
  <c r="J70" i="1"/>
  <c r="K70" i="1"/>
  <c r="A264" i="6"/>
  <c r="A265" i="6"/>
  <c r="A266" i="6"/>
  <c r="A267" i="6"/>
  <c r="A268" i="6"/>
  <c r="A269" i="6"/>
  <c r="A270" i="6"/>
  <c r="A271" i="6"/>
  <c r="A272" i="6"/>
  <c r="A273" i="6"/>
  <c r="A274" i="6"/>
  <c r="A275" i="6"/>
  <c r="A276" i="6"/>
  <c r="A251" i="6"/>
  <c r="A252" i="6"/>
  <c r="A253" i="6"/>
  <c r="A254" i="6"/>
  <c r="A255" i="6"/>
  <c r="A256" i="6"/>
  <c r="A257" i="6"/>
  <c r="A258" i="6"/>
  <c r="A259" i="6"/>
  <c r="A260" i="6"/>
  <c r="A261" i="6"/>
  <c r="A262" i="6"/>
  <c r="A263" i="6"/>
  <c r="A238" i="6"/>
  <c r="A239" i="6"/>
  <c r="A240" i="6"/>
  <c r="A241" i="6"/>
  <c r="A242" i="6"/>
  <c r="A243" i="6"/>
  <c r="A244" i="6"/>
  <c r="A245" i="6"/>
  <c r="A246" i="6"/>
  <c r="A247" i="6"/>
  <c r="A248" i="6"/>
  <c r="A249" i="6"/>
  <c r="A250" i="6"/>
  <c r="A225" i="6"/>
  <c r="A226" i="6"/>
  <c r="A227" i="6"/>
  <c r="A228" i="6"/>
  <c r="A229" i="6"/>
  <c r="A230" i="6"/>
  <c r="A231" i="6"/>
  <c r="A232" i="6"/>
  <c r="A233" i="6"/>
  <c r="A234" i="6"/>
  <c r="A235" i="6"/>
  <c r="A236" i="6"/>
  <c r="A237" i="6"/>
  <c r="A283" i="6"/>
  <c r="A284" i="6"/>
  <c r="A281" i="6"/>
  <c r="A282" i="6"/>
  <c r="A279" i="6"/>
  <c r="A280" i="6"/>
  <c r="A277" i="6"/>
  <c r="A278" i="6"/>
  <c r="AC64" i="1"/>
  <c r="AC60" i="1"/>
  <c r="AC62" i="1"/>
  <c r="AC56" i="1"/>
  <c r="AC58" i="1"/>
  <c r="AC52" i="1"/>
  <c r="AC54" i="1"/>
  <c r="AC48" i="1"/>
  <c r="AC50" i="1"/>
  <c r="AC44" i="1"/>
  <c r="AC46" i="1"/>
  <c r="AC40" i="1"/>
  <c r="AC42" i="1"/>
  <c r="AC36" i="1"/>
  <c r="AC38" i="1"/>
  <c r="G71" i="1"/>
  <c r="F71" i="1"/>
  <c r="E71" i="1"/>
  <c r="D71" i="1"/>
  <c r="C71" i="1"/>
  <c r="B71" i="1"/>
  <c r="G67" i="1"/>
  <c r="G68" i="1"/>
  <c r="G69" i="1"/>
  <c r="G70" i="1"/>
  <c r="F67" i="1"/>
  <c r="F68" i="1"/>
  <c r="F69" i="1"/>
  <c r="F70" i="1"/>
  <c r="E67" i="1"/>
  <c r="E68" i="1"/>
  <c r="E69" i="1"/>
  <c r="E70" i="1"/>
  <c r="D67" i="1"/>
  <c r="D68" i="1"/>
  <c r="D69" i="1"/>
  <c r="D70" i="1"/>
  <c r="C67" i="1"/>
  <c r="C68" i="1"/>
  <c r="C69" i="1"/>
  <c r="C70" i="1"/>
  <c r="B67" i="1"/>
  <c r="B68" i="1"/>
  <c r="B69" i="1"/>
  <c r="B70" i="1"/>
  <c r="D5" i="5"/>
  <c r="W74" i="1"/>
  <c r="A223" i="6"/>
  <c r="A224" i="6"/>
  <c r="A221" i="6"/>
  <c r="A222" i="6"/>
  <c r="A219" i="6"/>
  <c r="A220" i="6"/>
  <c r="A217" i="6"/>
  <c r="A218" i="6"/>
  <c r="A215" i="6"/>
  <c r="A216" i="6"/>
  <c r="A213" i="6"/>
  <c r="A214" i="6"/>
  <c r="A211" i="6"/>
  <c r="A212" i="6"/>
  <c r="A209" i="6"/>
  <c r="A210" i="6"/>
  <c r="A208" i="6"/>
  <c r="A206" i="6"/>
  <c r="A207" i="6"/>
  <c r="A204" i="6"/>
  <c r="A205" i="6"/>
  <c r="A202" i="6"/>
  <c r="A203" i="6"/>
  <c r="A200" i="6"/>
  <c r="A201" i="6"/>
  <c r="A198" i="6"/>
  <c r="A199" i="6"/>
  <c r="A196" i="6"/>
  <c r="A197" i="6"/>
  <c r="A194" i="6"/>
  <c r="A195" i="6"/>
  <c r="A192" i="6"/>
  <c r="A193" i="6"/>
  <c r="A188" i="6"/>
  <c r="A189" i="6"/>
  <c r="A190" i="6"/>
  <c r="A191" i="6"/>
  <c r="A184" i="6"/>
  <c r="A185" i="6"/>
  <c r="A186" i="6"/>
  <c r="A187" i="6"/>
  <c r="A180" i="6"/>
  <c r="A181" i="6"/>
  <c r="A182" i="6"/>
  <c r="A183" i="6"/>
  <c r="A176" i="6"/>
  <c r="A177" i="6"/>
  <c r="A178" i="6"/>
  <c r="A179" i="6"/>
  <c r="A172" i="6"/>
  <c r="A173" i="6"/>
  <c r="A174" i="6"/>
  <c r="A175" i="6"/>
  <c r="A168" i="6"/>
  <c r="A169" i="6"/>
  <c r="A170" i="6"/>
  <c r="A171" i="6"/>
  <c r="A164" i="6"/>
  <c r="A165" i="6"/>
  <c r="A166" i="6"/>
  <c r="A16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2" i="4" l="1"/>
  <c r="A2" i="3"/>
  <c r="D28" i="5" l="1"/>
  <c r="D27" i="5"/>
  <c r="D26" i="5"/>
  <c r="D29" i="5"/>
  <c r="D25" i="5"/>
  <c r="D24" i="5"/>
  <c r="D23" i="5"/>
  <c r="D22" i="5"/>
  <c r="D21" i="5"/>
  <c r="D20" i="5"/>
  <c r="D19" i="5"/>
  <c r="D18" i="5"/>
  <c r="D17" i="5"/>
  <c r="D16" i="5"/>
  <c r="D15" i="5"/>
  <c r="D14" i="5"/>
  <c r="D13" i="5"/>
  <c r="D12" i="5"/>
  <c r="D11" i="5"/>
  <c r="D10" i="5"/>
  <c r="D9" i="5"/>
  <c r="B29" i="5"/>
  <c r="B28" i="5"/>
  <c r="B27" i="5"/>
  <c r="B26" i="5"/>
  <c r="B25" i="5"/>
  <c r="B24" i="5"/>
  <c r="B23" i="5"/>
  <c r="B22" i="5"/>
  <c r="B21" i="5"/>
  <c r="B20" i="5"/>
  <c r="B19" i="5"/>
  <c r="B18" i="5"/>
  <c r="B17" i="5"/>
  <c r="B16" i="5"/>
  <c r="B15" i="5"/>
  <c r="B14" i="5"/>
  <c r="B13" i="5"/>
  <c r="B12" i="5"/>
  <c r="B11" i="5"/>
  <c r="B10" i="5"/>
  <c r="B9" i="5"/>
  <c r="AB2" i="4"/>
  <c r="AB2" i="3"/>
  <c r="AB2" i="2"/>
</calcChain>
</file>

<file path=xl/comments1.xml><?xml version="1.0" encoding="utf-8"?>
<comments xmlns="http://schemas.openxmlformats.org/spreadsheetml/2006/main">
  <authors>
    <author>Eric</author>
  </authors>
  <commentList>
    <comment ref="A1" authorId="0">
      <text>
        <r>
          <rPr>
            <b/>
            <sz val="9"/>
            <color indexed="81"/>
            <rFont val="Tahoma"/>
            <family val="2"/>
          </rPr>
          <t>Track Sheet</t>
        </r>
        <r>
          <rPr>
            <sz val="9"/>
            <color indexed="81"/>
            <rFont val="Tahoma"/>
            <family val="2"/>
          </rPr>
          <t xml:space="preserve">
This is the representation of the yard (I did not make this but as I look at this I should redo it. It has been used for the last 10 years)
All tracks in this yard face South except tracks 48-54 which face North.
</t>
        </r>
      </text>
    </comment>
  </commentList>
</comments>
</file>

<file path=xl/comments2.xml><?xml version="1.0" encoding="utf-8"?>
<comments xmlns="http://schemas.openxmlformats.org/spreadsheetml/2006/main">
  <authors>
    <author>Eric</author>
  </authors>
  <commentList>
    <comment ref="G1" authorId="0">
      <text>
        <r>
          <rPr>
            <sz val="9"/>
            <color indexed="81"/>
            <rFont val="Tahoma"/>
            <family val="2"/>
          </rPr>
          <t>The yardsheet is where all the bus numbers get entered into each parking spot. I would consider this an interface for one user type. 
Row 4 column E would represent the 1st parking spot on Track (lane) 24, there are 5 parking spots on Track 24 
I keep this sheet locked with allowing them only to enter into spots where numbers should go, otherwise the cut and pasters wreck all the formattting.
In the future I would like to develop a separate entry interface.</t>
        </r>
      </text>
    </comment>
    <comment ref="I1" authorId="0">
      <text>
        <r>
          <rPr>
            <sz val="9"/>
            <color indexed="81"/>
            <rFont val="Tahoma"/>
            <family val="2"/>
          </rPr>
          <t xml:space="preserve">As you can see at the bottom, a fair amount if the information gets copied from the Fuel Sheet Tab, the rest are in various spots in the yard.  Ie deadzone, where a bus would wait that we are waiting for parts etc before fixing
</t>
        </r>
      </text>
    </comment>
  </commentList>
</comments>
</file>

<file path=xl/comments3.xml><?xml version="1.0" encoding="utf-8"?>
<comments xmlns="http://schemas.openxmlformats.org/spreadsheetml/2006/main">
  <authors>
    <author>Eric</author>
  </authors>
  <commentList>
    <comment ref="L1" authorId="0">
      <text>
        <r>
          <rPr>
            <sz val="9"/>
            <color indexed="81"/>
            <rFont val="Tahoma"/>
            <family val="2"/>
          </rPr>
          <t xml:space="preserve">Crosses off the buses as we fuel, book out  and account for each bus.  </t>
        </r>
      </text>
    </comment>
    <comment ref="L2" authorId="0">
      <text>
        <r>
          <rPr>
            <sz val="9"/>
            <color indexed="81"/>
            <rFont val="Tahoma"/>
            <family val="2"/>
          </rPr>
          <t>Linked though named range called `list`on the tab Calculations</t>
        </r>
      </text>
    </comment>
    <comment ref="L3" authorId="0">
      <text>
        <r>
          <rPr>
            <sz val="9"/>
            <color indexed="81"/>
            <rFont val="Tahoma"/>
            <family val="2"/>
          </rPr>
          <t xml:space="preserve">Uses condtional formatting to highlight and strike through font. </t>
        </r>
      </text>
    </comment>
    <comment ref="L4" authorId="0">
      <text>
        <r>
          <rPr>
            <sz val="9"/>
            <color indexed="81"/>
            <rFont val="Tahoma"/>
            <family val="2"/>
          </rPr>
          <t xml:space="preserve">All cells are locked and this sheet would be password protected </t>
        </r>
      </text>
    </comment>
  </commentList>
</comments>
</file>

<file path=xl/comments4.xml><?xml version="1.0" encoding="utf-8"?>
<comments xmlns="http://schemas.openxmlformats.org/spreadsheetml/2006/main">
  <authors>
    <author>Eric</author>
  </authors>
  <commentList>
    <comment ref="G2" authorId="0">
      <text>
        <r>
          <rPr>
            <sz val="9"/>
            <color indexed="81"/>
            <rFont val="Tahoma"/>
            <family val="2"/>
          </rPr>
          <t>This tab I keep hidden.
Column A is linked through copy and paste special link to all bus parking spots in the yard</t>
        </r>
        <r>
          <rPr>
            <b/>
            <sz val="9"/>
            <color indexed="81"/>
            <rFont val="Tahoma"/>
            <family val="2"/>
          </rPr>
          <t xml:space="preserve">
</t>
        </r>
      </text>
    </comment>
    <comment ref="G4" authorId="0">
      <text>
        <r>
          <rPr>
            <sz val="9"/>
            <color indexed="81"/>
            <rFont val="Tahoma"/>
            <family val="2"/>
          </rPr>
          <t>Column C is type of bus and refence for parking spots and Tracks in the yard for my benefit to ensure they all get entered</t>
        </r>
      </text>
    </comment>
    <comment ref="G6" authorId="0">
      <text>
        <r>
          <rPr>
            <sz val="9"/>
            <color indexed="81"/>
            <rFont val="Tahoma"/>
            <family val="2"/>
          </rPr>
          <t>Drop down list for Open tab</t>
        </r>
      </text>
    </comment>
    <comment ref="G8" authorId="0">
      <text>
        <r>
          <rPr>
            <b/>
            <sz val="9"/>
            <color indexed="81"/>
            <rFont val="Tahoma"/>
            <family val="2"/>
          </rPr>
          <t>Bus type code</t>
        </r>
        <r>
          <rPr>
            <sz val="9"/>
            <color indexed="81"/>
            <rFont val="Tahoma"/>
            <family val="2"/>
          </rPr>
          <t xml:space="preserve">
LAB= Low Floor Bus
ABO=Orion Bus (highway)
RLB= Articulated bus
</t>
        </r>
      </text>
    </comment>
  </commentList>
</comments>
</file>

<file path=xl/comments5.xml><?xml version="1.0" encoding="utf-8"?>
<comments xmlns="http://schemas.openxmlformats.org/spreadsheetml/2006/main">
  <authors>
    <author>Eric</author>
  </authors>
  <commentList>
    <comment ref="A1" authorId="0">
      <text>
        <r>
          <rPr>
            <sz val="9"/>
            <color indexed="81"/>
            <rFont val="Tahoma"/>
            <family val="2"/>
          </rPr>
          <t xml:space="preserve">
Fuel Sheet (bus list)
List of buses given to worker who fuels bus.
</t>
        </r>
      </text>
    </comment>
    <comment ref="B1" authorId="0">
      <text>
        <r>
          <rPr>
            <sz val="9"/>
            <color indexed="81"/>
            <rFont val="Tahoma"/>
            <family val="2"/>
          </rPr>
          <t xml:space="preserve">
To the right, different departments and our supervisors use the tables to enter bus numbers for sorting  when fueled.
This streamlines a lot of emails and notes etc being left</t>
        </r>
      </text>
    </comment>
    <comment ref="C1" authorId="0">
      <text>
        <r>
          <rPr>
            <sz val="9"/>
            <color indexed="81"/>
            <rFont val="Tahoma"/>
            <family val="2"/>
          </rPr>
          <t xml:space="preserve">
When a number is entered into any table from Column K over, it is highlighted so the person fueling can separate the bus.
Column B through I is a bus number list</t>
        </r>
      </text>
    </comment>
    <comment ref="C3" authorId="0">
      <text>
        <r>
          <rPr>
            <sz val="9"/>
            <color indexed="81"/>
            <rFont val="Tahoma"/>
            <family val="2"/>
          </rPr>
          <t xml:space="preserve">
Issue:
As well as formatting with the fill, I would like to also have the text show up such as `hold`or `short run` in this space</t>
        </r>
      </text>
    </comment>
    <comment ref="Q8" authorId="0">
      <text>
        <r>
          <rPr>
            <sz val="9"/>
            <color indexed="81"/>
            <rFont val="Tahoma"/>
            <family val="2"/>
          </rPr>
          <t xml:space="preserve">Hold used for buses that are not to go out for whatever reason
</t>
        </r>
      </text>
    </comment>
    <comment ref="K9" authorId="0">
      <text>
        <r>
          <rPr>
            <sz val="9"/>
            <color indexed="81"/>
            <rFont val="Tahoma"/>
            <family val="2"/>
          </rPr>
          <t xml:space="preserve">
Buses are inspected based on mileage (every 6000 kms) and this allows us to get as close to that number as possible. When we get within a 1500 kms the maitenance planner requests  the bus to be long runned. </t>
        </r>
      </text>
    </comment>
    <comment ref="K11" authorId="0">
      <text>
        <r>
          <rPr>
            <sz val="9"/>
            <color indexed="81"/>
            <rFont val="Tahoma"/>
            <family val="2"/>
          </rPr>
          <t xml:space="preserve">
Numbers entered in the tables are linked to the next tab (Calc2) and various named lists on it. This allowed me to use a formula for the conditional formatting on the left of the page.</t>
        </r>
      </text>
    </comment>
    <comment ref="O21" authorId="0">
      <text>
        <r>
          <rPr>
            <sz val="9"/>
            <color indexed="81"/>
            <rFont val="Tahoma"/>
            <family val="2"/>
          </rPr>
          <t xml:space="preserve">
Just like Long run except for short distance runs. Used to get buses back in during daytime for work to be done on them.</t>
        </r>
      </text>
    </comment>
    <comment ref="K31" authorId="0">
      <text>
        <r>
          <rPr>
            <sz val="9"/>
            <color indexed="81"/>
            <rFont val="Tahoma"/>
            <family val="2"/>
          </rPr>
          <t xml:space="preserve">
Used to separate buses at night for night time mechanics to inspect.</t>
        </r>
      </text>
    </comment>
    <comment ref="K40" authorId="0">
      <text>
        <r>
          <rPr>
            <sz val="9"/>
            <color indexed="81"/>
            <rFont val="Tahoma"/>
            <family val="2"/>
          </rPr>
          <t xml:space="preserve">
Used for buses that require to be brought back in for brake relines</t>
        </r>
      </text>
    </comment>
    <comment ref="K46" authorId="0">
      <text>
        <r>
          <rPr>
            <sz val="9"/>
            <color indexed="81"/>
            <rFont val="Tahoma"/>
            <family val="2"/>
          </rPr>
          <t xml:space="preserve">
Used for buses that have been sent to usually our Fleet Overhaul facilty.</t>
        </r>
      </text>
    </comment>
    <comment ref="O52" authorId="0">
      <text>
        <r>
          <rPr>
            <b/>
            <sz val="9"/>
            <color indexed="81"/>
            <rFont val="Tahoma"/>
            <family val="2"/>
          </rPr>
          <t xml:space="preserve">
Automatic People Counter</t>
        </r>
        <r>
          <rPr>
            <sz val="9"/>
            <color indexed="81"/>
            <rFont val="Tahoma"/>
            <family val="2"/>
          </rPr>
          <t xml:space="preserve">
I need to create a vlookup on the tab bookout so when a route and run is put in, it changes the font color so the supervisor is aware that a bus equipped with the APC needs to be assigned to it.</t>
        </r>
      </text>
    </comment>
    <comment ref="K57" authorId="0">
      <text>
        <r>
          <rPr>
            <sz val="9"/>
            <color indexed="81"/>
            <rFont val="Tahoma"/>
            <family val="2"/>
          </rPr>
          <t xml:space="preserve">
Buses that are sheduled for complete cleaning</t>
        </r>
      </text>
    </comment>
    <comment ref="E65" authorId="0">
      <text>
        <r>
          <rPr>
            <sz val="9"/>
            <color indexed="81"/>
            <rFont val="Tahoma"/>
            <family val="2"/>
          </rPr>
          <t xml:space="preserve">
Buse numbers with text this color are automatic people counter equipped</t>
        </r>
      </text>
    </comment>
  </commentList>
</comments>
</file>

<file path=xl/comments6.xml><?xml version="1.0" encoding="utf-8"?>
<comments xmlns="http://schemas.openxmlformats.org/spreadsheetml/2006/main">
  <authors>
    <author>Eric</author>
  </authors>
  <commentList>
    <comment ref="A1" authorId="0">
      <text>
        <r>
          <rPr>
            <sz val="9"/>
            <color indexed="81"/>
            <rFont val="Tahoma"/>
            <family val="2"/>
          </rPr>
          <t xml:space="preserve">
Another hidden tab I used to make the conditional formatting work.
You must be thinking he sure uses the match formula a lot. I use it because it seems to work well with what I am doing. I have tried some other methods but I seem to run into problems</t>
        </r>
      </text>
    </comment>
  </commentList>
</comments>
</file>

<file path=xl/comments7.xml><?xml version="1.0" encoding="utf-8"?>
<comments xmlns="http://schemas.openxmlformats.org/spreadsheetml/2006/main">
  <authors>
    <author>Eric</author>
  </authors>
  <commentList>
    <comment ref="A1" authorId="0">
      <text>
        <r>
          <rPr>
            <sz val="9"/>
            <color indexed="81"/>
            <rFont val="Tahoma"/>
            <family val="2"/>
          </rPr>
          <t xml:space="preserve">
The newest version of the open book out.</t>
        </r>
      </text>
    </comment>
    <comment ref="F5" authorId="0">
      <text>
        <r>
          <rPr>
            <sz val="9"/>
            <color indexed="81"/>
            <rFont val="Tahoma"/>
            <family val="2"/>
          </rPr>
          <t xml:space="preserve">
The track number gets entered here and the bus number in the next column. These get copied to the PG1 etc sheets</t>
        </r>
      </text>
    </comment>
  </commentList>
</comments>
</file>

<file path=xl/comments8.xml><?xml version="1.0" encoding="utf-8"?>
<comments xmlns="http://schemas.openxmlformats.org/spreadsheetml/2006/main">
  <authors>
    <author>Eric</author>
  </authors>
  <commentList>
    <comment ref="K1" authorId="0">
      <text>
        <r>
          <rPr>
            <sz val="9"/>
            <color indexed="81"/>
            <rFont val="Tahoma"/>
            <family val="2"/>
          </rPr>
          <t xml:space="preserve">
We call these the output sheets
It gets printed and posted for the drivers in the morning
</t>
        </r>
      </text>
    </comment>
  </commentList>
</comments>
</file>

<file path=xl/comments9.xml><?xml version="1.0" encoding="utf-8"?>
<comments xmlns="http://schemas.openxmlformats.org/spreadsheetml/2006/main">
  <authors>
    <author>Eric</author>
  </authors>
  <commentList>
    <comment ref="A1" authorId="0">
      <text>
        <r>
          <rPr>
            <sz val="9"/>
            <color indexed="81"/>
            <rFont val="Tahoma"/>
            <family val="2"/>
          </rPr>
          <t xml:space="preserve">This is for type of bus
ABO=Orion
LAB=Low Floor
RLB=Artic
</t>
        </r>
      </text>
    </comment>
    <comment ref="C1" authorId="0">
      <text>
        <r>
          <rPr>
            <sz val="9"/>
            <color indexed="81"/>
            <rFont val="Tahoma"/>
            <family val="2"/>
          </rPr>
          <t>this is the run # 
It is the sequence of the bus on that route.
We refer to the route and run a bus is booked out on</t>
        </r>
      </text>
    </comment>
    <comment ref="H6" authorId="0">
      <text>
        <r>
          <rPr>
            <b/>
            <sz val="9"/>
            <color indexed="81"/>
            <rFont val="Tahoma"/>
            <family val="2"/>
          </rPr>
          <t xml:space="preserve">Issue
</t>
        </r>
        <r>
          <rPr>
            <sz val="9"/>
            <color indexed="81"/>
            <rFont val="Tahoma"/>
            <family val="2"/>
          </rPr>
          <t>The track number (column G) gets entered on the</t>
        </r>
        <r>
          <rPr>
            <b/>
            <sz val="9"/>
            <color indexed="81"/>
            <rFont val="Tahoma"/>
            <family val="2"/>
          </rPr>
          <t xml:space="preserve"> </t>
        </r>
        <r>
          <rPr>
            <sz val="9"/>
            <color indexed="81"/>
            <rFont val="Tahoma"/>
            <family val="2"/>
          </rPr>
          <t>tracksheet tab along with the bus number (column H). These are linked to the PG1 etc tabs to be put in the appropriate column. Take a look at tab PG1
IF you look at the tab that says open of its columns are this sheet, first sorted by bus type (column A on this sheet) and then sorted by out (which refers to the time the bus is out of the yard). So it is sorted by time using the out column (column E). But when I sort this by time, it confuses all the links from those rows.
Is there a way to sort this by time without messing up the related links on the PG1 tab?</t>
        </r>
      </text>
    </comment>
  </commentList>
</comments>
</file>

<file path=xl/comments10.xml><?xml version="1.0" encoding="utf-8"?>
<comments xmlns="http://schemas.openxmlformats.org/spreadsheetml/2006/main">
  <authors>
    <author>Eric</author>
  </authors>
  <commentList>
    <comment ref="A1" authorId="0">
      <text>
        <r>
          <rPr>
            <sz val="9"/>
            <color indexed="81"/>
            <rFont val="Tahoma"/>
            <family val="2"/>
          </rPr>
          <t xml:space="preserve">
My thought was to have a separate hidden tab for each bus type. This would make sorting easier and help (possibly) with the interface tab questions</t>
        </r>
      </text>
    </comment>
  </commentList>
</comments>
</file>

<file path=xl/comments11.xml><?xml version="1.0" encoding="utf-8"?>
<comments xmlns="http://schemas.openxmlformats.org/spreadsheetml/2006/main">
  <authors>
    <author>Eric</author>
  </authors>
  <commentList>
    <comment ref="A1" authorId="0">
      <text>
        <r>
          <rPr>
            <sz val="9"/>
            <color indexed="81"/>
            <rFont val="Tahoma"/>
            <family val="2"/>
          </rPr>
          <t xml:space="preserve">
My thought was to have a separate hidden tab for each bus type. This would make sorting easier and help (possibly) with the interface tab questions</t>
        </r>
      </text>
    </comment>
  </commentList>
</comments>
</file>

<file path=xl/comments12.xml><?xml version="1.0" encoding="utf-8"?>
<comments xmlns="http://schemas.openxmlformats.org/spreadsheetml/2006/main">
  <authors>
    <author>Eric</author>
  </authors>
  <commentList>
    <comment ref="A1" authorId="0">
      <text>
        <r>
          <rPr>
            <sz val="9"/>
            <color indexed="81"/>
            <rFont val="Tahoma"/>
            <family val="2"/>
          </rPr>
          <t xml:space="preserve">
My thought was to have a separate hidden tab for each bus type. This would make sorting easier and help (possibly) with the interface tab questions</t>
        </r>
      </text>
    </comment>
  </commentList>
</comments>
</file>

<file path=xl/comments13.xml><?xml version="1.0" encoding="utf-8"?>
<comments xmlns="http://schemas.openxmlformats.org/spreadsheetml/2006/main">
  <authors>
    <author>Eric</author>
  </authors>
  <commentList>
    <comment ref="A1" authorId="0">
      <text>
        <r>
          <rPr>
            <sz val="9"/>
            <color indexed="81"/>
            <rFont val="Tahoma"/>
            <family val="2"/>
          </rPr>
          <t xml:space="preserve">
This would be the book out side</t>
        </r>
      </text>
    </comment>
    <comment ref="B1" authorId="0">
      <text>
        <r>
          <rPr>
            <sz val="9"/>
            <color indexed="81"/>
            <rFont val="Tahoma"/>
            <family val="2"/>
          </rPr>
          <t xml:space="preserve">
drop down box with the types of buses to be booked out
When a type is selected, it gives the next 5 to be booked out (from the red tab Artics if Artic was chosen)
The 1st blank in the row showing up would be where the track number gets entered, the 2nd blank would be for the bus number. The other data displaying in the row would be the run, route, out time and km fields.
It would always skip over to the next 5 earliest in the fields below.</t>
        </r>
      </text>
    </comment>
    <comment ref="M1" authorId="0">
      <text>
        <r>
          <rPr>
            <sz val="9"/>
            <color indexed="81"/>
            <rFont val="Tahoma"/>
            <family val="2"/>
          </rPr>
          <t xml:space="preserve">from your video making Vlookup functions easy...
In the text box the track number could be entered and the 5 tracks and all the buses on the track would show up in order. It would be getting its information from the tab "tracksheet"
ie: if track 1 was entered into the text box track 1 header would show up on O2, with the first bus number being on O3, the next on O4 etc and track 2 would be on P2 and the first bus number on P3 etc. Then in the section on the left when the bus was assigned it would be formatted with a strikethrough </t>
        </r>
      </text>
    </comment>
    <comment ref="A15" authorId="0">
      <text>
        <r>
          <rPr>
            <sz val="9"/>
            <color indexed="81"/>
            <rFont val="Tahoma"/>
            <family val="2"/>
          </rPr>
          <t xml:space="preserve">
I figure I would have to do the freeze panes for this part as I would want the top parts to stay put while the bottom would scroll</t>
        </r>
      </text>
    </comment>
    <comment ref="A17" authorId="0">
      <text>
        <r>
          <rPr>
            <sz val="9"/>
            <color indexed="81"/>
            <rFont val="Tahoma"/>
            <family val="2"/>
          </rPr>
          <t xml:space="preserve">This would be the selected bus type as it is being booked out
I sorted it by column E </t>
        </r>
      </text>
    </comment>
  </commentList>
</comments>
</file>

<file path=xl/sharedStrings.xml><?xml version="1.0" encoding="utf-8"?>
<sst xmlns="http://schemas.openxmlformats.org/spreadsheetml/2006/main" count="1798" uniqueCount="215">
  <si>
    <t>NO</t>
  </si>
  <si>
    <t xml:space="preserve"> </t>
  </si>
  <si>
    <t>SHOP</t>
  </si>
  <si>
    <t>FACING NORTH</t>
  </si>
  <si>
    <t>DEAD</t>
  </si>
  <si>
    <t>ZONE</t>
  </si>
  <si>
    <t xml:space="preserve"> AM TRACK SHEET REPORT</t>
  </si>
  <si>
    <t>FOR:</t>
  </si>
  <si>
    <t>EX</t>
  </si>
  <si>
    <t>V</t>
  </si>
  <si>
    <t>BLK</t>
  </si>
  <si>
    <t>OUT</t>
  </si>
  <si>
    <t>IN</t>
  </si>
  <si>
    <t>TRK</t>
  </si>
  <si>
    <t>VEH</t>
  </si>
  <si>
    <t>SUB</t>
  </si>
  <si>
    <t>KM</t>
  </si>
  <si>
    <t>T</t>
  </si>
  <si>
    <t>F</t>
  </si>
  <si>
    <t>NO.</t>
  </si>
  <si>
    <t>V#</t>
  </si>
  <si>
    <t>RICHMOND TRANSIT CENTER</t>
  </si>
  <si>
    <t>PAGE 1 OF 5</t>
  </si>
  <si>
    <t>PAGE 3 OF 5</t>
  </si>
  <si>
    <t>SERVICE: Mon-Fri</t>
  </si>
  <si>
    <t>PAGE 2 OF 5</t>
  </si>
  <si>
    <t>DATE:</t>
  </si>
  <si>
    <t>FLUSH BAY</t>
  </si>
  <si>
    <t>**LINE GROUP NUMBER:  401</t>
  </si>
  <si>
    <t>**LINE GROUP NUMBER:  402</t>
  </si>
  <si>
    <r>
      <t xml:space="preserve">**LINE GROUP NUMBER: </t>
    </r>
    <r>
      <rPr>
        <sz val="14"/>
        <color indexed="8"/>
        <rFont val="Calibri"/>
        <family val="2"/>
      </rPr>
      <t xml:space="preserve"> 311</t>
    </r>
  </si>
  <si>
    <r>
      <t xml:space="preserve">**LINE GROUP NUMBER:  </t>
    </r>
    <r>
      <rPr>
        <sz val="14"/>
        <color indexed="8"/>
        <rFont val="Calibri"/>
        <family val="2"/>
      </rPr>
      <t xml:space="preserve"> 352</t>
    </r>
  </si>
  <si>
    <r>
      <t xml:space="preserve">**LINE GROUP NUMBER:  </t>
    </r>
    <r>
      <rPr>
        <sz val="14"/>
        <color indexed="8"/>
        <rFont val="Calibri"/>
        <family val="2"/>
      </rPr>
      <t xml:space="preserve"> 401</t>
    </r>
  </si>
  <si>
    <r>
      <t xml:space="preserve">**LINE GROUP NUMBER:  </t>
    </r>
    <r>
      <rPr>
        <sz val="14"/>
        <color indexed="8"/>
        <rFont val="Calibri"/>
        <family val="2"/>
      </rPr>
      <t xml:space="preserve"> 405</t>
    </r>
  </si>
  <si>
    <r>
      <t xml:space="preserve">**LINE GROUP NUMBER:  </t>
    </r>
    <r>
      <rPr>
        <sz val="14"/>
        <color indexed="8"/>
        <rFont val="Calibri"/>
        <family val="2"/>
      </rPr>
      <t xml:space="preserve"> 480</t>
    </r>
  </si>
  <si>
    <r>
      <t xml:space="preserve">**LINE GROUP NUMBER:  </t>
    </r>
    <r>
      <rPr>
        <sz val="14"/>
        <color indexed="8"/>
        <rFont val="Calibri"/>
        <family val="2"/>
      </rPr>
      <t xml:space="preserve"> 403</t>
    </r>
  </si>
  <si>
    <r>
      <t xml:space="preserve">**LINE GROUP NUMBER:  </t>
    </r>
    <r>
      <rPr>
        <sz val="14"/>
        <color indexed="8"/>
        <rFont val="Calibri"/>
        <family val="2"/>
      </rPr>
      <t xml:space="preserve"> 404</t>
    </r>
  </si>
  <si>
    <r>
      <t xml:space="preserve">**LINE GROUP NUMBER:  </t>
    </r>
    <r>
      <rPr>
        <sz val="14"/>
        <color indexed="8"/>
        <rFont val="Calibri"/>
        <family val="2"/>
      </rPr>
      <t xml:space="preserve"> 601</t>
    </r>
  </si>
  <si>
    <r>
      <t xml:space="preserve">**LINE GROUP NUMBER:  </t>
    </r>
    <r>
      <rPr>
        <sz val="14"/>
        <color indexed="8"/>
        <rFont val="Calibri"/>
        <family val="2"/>
      </rPr>
      <t xml:space="preserve"> 620</t>
    </r>
  </si>
  <si>
    <t>ABO</t>
  </si>
  <si>
    <t>AR</t>
  </si>
  <si>
    <t>LAB</t>
  </si>
  <si>
    <t>RLB</t>
  </si>
  <si>
    <t>LO</t>
  </si>
  <si>
    <t>LC</t>
  </si>
  <si>
    <t>UD</t>
  </si>
  <si>
    <t>UO</t>
  </si>
  <si>
    <t>HOLDS</t>
  </si>
  <si>
    <t>S/R:</t>
  </si>
  <si>
    <t>INSP. /</t>
  </si>
  <si>
    <t>FUEL ISLAND</t>
  </si>
  <si>
    <t>BUS</t>
  </si>
  <si>
    <t>IN-TIME</t>
  </si>
  <si>
    <t>REASON</t>
  </si>
  <si>
    <t>ADDITIONAL SHORT-RUNS / PLEASE DO NOT C.O.R:</t>
  </si>
  <si>
    <t>*** SHORT RUN IN-TIMES / PLEASE DO NOT C.O.R THESE BUSES ***</t>
  </si>
  <si>
    <t>FOH</t>
  </si>
  <si>
    <t>(Name=List)</t>
  </si>
  <si>
    <t>DATABASE: 12 DEC</t>
  </si>
  <si>
    <t>#UD</t>
  </si>
  <si>
    <t>PARK</t>
  </si>
  <si>
    <t>ING</t>
  </si>
  <si>
    <t>WEEK DAY AM BOOK OUT DECEMBER 2012</t>
  </si>
  <si>
    <t>Track</t>
  </si>
  <si>
    <t>Deadzone</t>
  </si>
  <si>
    <t>Flushbay</t>
  </si>
  <si>
    <t>Fuel Island</t>
  </si>
  <si>
    <r>
      <t xml:space="preserve">*OVERLOAD  </t>
    </r>
    <r>
      <rPr>
        <sz val="14"/>
        <color indexed="8"/>
        <rFont val="Calibri"/>
        <family val="2"/>
      </rPr>
      <t xml:space="preserve"> 620</t>
    </r>
  </si>
  <si>
    <t>V/T</t>
  </si>
  <si>
    <t>RUN</t>
  </si>
  <si>
    <t>ROUTE</t>
  </si>
  <si>
    <t>Low Floors</t>
  </si>
  <si>
    <t>Orions</t>
  </si>
  <si>
    <t>Artics</t>
  </si>
  <si>
    <t>Shop</t>
  </si>
  <si>
    <t>Flush Bay</t>
  </si>
  <si>
    <t>Inspections</t>
  </si>
  <si>
    <t>Holds</t>
  </si>
  <si>
    <t>S/R's Artics</t>
  </si>
  <si>
    <t>S/R's Orions</t>
  </si>
  <si>
    <t>S/R's LF</t>
  </si>
  <si>
    <t>Bus Search</t>
  </si>
  <si>
    <t>Key</t>
  </si>
  <si>
    <t>Date:</t>
  </si>
  <si>
    <t>#</t>
  </si>
  <si>
    <t>PreTrip?</t>
  </si>
  <si>
    <t>SPARES</t>
  </si>
  <si>
    <t>(Name=yndrop)</t>
  </si>
  <si>
    <t>Yes</t>
  </si>
  <si>
    <t>No</t>
  </si>
  <si>
    <t>Spares</t>
  </si>
  <si>
    <t>APC Runs</t>
  </si>
  <si>
    <t>APC Buses</t>
  </si>
  <si>
    <t>Text this color=Long Run (black)</t>
  </si>
  <si>
    <t>Text this color=Short Run (green)</t>
  </si>
  <si>
    <t>Text this color=Cancel if Needed (red)</t>
  </si>
  <si>
    <t>Text this color=Can use low floor (blue)</t>
  </si>
  <si>
    <t>300K Artics:</t>
  </si>
  <si>
    <t>300K LF:</t>
  </si>
  <si>
    <t>600K Orions:</t>
  </si>
  <si>
    <t>Name ="long"</t>
  </si>
  <si>
    <t>name ="hold"</t>
  </si>
  <si>
    <t>name="short"</t>
  </si>
  <si>
    <t>Name ="interior"</t>
  </si>
  <si>
    <t>Name="reline"</t>
  </si>
  <si>
    <t>Name ="off"</t>
  </si>
  <si>
    <t>G40LF</t>
  </si>
  <si>
    <t>D40LF</t>
  </si>
  <si>
    <t>D60LF</t>
  </si>
  <si>
    <t>Date</t>
  </si>
  <si>
    <t xml:space="preserve">Richmond  Garage Controlled Runs </t>
  </si>
  <si>
    <r>
      <t xml:space="preserve">Artic Long Run (target of 400+) </t>
    </r>
    <r>
      <rPr>
        <b/>
        <sz val="11"/>
        <color indexed="10"/>
        <rFont val="Calibri"/>
        <family val="2"/>
      </rPr>
      <t>Do not COR</t>
    </r>
  </si>
  <si>
    <t>Hold</t>
  </si>
  <si>
    <t>Bus</t>
  </si>
  <si>
    <t>Comments</t>
  </si>
  <si>
    <t>Requested By</t>
  </si>
  <si>
    <t>`</t>
  </si>
  <si>
    <r>
      <t xml:space="preserve">Low Floor Long Run (target of 400+) </t>
    </r>
    <r>
      <rPr>
        <b/>
        <sz val="11"/>
        <color indexed="10"/>
        <rFont val="Calibri"/>
        <family val="2"/>
      </rPr>
      <t>Do not COR</t>
    </r>
  </si>
  <si>
    <t>Artic Short Runs (Target of 100km or less)</t>
  </si>
  <si>
    <r>
      <t xml:space="preserve">Orions Long Run (target of 500+) </t>
    </r>
    <r>
      <rPr>
        <b/>
        <sz val="11"/>
        <color indexed="10"/>
        <rFont val="Calibri"/>
        <family val="2"/>
      </rPr>
      <t>Do not COR</t>
    </r>
  </si>
  <si>
    <t>Low Floor Short Runs (Target of 100km or less)</t>
  </si>
  <si>
    <t>Camera</t>
  </si>
  <si>
    <t>Interior Cleans</t>
  </si>
  <si>
    <t>See Below</t>
  </si>
  <si>
    <t>Orion Short Runs (Target of 100km or less)</t>
  </si>
  <si>
    <t>Brake Reline (Short Run &amp; Steam)</t>
  </si>
  <si>
    <t>D40LFC</t>
  </si>
  <si>
    <t>CAMERA BUSES</t>
  </si>
  <si>
    <t>Route</t>
  </si>
  <si>
    <t>Run</t>
  </si>
  <si>
    <t>SUNDAY - THURSDAY</t>
  </si>
  <si>
    <t>Tracks 39-45 only</t>
  </si>
  <si>
    <t>FRIDAY + SATURDAY</t>
  </si>
  <si>
    <t>Track 43</t>
  </si>
  <si>
    <t>Then Track 47</t>
  </si>
  <si>
    <t>Loaner</t>
  </si>
  <si>
    <t>Trk 48</t>
  </si>
  <si>
    <t>APC BUSES</t>
  </si>
  <si>
    <t xml:space="preserve">Inspections </t>
  </si>
  <si>
    <t>Name="inspections"</t>
  </si>
  <si>
    <t>VT</t>
  </si>
  <si>
    <t>VF</t>
  </si>
  <si>
    <t>BLK NO.</t>
  </si>
  <si>
    <t>TRK NO</t>
  </si>
  <si>
    <t>VEH NO</t>
  </si>
  <si>
    <t>SUB V#</t>
  </si>
  <si>
    <t>A</t>
  </si>
  <si>
    <t>B</t>
  </si>
  <si>
    <t>C</t>
  </si>
  <si>
    <t>D</t>
  </si>
  <si>
    <t>E</t>
  </si>
  <si>
    <t>G</t>
  </si>
  <si>
    <t>H</t>
  </si>
  <si>
    <t>Dispatching of Buses using Excel 2007</t>
  </si>
  <si>
    <t>What we are trying to accomplish, is to modernize our bus dispatch system from pencil and paper system to the excel spreadsheet using a portable tablet computer</t>
  </si>
  <si>
    <t>Where we are at:</t>
  </si>
  <si>
    <t>All yards have been `transposed` on to excel spreadsheets, using the merge function to represent each parking spot for each bus.</t>
  </si>
  <si>
    <t>(there is only 1 yard in this example)</t>
  </si>
  <si>
    <t>The bus output sheets (tabs PG1, PG2, PG3) come from our scheduling department who determines the the following:</t>
  </si>
  <si>
    <t>1) Type of bus to be used</t>
  </si>
  <si>
    <t>2) What route the bus is on</t>
  </si>
  <si>
    <t>3) What sequence of bus, each one is on a particular route (we call them runs)  as multiple buses are needed to cover a route</t>
  </si>
  <si>
    <t>4) Time the bus is to leave and return to the yard</t>
  </si>
  <si>
    <t>(we have 3 different types in this example, articulated buses which we call artics, Highway buses which we call Orions and Low Floor buses)</t>
  </si>
  <si>
    <t>The department I am in charge of gets the buses ready for the next day (fuels and cleans them)  and organizes and fulfills the bus requirements for all other departments (like the sort &amp; filter function!)</t>
  </si>
  <si>
    <t>When we are assigning buses to the routes, the common term used is booking out the buses.</t>
  </si>
  <si>
    <t xml:space="preserve"> I have arranged the tabs in an order that I think will help you grasp how it all works together.</t>
  </si>
  <si>
    <t>There are 2 ways of booking out the buses</t>
  </si>
  <si>
    <t>After buses are fuelled and cleaned, they are parked on Numbered Tracks (Lanes) which hold `X`amount of buses and are then assigned based on time. The one in front has to go out first.</t>
  </si>
  <si>
    <t>Look for my comments on each page to describe it`s function and what I am trying to accomplish with it and the issues I am having</t>
  </si>
  <si>
    <t xml:space="preserve">1) Block Book out - where each parking spot is assigned to a specific route and run #. </t>
  </si>
  <si>
    <t>The first spot on track 33 would always be assigned to the same route, no matter what bus number- Very inflexible and want to get away from it.</t>
  </si>
  <si>
    <t>2) Open book out- where we assign a route and run to any bus parked in a spot. Time based</t>
  </si>
  <si>
    <t>Where I want to go with it, a lot less set up involved.</t>
  </si>
  <si>
    <t>The schedule changes 4 times a year</t>
  </si>
  <si>
    <t>Each book out has a Monday through Friday, a Saturday and a Sunday book out. I have 6 different properties that I do this for.</t>
  </si>
  <si>
    <t xml:space="preserve">This started about 3 years ago. I have a moderate skill with excel and have done a fair amount of working with supervisors who are lost in excel </t>
  </si>
  <si>
    <t>North</t>
  </si>
  <si>
    <t>Fire Lane</t>
  </si>
  <si>
    <t>Artic S/R</t>
  </si>
  <si>
    <t>Low Floor S/R</t>
  </si>
  <si>
    <t>Orion S/R</t>
  </si>
  <si>
    <t>Off Property FOH</t>
  </si>
  <si>
    <t>I/C</t>
  </si>
  <si>
    <t>Artic LR 400K</t>
  </si>
  <si>
    <t>Low F L/R 400K</t>
  </si>
  <si>
    <t>Orion L/R 500K</t>
  </si>
  <si>
    <t>Reline S/R</t>
  </si>
  <si>
    <t>Other S/R</t>
  </si>
  <si>
    <t>Other Short Runs</t>
  </si>
  <si>
    <t>Insp</t>
  </si>
  <si>
    <t xml:space="preserve">APC </t>
  </si>
  <si>
    <t xml:space="preserve"> I/C's</t>
  </si>
  <si>
    <t>500K Orions</t>
  </si>
  <si>
    <t>400K Artics</t>
  </si>
  <si>
    <t>400K Low Floors</t>
  </si>
  <si>
    <t xml:space="preserve">1) On the fuel sheet tab, As well as formatting with the fill, I would like to also have the text show up such as `hold`or `short run` in this space depending on what table the request came </t>
  </si>
  <si>
    <t>from (tab Fuel Sheet question in comment C4)</t>
  </si>
  <si>
    <t>2) 
Is there a way to sorting by time without messing up the related links on the PG1 tab?</t>
  </si>
  <si>
    <t>from (tab bookoutsort question in comment H6)</t>
  </si>
  <si>
    <t>Text box</t>
  </si>
  <si>
    <t>Tracks</t>
  </si>
  <si>
    <t>(Name=bustype)</t>
  </si>
  <si>
    <t>choose</t>
  </si>
  <si>
    <t>Low Floor</t>
  </si>
  <si>
    <t>Out</t>
  </si>
  <si>
    <t>3) Interface tab</t>
  </si>
  <si>
    <t>This is where I saw your vlookup and how I could use it</t>
  </si>
  <si>
    <t>The 1st blank in the row showing up would be where the track number gets entered, the 2nd blank would be for the bus number. The other data displaying in the row would be the run, route, out time and km fields.</t>
  </si>
  <si>
    <t xml:space="preserve">This is where it would do the sort via time from column E </t>
  </si>
  <si>
    <t>It would always skip over to the next 5 earliest</t>
  </si>
  <si>
    <t>a) (from Comment box B1)  drop down box with the types of buses to be booked out
When a type is selected, it gives the next 5 to be booked out (from the red tab Artics if Artic was chosen)</t>
  </si>
  <si>
    <t>b) from your video making Vlookup functions easy... (from comment box M1)</t>
  </si>
  <si>
    <t>In the text box the track number could be entered and the 5 tracks and all the buses on the track would show up in order. It would be getting its information from the tab "tracksheet"</t>
  </si>
  <si>
    <t>c) the values entered in Columns C4-C8 and D4-D8 would show up on the Artics page and the PG1, PG2 etc pages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</si>
</sst>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F800]dddd\,\ mmmm\ dd\,\ yyyy"/>
    <numFmt numFmtId="165" formatCode="h:mm;@"/>
    <numFmt numFmtId="166" formatCode="[$-1009]mmmm\ d\,\ yyyy;@"/>
  </numFmts>
  <fonts count="69" x14ac:knownFonts="1">
    <font>
      <sz val="10"/>
      <name val="Arial"/>
    </font>
    <font>
      <b/>
      <sz val="5"/>
      <name val="Arial Black"/>
      <family val="2"/>
    </font>
    <font>
      <b/>
      <sz val="10"/>
      <name val="Arial"/>
      <family val="2"/>
    </font>
    <font>
      <sz val="10"/>
      <name val="Arial"/>
      <family val="2"/>
    </font>
    <font>
      <b/>
      <sz val="12"/>
      <name val="Arial"/>
      <family val="2"/>
    </font>
    <font>
      <b/>
      <sz val="5"/>
      <name val="Arial"/>
      <family val="2"/>
    </font>
    <font>
      <sz val="8"/>
      <name val="Arial"/>
      <family val="2"/>
    </font>
    <font>
      <b/>
      <sz val="11"/>
      <name val="Arial"/>
      <family val="2"/>
    </font>
    <font>
      <b/>
      <sz val="16"/>
      <name val="Arial"/>
      <family val="2"/>
    </font>
    <font>
      <b/>
      <sz val="8"/>
      <name val="Monotype Corsiva"/>
      <family val="4"/>
    </font>
    <font>
      <sz val="5"/>
      <name val="Arial Black"/>
      <family val="2"/>
    </font>
    <font>
      <sz val="11"/>
      <name val="Arial"/>
      <family val="2"/>
    </font>
    <font>
      <b/>
      <sz val="9.5"/>
      <name val="Arial Narrow"/>
      <family val="2"/>
    </font>
    <font>
      <b/>
      <sz val="8.5"/>
      <name val="Arial Narrow"/>
      <family val="2"/>
    </font>
    <font>
      <b/>
      <sz val="11"/>
      <color theme="1"/>
      <name val="Calibri"/>
      <family val="2"/>
      <scheme val="minor"/>
    </font>
    <font>
      <b/>
      <sz val="18"/>
      <color theme="1"/>
      <name val="Cambria"/>
      <family val="1"/>
      <scheme val="major"/>
    </font>
    <font>
      <b/>
      <sz val="18"/>
      <color theme="1"/>
      <name val="Calibri"/>
      <family val="2"/>
      <scheme val="minor"/>
    </font>
    <font>
      <b/>
      <sz val="14"/>
      <color theme="1"/>
      <name val="Calibri"/>
      <family val="2"/>
      <scheme val="minor"/>
    </font>
    <font>
      <b/>
      <sz val="14"/>
      <color theme="1"/>
      <name val="Cambria"/>
      <family val="1"/>
      <scheme val="major"/>
    </font>
    <font>
      <b/>
      <sz val="12"/>
      <color theme="1"/>
      <name val="Calibri"/>
      <family val="2"/>
      <scheme val="minor"/>
    </font>
    <font>
      <b/>
      <sz val="9.5"/>
      <color indexed="9"/>
      <name val="Arial Narrow"/>
      <family val="2"/>
    </font>
    <font>
      <b/>
      <sz val="11"/>
      <name val="Arial Narrow"/>
      <family val="2"/>
    </font>
    <font>
      <sz val="8"/>
      <name val="Arial Black"/>
      <family val="2"/>
    </font>
    <font>
      <b/>
      <sz val="8"/>
      <color rgb="FF00B050"/>
      <name val="Arial"/>
      <family val="2"/>
    </font>
    <font>
      <b/>
      <sz val="8.5"/>
      <color rgb="FF0070C0"/>
      <name val="Arial Narrow"/>
      <family val="2"/>
    </font>
    <font>
      <sz val="14"/>
      <color theme="1"/>
      <name val="Calibri"/>
      <family val="2"/>
      <scheme val="minor"/>
    </font>
    <font>
      <sz val="14"/>
      <name val="Arial"/>
      <family val="2"/>
    </font>
    <font>
      <sz val="14"/>
      <color indexed="8"/>
      <name val="Calibri"/>
      <family val="2"/>
    </font>
    <font>
      <sz val="14"/>
      <name val="Calibri"/>
      <family val="2"/>
      <scheme val="minor"/>
    </font>
    <font>
      <b/>
      <sz val="14"/>
      <name val="Arial"/>
      <family val="2"/>
    </font>
    <font>
      <b/>
      <i/>
      <sz val="16"/>
      <name val="Arial"/>
      <family val="2"/>
    </font>
    <font>
      <b/>
      <sz val="16"/>
      <color rgb="FFFF0000"/>
      <name val="Arial"/>
      <family val="2"/>
    </font>
    <font>
      <sz val="20"/>
      <name val="Arial"/>
      <family val="2"/>
    </font>
    <font>
      <b/>
      <sz val="18"/>
      <name val="Arial"/>
      <family val="2"/>
    </font>
    <font>
      <b/>
      <i/>
      <sz val="18"/>
      <name val="Arial"/>
      <family val="2"/>
    </font>
    <font>
      <b/>
      <i/>
      <u/>
      <sz val="16"/>
      <name val="Arial"/>
      <family val="2"/>
    </font>
    <font>
      <u/>
      <sz val="14"/>
      <name val="Arial"/>
      <family val="2"/>
    </font>
    <font>
      <b/>
      <sz val="9"/>
      <name val="Arial"/>
      <family val="2"/>
    </font>
    <font>
      <b/>
      <sz val="10"/>
      <color indexed="8"/>
      <name val="Arial"/>
      <family val="2"/>
    </font>
    <font>
      <b/>
      <sz val="8.5"/>
      <color rgb="FFFF0000"/>
      <name val="Arial Narrow"/>
      <family val="2"/>
    </font>
    <font>
      <sz val="10"/>
      <name val="Calibri"/>
      <family val="2"/>
      <scheme val="minor"/>
    </font>
    <font>
      <b/>
      <sz val="14"/>
      <name val="Calibri"/>
      <family val="2"/>
      <scheme val="minor"/>
    </font>
    <font>
      <sz val="14"/>
      <color rgb="FF006600"/>
      <name val="Calibri"/>
      <family val="2"/>
      <scheme val="minor"/>
    </font>
    <font>
      <b/>
      <sz val="12"/>
      <name val="Calibri"/>
      <family val="2"/>
      <scheme val="minor"/>
    </font>
    <font>
      <sz val="14"/>
      <color rgb="FFFF0000"/>
      <name val="Calibri"/>
      <family val="2"/>
      <scheme val="minor"/>
    </font>
    <font>
      <sz val="14"/>
      <color rgb="FF0070C0"/>
      <name val="Calibri"/>
      <family val="2"/>
      <scheme val="minor"/>
    </font>
    <font>
      <b/>
      <sz val="14"/>
      <name val="Arial Narrow"/>
      <family val="2"/>
    </font>
    <font>
      <b/>
      <sz val="14"/>
      <color rgb="FF0070C0"/>
      <name val="Arial Narrow"/>
      <family val="2"/>
    </font>
    <font>
      <b/>
      <sz val="14"/>
      <color rgb="FF006600"/>
      <name val="Calibri"/>
      <family val="2"/>
      <scheme val="minor"/>
    </font>
    <font>
      <b/>
      <sz val="14"/>
      <color rgb="FFFF0000"/>
      <name val="Calibri"/>
      <family val="2"/>
      <scheme val="minor"/>
    </font>
    <font>
      <b/>
      <sz val="14"/>
      <color rgb="FF0070C0"/>
      <name val="Calibri"/>
      <family val="2"/>
      <scheme val="minor"/>
    </font>
    <font>
      <b/>
      <sz val="12"/>
      <name val="Arial Narrow"/>
      <family val="2"/>
    </font>
    <font>
      <sz val="12"/>
      <name val="Calibri"/>
      <family val="2"/>
      <scheme val="minor"/>
    </font>
    <font>
      <sz val="11"/>
      <color rgb="FFFF0000"/>
      <name val="Calibri"/>
      <family val="2"/>
      <scheme val="minor"/>
    </font>
    <font>
      <b/>
      <sz val="11"/>
      <color rgb="FFFF0000"/>
      <name val="Calibri"/>
      <family val="2"/>
      <scheme val="minor"/>
    </font>
    <font>
      <b/>
      <sz val="11"/>
      <name val="Calibri"/>
      <family val="2"/>
      <scheme val="minor"/>
    </font>
    <font>
      <b/>
      <sz val="11"/>
      <color indexed="8"/>
      <name val="Calibri"/>
      <family val="2"/>
      <scheme val="minor"/>
    </font>
    <font>
      <b/>
      <sz val="11"/>
      <color rgb="FF00B050"/>
      <name val="Calibri"/>
      <family val="2"/>
      <scheme val="minor"/>
    </font>
    <font>
      <b/>
      <sz val="10"/>
      <color theme="1"/>
      <name val="Arial"/>
      <family val="2"/>
    </font>
    <font>
      <sz val="20"/>
      <color theme="1"/>
      <name val="Calibri"/>
      <family val="2"/>
      <scheme val="minor"/>
    </font>
    <font>
      <b/>
      <sz val="11"/>
      <color indexed="10"/>
      <name val="Calibri"/>
      <family val="2"/>
    </font>
    <font>
      <sz val="10"/>
      <color rgb="FFFF0000"/>
      <name val="Arial"/>
      <family val="2"/>
    </font>
    <font>
      <b/>
      <sz val="11"/>
      <color rgb="FF00B0F0"/>
      <name val="Calibri"/>
      <family val="2"/>
      <scheme val="minor"/>
    </font>
    <font>
      <b/>
      <i/>
      <sz val="11"/>
      <name val="Calibri"/>
      <family val="2"/>
      <scheme val="minor"/>
    </font>
    <font>
      <sz val="11"/>
      <name val="Calibri"/>
      <family val="2"/>
      <scheme val="minor"/>
    </font>
    <font>
      <b/>
      <u/>
      <sz val="11"/>
      <name val="Calibri"/>
      <family val="2"/>
      <scheme val="minor"/>
    </font>
    <font>
      <b/>
      <i/>
      <sz val="11"/>
      <color indexed="8"/>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rgb="FFFFC000"/>
        <bgColor indexed="64"/>
      </patternFill>
    </fill>
    <fill>
      <patternFill patternType="solid">
        <fgColor rgb="FFFF0000"/>
        <bgColor indexed="64"/>
      </patternFill>
    </fill>
    <fill>
      <patternFill patternType="solid">
        <fgColor theme="3" tint="0.39997558519241921"/>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6" tint="-0.249977111117893"/>
        <bgColor indexed="64"/>
      </patternFill>
    </fill>
    <fill>
      <patternFill patternType="solid">
        <fgColor theme="1"/>
        <bgColor indexed="64"/>
      </patternFill>
    </fill>
    <fill>
      <patternFill patternType="solid">
        <fgColor theme="0" tint="-0.249977111117893"/>
        <bgColor indexed="64"/>
      </patternFill>
    </fill>
    <fill>
      <patternFill patternType="solid">
        <fgColor rgb="FF66FF33"/>
        <bgColor indexed="64"/>
      </patternFill>
    </fill>
    <fill>
      <patternFill patternType="solid">
        <fgColor theme="3" tint="0.79998168889431442"/>
        <bgColor indexed="64"/>
      </patternFill>
    </fill>
  </fills>
  <borders count="69">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top style="thick">
        <color rgb="FFFF0000"/>
      </top>
      <bottom style="thin">
        <color indexed="64"/>
      </bottom>
      <diagonal/>
    </border>
    <border>
      <left/>
      <right style="thick">
        <color rgb="FFFF0000"/>
      </right>
      <top style="thick">
        <color rgb="FFFF0000"/>
      </top>
      <bottom style="thin">
        <color indexed="64"/>
      </bottom>
      <diagonal/>
    </border>
    <border>
      <left style="thick">
        <color rgb="FFFF0000"/>
      </left>
      <right style="thin">
        <color indexed="64"/>
      </right>
      <top style="thin">
        <color indexed="64"/>
      </top>
      <bottom style="thin">
        <color indexed="64"/>
      </bottom>
      <diagonal/>
    </border>
    <border>
      <left style="thin">
        <color indexed="64"/>
      </left>
      <right style="thick">
        <color rgb="FFFF0000"/>
      </right>
      <top style="thin">
        <color indexed="64"/>
      </top>
      <bottom style="thin">
        <color indexed="64"/>
      </bottom>
      <diagonal/>
    </border>
    <border>
      <left style="thick">
        <color rgb="FFFF0000"/>
      </left>
      <right/>
      <top style="thin">
        <color indexed="64"/>
      </top>
      <bottom style="thin">
        <color indexed="64"/>
      </bottom>
      <diagonal/>
    </border>
    <border>
      <left/>
      <right style="thick">
        <color rgb="FFFF0000"/>
      </right>
      <top style="thin">
        <color indexed="64"/>
      </top>
      <bottom style="thin">
        <color indexed="64"/>
      </bottom>
      <diagonal/>
    </border>
    <border>
      <left style="thick">
        <color rgb="FFFF0000"/>
      </left>
      <right/>
      <top style="thin">
        <color indexed="64"/>
      </top>
      <bottom style="thick">
        <color rgb="FFFF0000"/>
      </bottom>
      <diagonal/>
    </border>
    <border>
      <left/>
      <right style="thick">
        <color rgb="FFFF0000"/>
      </right>
      <top style="thin">
        <color indexed="64"/>
      </top>
      <bottom style="thick">
        <color rgb="FFFF0000"/>
      </bottom>
      <diagonal/>
    </border>
    <border>
      <left style="thin">
        <color theme="1"/>
      </left>
      <right/>
      <top style="thin">
        <color indexed="64"/>
      </top>
      <bottom style="thin">
        <color indexed="64"/>
      </bottom>
      <diagonal/>
    </border>
    <border>
      <left/>
      <right style="thin">
        <color theme="1"/>
      </right>
      <top style="thin">
        <color indexed="64"/>
      </top>
      <bottom style="thin">
        <color indexed="64"/>
      </bottom>
      <diagonal/>
    </border>
    <border>
      <left style="thin">
        <color theme="1"/>
      </left>
      <right/>
      <top style="thin">
        <color indexed="64"/>
      </top>
      <bottom style="thin">
        <color theme="1"/>
      </bottom>
      <diagonal/>
    </border>
    <border>
      <left/>
      <right style="thin">
        <color theme="1"/>
      </right>
      <top style="thin">
        <color indexed="64"/>
      </top>
      <bottom style="thin">
        <color theme="1"/>
      </bottom>
      <diagonal/>
    </border>
    <border>
      <left style="thin">
        <color theme="1"/>
      </left>
      <right/>
      <top style="thin">
        <color indexed="64"/>
      </top>
      <bottom/>
      <diagonal/>
    </border>
    <border>
      <left/>
      <right style="thin">
        <color theme="1"/>
      </right>
      <top style="thin">
        <color indexed="64"/>
      </top>
      <bottom/>
      <diagonal/>
    </border>
    <border>
      <left style="thin">
        <color theme="1"/>
      </left>
      <right/>
      <top style="thin">
        <color theme="1"/>
      </top>
      <bottom style="thin">
        <color indexed="64"/>
      </bottom>
      <diagonal/>
    </border>
    <border>
      <left/>
      <right style="thin">
        <color theme="1"/>
      </right>
      <top style="thin">
        <color theme="1"/>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573">
    <xf numFmtId="0" fontId="0" fillId="0" borderId="0" xfId="0"/>
    <xf numFmtId="0" fontId="1" fillId="0" borderId="0" xfId="0" applyFont="1"/>
    <xf numFmtId="0" fontId="1" fillId="0" borderId="0" xfId="0" applyFont="1" applyBorder="1"/>
    <xf numFmtId="0" fontId="2" fillId="0" borderId="0" xfId="0" applyFont="1"/>
    <xf numFmtId="0" fontId="2" fillId="0" borderId="0" xfId="0" applyFont="1" applyAlignment="1">
      <alignment horizontal="center"/>
    </xf>
    <xf numFmtId="0" fontId="3" fillId="0" borderId="0" xfId="0" applyFont="1"/>
    <xf numFmtId="0" fontId="1" fillId="0" borderId="0" xfId="0" applyFont="1" applyFill="1"/>
    <xf numFmtId="0" fontId="1" fillId="0" borderId="0" xfId="0" applyFont="1" applyFill="1" applyBorder="1"/>
    <xf numFmtId="0" fontId="5" fillId="0" borderId="0" xfId="0" applyFont="1"/>
    <xf numFmtId="0" fontId="7" fillId="0" borderId="0" xfId="0" applyFont="1"/>
    <xf numFmtId="0" fontId="5" fillId="0" borderId="0" xfId="0" applyFont="1" applyFill="1"/>
    <xf numFmtId="0" fontId="0" fillId="0" borderId="0" xfId="0" applyFill="1"/>
    <xf numFmtId="0" fontId="1" fillId="0" borderId="1" xfId="0" applyFont="1" applyFill="1" applyBorder="1"/>
    <xf numFmtId="0" fontId="0" fillId="0" borderId="0" xfId="0" applyFill="1" applyAlignment="1">
      <alignment shrinkToFit="1"/>
    </xf>
    <xf numFmtId="0" fontId="10" fillId="0" borderId="0" xfId="0" applyFont="1" applyFill="1" applyAlignment="1">
      <alignment horizontal="center"/>
    </xf>
    <xf numFmtId="0" fontId="9" fillId="0" borderId="0" xfId="0" applyFont="1" applyFill="1" applyAlignment="1">
      <alignment horizontal="center" shrinkToFit="1"/>
    </xf>
    <xf numFmtId="0" fontId="0" fillId="0" borderId="0" xfId="0" applyFill="1" applyBorder="1"/>
    <xf numFmtId="0" fontId="6" fillId="0" borderId="0" xfId="0" applyFont="1" applyFill="1"/>
    <xf numFmtId="0" fontId="5" fillId="0" borderId="0" xfId="0" applyFont="1" applyFill="1" applyBorder="1"/>
    <xf numFmtId="0" fontId="11" fillId="0" borderId="0" xfId="0" applyFont="1" applyFill="1" applyBorder="1"/>
    <xf numFmtId="0" fontId="7" fillId="0" borderId="0" xfId="0" applyFont="1" applyFill="1"/>
    <xf numFmtId="0" fontId="11" fillId="0" borderId="0" xfId="0" applyFont="1" applyFill="1"/>
    <xf numFmtId="0" fontId="0" fillId="0" borderId="4" xfId="0" applyBorder="1" applyAlignment="1"/>
    <xf numFmtId="0" fontId="7" fillId="0" borderId="4" xfId="0" applyFont="1" applyBorder="1" applyAlignment="1">
      <alignment horizontal="center"/>
    </xf>
    <xf numFmtId="0" fontId="0" fillId="0" borderId="5" xfId="0" applyBorder="1"/>
    <xf numFmtId="0" fontId="0" fillId="0" borderId="8" xfId="0" applyBorder="1" applyAlignment="1"/>
    <xf numFmtId="0" fontId="12" fillId="0" borderId="0" xfId="0" applyFont="1" applyBorder="1" applyAlignment="1">
      <alignment horizontal="center" vertical="center"/>
    </xf>
    <xf numFmtId="0" fontId="12" fillId="2" borderId="0" xfId="0" applyFont="1" applyFill="1" applyAlignment="1">
      <alignment horizontal="center" vertical="center"/>
    </xf>
    <xf numFmtId="0" fontId="12" fillId="2" borderId="0" xfId="0" applyFont="1" applyFill="1" applyBorder="1" applyAlignment="1">
      <alignment horizontal="center" vertical="center"/>
    </xf>
    <xf numFmtId="0" fontId="0" fillId="0" borderId="0" xfId="0" applyFill="1" applyAlignment="1"/>
    <xf numFmtId="0" fontId="0" fillId="0" borderId="0" xfId="0" applyAlignment="1"/>
    <xf numFmtId="0" fontId="0" fillId="0" borderId="19" xfId="0" applyFill="1" applyBorder="1" applyAlignment="1"/>
    <xf numFmtId="0" fontId="0" fillId="0" borderId="20" xfId="0" applyFill="1" applyBorder="1" applyAlignment="1"/>
    <xf numFmtId="0" fontId="14" fillId="0" borderId="20" xfId="0" applyFont="1" applyFill="1" applyBorder="1" applyAlignment="1"/>
    <xf numFmtId="0" fontId="0" fillId="0" borderId="0" xfId="0" applyFill="1" applyBorder="1" applyAlignment="1"/>
    <xf numFmtId="0" fontId="14" fillId="0" borderId="0" xfId="0" applyFont="1" applyFill="1" applyBorder="1" applyAlignment="1"/>
    <xf numFmtId="0" fontId="0" fillId="0" borderId="24" xfId="0" applyFill="1" applyBorder="1" applyAlignment="1"/>
    <xf numFmtId="0" fontId="0" fillId="0" borderId="21" xfId="0" applyFill="1" applyBorder="1" applyAlignment="1"/>
    <xf numFmtId="0" fontId="0" fillId="0" borderId="7" xfId="0" applyFill="1" applyBorder="1" applyAlignment="1"/>
    <xf numFmtId="0" fontId="1" fillId="0" borderId="0" xfId="0" applyFont="1" applyFill="1" applyBorder="1" applyAlignment="1">
      <alignment horizontal="center"/>
    </xf>
    <xf numFmtId="0" fontId="13" fillId="2" borderId="0" xfId="0" applyFont="1" applyFill="1" applyBorder="1" applyAlignment="1">
      <alignment horizontal="center" vertical="center"/>
    </xf>
    <xf numFmtId="0" fontId="13" fillId="2" borderId="0" xfId="0" applyFont="1" applyFill="1" applyAlignment="1">
      <alignment horizontal="center" vertical="center"/>
    </xf>
    <xf numFmtId="0" fontId="21" fillId="0" borderId="0" xfId="0" applyFont="1" applyBorder="1" applyAlignment="1">
      <alignment horizontal="center" vertical="center"/>
    </xf>
    <xf numFmtId="0" fontId="22" fillId="0" borderId="0" xfId="0" applyFont="1" applyFill="1" applyAlignment="1">
      <alignment horizontal="center"/>
    </xf>
    <xf numFmtId="0" fontId="22" fillId="0" borderId="0" xfId="0" applyFont="1" applyFill="1" applyBorder="1" applyAlignment="1">
      <alignment horizontal="center" vertical="center"/>
    </xf>
    <xf numFmtId="0" fontId="22" fillId="0" borderId="0" xfId="0" applyFont="1" applyFill="1" applyAlignment="1">
      <alignment horizontal="center" vertical="center"/>
    </xf>
    <xf numFmtId="0" fontId="22" fillId="0" borderId="0" xfId="0" applyFont="1" applyBorder="1" applyAlignment="1">
      <alignment horizontal="center"/>
    </xf>
    <xf numFmtId="0" fontId="22" fillId="0" borderId="28" xfId="0" applyFont="1" applyFill="1" applyBorder="1" applyAlignment="1">
      <alignment horizontal="center" vertical="center"/>
    </xf>
    <xf numFmtId="0" fontId="22" fillId="0" borderId="29" xfId="0" applyFont="1" applyFill="1" applyBorder="1" applyAlignment="1">
      <alignment horizontal="center" vertical="center"/>
    </xf>
    <xf numFmtId="0" fontId="7" fillId="3" borderId="0" xfId="0" applyFont="1" applyFill="1" applyAlignment="1"/>
    <xf numFmtId="0" fontId="25" fillId="0" borderId="22" xfId="0" applyFont="1" applyFill="1" applyBorder="1" applyAlignment="1">
      <alignment horizontal="center"/>
    </xf>
    <xf numFmtId="0" fontId="25" fillId="0" borderId="0" xfId="0" applyFont="1" applyFill="1" applyAlignment="1">
      <alignment horizontal="center"/>
    </xf>
    <xf numFmtId="0" fontId="25" fillId="0" borderId="3" xfId="0" applyFont="1" applyFill="1" applyBorder="1" applyAlignment="1">
      <alignment horizontal="center"/>
    </xf>
    <xf numFmtId="0" fontId="26" fillId="0" borderId="0" xfId="0" applyFont="1" applyFill="1" applyAlignment="1">
      <alignment horizontal="center"/>
    </xf>
    <xf numFmtId="0" fontId="26" fillId="0" borderId="0" xfId="0" applyFont="1" applyFill="1" applyAlignment="1"/>
    <xf numFmtId="0" fontId="25" fillId="0" borderId="9" xfId="0" applyFont="1" applyFill="1" applyBorder="1" applyAlignment="1">
      <alignment horizontal="center"/>
    </xf>
    <xf numFmtId="0" fontId="25" fillId="0" borderId="21" xfId="0" applyFont="1" applyFill="1" applyBorder="1" applyAlignment="1">
      <alignment horizontal="center"/>
    </xf>
    <xf numFmtId="0" fontId="25" fillId="0" borderId="7" xfId="0" applyFont="1" applyFill="1" applyBorder="1" applyAlignment="1">
      <alignment horizontal="center"/>
    </xf>
    <xf numFmtId="0" fontId="28" fillId="0" borderId="0" xfId="0" applyFont="1" applyAlignment="1">
      <alignment horizontal="center"/>
    </xf>
    <xf numFmtId="49" fontId="25" fillId="0" borderId="21" xfId="0" applyNumberFormat="1" applyFont="1" applyFill="1" applyBorder="1" applyAlignment="1">
      <alignment horizontal="center"/>
    </xf>
    <xf numFmtId="0" fontId="25" fillId="0" borderId="18" xfId="0" applyFont="1" applyFill="1" applyBorder="1" applyAlignment="1">
      <alignment horizontal="center"/>
    </xf>
    <xf numFmtId="0" fontId="25" fillId="0" borderId="0" xfId="0" applyFont="1" applyFill="1" applyBorder="1" applyAlignment="1">
      <alignment horizontal="center"/>
    </xf>
    <xf numFmtId="0" fontId="25" fillId="0" borderId="1" xfId="0" applyFont="1" applyFill="1" applyBorder="1" applyAlignment="1">
      <alignment horizontal="center"/>
    </xf>
    <xf numFmtId="0" fontId="28" fillId="0" borderId="3" xfId="0" applyFont="1" applyBorder="1" applyAlignment="1">
      <alignment horizontal="center"/>
    </xf>
    <xf numFmtId="0" fontId="23" fillId="0" borderId="0" xfId="0" applyFont="1" applyFill="1" applyBorder="1" applyAlignment="1">
      <alignment horizontal="center" vertical="top"/>
    </xf>
    <xf numFmtId="0" fontId="23" fillId="0" borderId="18" xfId="0" applyFont="1" applyFill="1" applyBorder="1" applyAlignment="1">
      <alignment horizontal="center" vertical="center"/>
    </xf>
    <xf numFmtId="0" fontId="7" fillId="0" borderId="26" xfId="0" applyFont="1" applyFill="1" applyBorder="1" applyAlignment="1">
      <alignment horizontal="center"/>
    </xf>
    <xf numFmtId="0" fontId="26" fillId="0" borderId="0" xfId="0" applyFont="1"/>
    <xf numFmtId="0" fontId="8" fillId="0" borderId="0" xfId="0" applyFont="1"/>
    <xf numFmtId="0" fontId="26" fillId="2" borderId="0" xfId="0" applyFont="1" applyFill="1"/>
    <xf numFmtId="0" fontId="32" fillId="2" borderId="0" xfId="0" applyFont="1" applyFill="1"/>
    <xf numFmtId="0" fontId="3" fillId="2" borderId="0" xfId="0" applyFont="1" applyFill="1" applyAlignment="1">
      <alignment horizontal="right" vertical="center"/>
    </xf>
    <xf numFmtId="0" fontId="2" fillId="2" borderId="0" xfId="0" applyFont="1" applyFill="1" applyAlignment="1">
      <alignment horizontal="right" vertical="center"/>
    </xf>
    <xf numFmtId="0" fontId="8" fillId="2" borderId="0" xfId="0" applyFont="1" applyFill="1"/>
    <xf numFmtId="0" fontId="37" fillId="0" borderId="18" xfId="0" applyFont="1" applyFill="1" applyBorder="1" applyAlignment="1">
      <alignment horizontal="right"/>
    </xf>
    <xf numFmtId="0" fontId="37" fillId="0" borderId="18" xfId="0" applyFont="1" applyFill="1" applyBorder="1" applyAlignment="1">
      <alignment horizontal="right" vertical="top"/>
    </xf>
    <xf numFmtId="0" fontId="37" fillId="0" borderId="18" xfId="0" applyFont="1" applyFill="1" applyBorder="1" applyAlignment="1">
      <alignment horizontal="right" vertical="center"/>
    </xf>
    <xf numFmtId="0" fontId="37" fillId="0" borderId="0" xfId="0" applyFont="1" applyAlignment="1">
      <alignment horizontal="right"/>
    </xf>
    <xf numFmtId="1" fontId="25" fillId="0" borderId="3" xfId="0" applyNumberFormat="1" applyFont="1" applyFill="1" applyBorder="1" applyAlignment="1">
      <alignment horizontal="center"/>
    </xf>
    <xf numFmtId="0" fontId="25" fillId="0" borderId="24" xfId="0" applyNumberFormat="1" applyFont="1" applyFill="1" applyBorder="1" applyAlignment="1">
      <alignment horizontal="center"/>
    </xf>
    <xf numFmtId="0" fontId="25" fillId="4" borderId="9" xfId="0" applyFont="1" applyFill="1" applyBorder="1" applyAlignment="1">
      <alignment horizontal="center"/>
    </xf>
    <xf numFmtId="0" fontId="25" fillId="4" borderId="20" xfId="0" applyFont="1" applyFill="1" applyBorder="1" applyAlignment="1">
      <alignment horizontal="center"/>
    </xf>
    <xf numFmtId="0" fontId="25" fillId="4" borderId="19" xfId="0" applyFont="1" applyFill="1" applyBorder="1" applyAlignment="1">
      <alignment horizontal="center"/>
    </xf>
    <xf numFmtId="0" fontId="25" fillId="4" borderId="6" xfId="0" applyFont="1" applyFill="1" applyBorder="1" applyAlignment="1">
      <alignment horizontal="center"/>
    </xf>
    <xf numFmtId="0" fontId="25" fillId="4" borderId="22" xfId="0" applyFont="1" applyFill="1" applyBorder="1" applyAlignment="1">
      <alignment horizontal="center"/>
    </xf>
    <xf numFmtId="0" fontId="25" fillId="4" borderId="19" xfId="0" applyNumberFormat="1" applyFont="1" applyFill="1" applyBorder="1" applyAlignment="1">
      <alignment horizontal="center"/>
    </xf>
    <xf numFmtId="0" fontId="25" fillId="4" borderId="18" xfId="0" applyFont="1" applyFill="1" applyBorder="1" applyAlignment="1">
      <alignment horizontal="center"/>
    </xf>
    <xf numFmtId="0" fontId="28" fillId="4" borderId="9" xfId="0" applyFont="1" applyFill="1" applyBorder="1" applyAlignment="1">
      <alignment horizontal="center"/>
    </xf>
    <xf numFmtId="0" fontId="28" fillId="4" borderId="0" xfId="0" applyFont="1" applyFill="1" applyAlignment="1">
      <alignment horizontal="center"/>
    </xf>
    <xf numFmtId="0" fontId="38" fillId="2" borderId="2" xfId="0" applyFont="1" applyFill="1" applyBorder="1" applyAlignment="1">
      <alignment horizontal="center" vertical="center"/>
    </xf>
    <xf numFmtId="0" fontId="38"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2" borderId="2" xfId="0" applyFont="1" applyFill="1" applyBorder="1" applyAlignment="1">
      <alignment horizontal="center" vertical="center"/>
    </xf>
    <xf numFmtId="0" fontId="2" fillId="0" borderId="2" xfId="0" applyFont="1" applyFill="1" applyBorder="1" applyAlignment="1">
      <alignment horizontal="center"/>
    </xf>
    <xf numFmtId="0" fontId="2" fillId="2" borderId="2" xfId="0" applyFont="1" applyFill="1" applyBorder="1" applyAlignment="1">
      <alignment horizontal="center"/>
    </xf>
    <xf numFmtId="0" fontId="2" fillId="2" borderId="9" xfId="0" applyFont="1" applyFill="1" applyBorder="1" applyAlignment="1">
      <alignment horizontal="center" vertical="center"/>
    </xf>
    <xf numFmtId="0" fontId="2" fillId="0" borderId="3" xfId="0" applyFont="1" applyFill="1" applyBorder="1" applyAlignment="1">
      <alignment horizontal="center" vertical="center"/>
    </xf>
    <xf numFmtId="0" fontId="38" fillId="2" borderId="3" xfId="0" applyFont="1" applyFill="1" applyBorder="1" applyAlignment="1">
      <alignment horizontal="center" vertical="center"/>
    </xf>
    <xf numFmtId="0" fontId="2" fillId="0" borderId="2" xfId="0" applyFont="1" applyBorder="1" applyAlignment="1">
      <alignment horizontal="center"/>
    </xf>
    <xf numFmtId="0" fontId="11" fillId="0" borderId="0" xfId="0" applyFont="1" applyFill="1" applyProtection="1">
      <protection locked="0"/>
    </xf>
    <xf numFmtId="0" fontId="7" fillId="0" borderId="0" xfId="0" applyFont="1" applyFill="1" applyProtection="1">
      <protection locked="0"/>
    </xf>
    <xf numFmtId="0" fontId="25" fillId="0" borderId="19" xfId="0" applyFont="1" applyFill="1" applyBorder="1" applyAlignment="1">
      <alignment horizontal="center"/>
    </xf>
    <xf numFmtId="0" fontId="25" fillId="0" borderId="24" xfId="0" applyFont="1" applyFill="1" applyBorder="1" applyAlignment="1">
      <alignment horizontal="center"/>
    </xf>
    <xf numFmtId="0" fontId="25" fillId="0" borderId="21" xfId="0" applyFont="1" applyFill="1" applyBorder="1" applyAlignment="1">
      <alignment horizontal="center"/>
    </xf>
    <xf numFmtId="0" fontId="25" fillId="0" borderId="7" xfId="0" applyFont="1" applyFill="1" applyBorder="1" applyAlignment="1">
      <alignment horizontal="center"/>
    </xf>
    <xf numFmtId="0" fontId="0" fillId="0" borderId="0" xfId="0" applyAlignment="1">
      <alignment horizontal="center"/>
    </xf>
    <xf numFmtId="49" fontId="25" fillId="0" borderId="0" xfId="0" applyNumberFormat="1" applyFont="1" applyFill="1" applyBorder="1" applyAlignment="1">
      <alignment horizontal="center"/>
    </xf>
    <xf numFmtId="0" fontId="39" fillId="2" borderId="0" xfId="0" applyFont="1" applyFill="1" applyAlignment="1">
      <alignment horizontal="center" vertical="center"/>
    </xf>
    <xf numFmtId="0" fontId="39" fillId="2" borderId="0" xfId="0" applyFont="1" applyFill="1" applyBorder="1" applyAlignment="1">
      <alignment horizontal="center" vertical="center"/>
    </xf>
    <xf numFmtId="0" fontId="39" fillId="2" borderId="21" xfId="0" applyFont="1" applyFill="1" applyBorder="1" applyAlignment="1">
      <alignment horizontal="center" vertical="center"/>
    </xf>
    <xf numFmtId="0" fontId="12" fillId="0" borderId="6" xfId="0" applyFont="1" applyFill="1" applyBorder="1" applyAlignment="1">
      <alignment horizontal="center"/>
    </xf>
    <xf numFmtId="0" fontId="12" fillId="0" borderId="1" xfId="0" applyFont="1" applyFill="1" applyBorder="1" applyAlignment="1">
      <alignment horizontal="center" vertical="center"/>
    </xf>
    <xf numFmtId="0" fontId="12" fillId="0" borderId="1" xfId="0" applyFont="1" applyFill="1" applyBorder="1" applyAlignment="1">
      <alignment horizontal="center"/>
    </xf>
    <xf numFmtId="0" fontId="12" fillId="0" borderId="7" xfId="0" applyFont="1" applyFill="1" applyBorder="1" applyAlignment="1">
      <alignment horizontal="center"/>
    </xf>
    <xf numFmtId="0" fontId="0" fillId="0" borderId="0" xfId="0" applyNumberFormat="1" applyAlignment="1">
      <alignment horizontal="center"/>
    </xf>
    <xf numFmtId="0" fontId="3" fillId="0" borderId="0" xfId="0" applyFont="1" applyAlignment="1">
      <alignment horizontal="center"/>
    </xf>
    <xf numFmtId="0" fontId="25" fillId="4" borderId="9" xfId="0" applyNumberFormat="1" applyFont="1" applyFill="1" applyBorder="1" applyAlignment="1">
      <alignment horizontal="center"/>
    </xf>
    <xf numFmtId="0" fontId="4" fillId="0" borderId="0" xfId="0" applyFont="1" applyFill="1" applyBorder="1" applyAlignment="1">
      <alignment horizontal="center"/>
    </xf>
    <xf numFmtId="0" fontId="25" fillId="0" borderId="0" xfId="0" applyFont="1" applyFill="1" applyBorder="1" applyAlignment="1">
      <alignment horizontal="center"/>
    </xf>
    <xf numFmtId="0" fontId="14" fillId="0" borderId="9" xfId="0" applyFont="1" applyBorder="1" applyAlignment="1">
      <alignment horizontal="center"/>
    </xf>
    <xf numFmtId="0" fontId="0" fillId="5" borderId="0" xfId="0" applyFill="1"/>
    <xf numFmtId="0" fontId="25" fillId="4" borderId="2" xfId="0" applyFont="1" applyFill="1" applyBorder="1" applyAlignment="1">
      <alignment horizontal="center"/>
    </xf>
    <xf numFmtId="0" fontId="25" fillId="4" borderId="26" xfId="0" applyFont="1" applyFill="1" applyBorder="1" applyAlignment="1">
      <alignment horizontal="center"/>
    </xf>
    <xf numFmtId="0" fontId="25" fillId="4" borderId="48" xfId="0" applyFont="1" applyFill="1" applyBorder="1" applyAlignment="1">
      <alignment horizontal="center"/>
    </xf>
    <xf numFmtId="0" fontId="25" fillId="4" borderId="0" xfId="0" applyFont="1" applyFill="1" applyBorder="1" applyAlignment="1">
      <alignment horizontal="center"/>
    </xf>
    <xf numFmtId="0" fontId="14" fillId="0" borderId="31" xfId="0" applyFont="1" applyBorder="1" applyAlignment="1">
      <alignment horizontal="center"/>
    </xf>
    <xf numFmtId="0" fontId="25" fillId="4" borderId="7" xfId="0" applyFont="1" applyFill="1" applyBorder="1" applyAlignment="1">
      <alignment horizontal="center"/>
    </xf>
    <xf numFmtId="0" fontId="14" fillId="0" borderId="32" xfId="0" applyFont="1" applyBorder="1" applyAlignment="1">
      <alignment horizontal="center"/>
    </xf>
    <xf numFmtId="0" fontId="14" fillId="0" borderId="30" xfId="0" applyFont="1" applyBorder="1" applyAlignment="1">
      <alignment horizontal="center"/>
    </xf>
    <xf numFmtId="0" fontId="25" fillId="4" borderId="1" xfId="0" applyFont="1" applyFill="1" applyBorder="1" applyAlignment="1">
      <alignment horizontal="center"/>
    </xf>
    <xf numFmtId="0" fontId="25" fillId="4" borderId="24" xfId="0" applyFont="1" applyFill="1" applyBorder="1" applyAlignment="1">
      <alignment horizontal="center"/>
    </xf>
    <xf numFmtId="0" fontId="25" fillId="4" borderId="21" xfId="0" applyFont="1" applyFill="1" applyBorder="1" applyAlignment="1">
      <alignment horizontal="center"/>
    </xf>
    <xf numFmtId="0" fontId="0" fillId="5" borderId="0" xfId="0" applyFill="1" applyAlignment="1">
      <alignment horizontal="center"/>
    </xf>
    <xf numFmtId="0" fontId="0" fillId="5" borderId="0" xfId="0" applyFill="1" applyBorder="1"/>
    <xf numFmtId="0" fontId="41" fillId="5" borderId="0" xfId="0" applyFont="1" applyFill="1" applyBorder="1" applyAlignment="1"/>
    <xf numFmtId="0" fontId="41" fillId="5" borderId="0" xfId="0" applyFont="1" applyFill="1" applyBorder="1" applyAlignment="1">
      <alignment horizontal="center"/>
    </xf>
    <xf numFmtId="0" fontId="28" fillId="4" borderId="20" xfId="0" applyFont="1" applyFill="1" applyBorder="1" applyAlignment="1">
      <alignment horizontal="center"/>
    </xf>
    <xf numFmtId="0" fontId="28" fillId="0" borderId="21" xfId="0" applyFont="1" applyFill="1" applyBorder="1" applyAlignment="1">
      <alignment horizontal="center"/>
    </xf>
    <xf numFmtId="0" fontId="25" fillId="0" borderId="20" xfId="0" applyFont="1" applyFill="1" applyBorder="1" applyAlignment="1">
      <alignment horizontal="center"/>
    </xf>
    <xf numFmtId="0" fontId="28" fillId="4" borderId="21" xfId="0" applyFont="1" applyFill="1" applyBorder="1" applyAlignment="1">
      <alignment horizontal="center"/>
    </xf>
    <xf numFmtId="0" fontId="28" fillId="4" borderId="0" xfId="0" applyFont="1" applyFill="1" applyBorder="1" applyAlignment="1">
      <alignment horizontal="center"/>
    </xf>
    <xf numFmtId="0" fontId="25" fillId="0" borderId="6" xfId="0" applyFont="1" applyFill="1" applyBorder="1" applyAlignment="1">
      <alignment horizontal="center"/>
    </xf>
    <xf numFmtId="0" fontId="28" fillId="0" borderId="0" xfId="0" applyFont="1" applyFill="1" applyBorder="1" applyAlignment="1">
      <alignment horizontal="center"/>
    </xf>
    <xf numFmtId="0" fontId="28" fillId="0" borderId="20" xfId="0" applyFont="1" applyFill="1" applyBorder="1" applyAlignment="1">
      <alignment horizontal="center"/>
    </xf>
    <xf numFmtId="0" fontId="0" fillId="6" borderId="0" xfId="0" applyFill="1"/>
    <xf numFmtId="0" fontId="26" fillId="5" borderId="0" xfId="0" applyFont="1" applyFill="1"/>
    <xf numFmtId="0" fontId="26" fillId="0" borderId="1" xfId="0" applyFont="1" applyFill="1" applyBorder="1"/>
    <xf numFmtId="0" fontId="28" fillId="5" borderId="0" xfId="0" applyFont="1" applyFill="1" applyBorder="1" applyAlignment="1">
      <alignment horizontal="center"/>
    </xf>
    <xf numFmtId="0" fontId="42" fillId="4" borderId="18" xfId="0" applyFont="1" applyFill="1" applyBorder="1" applyAlignment="1">
      <alignment horizontal="center"/>
    </xf>
    <xf numFmtId="0" fontId="42" fillId="4" borderId="0" xfId="0" applyFont="1" applyFill="1" applyBorder="1" applyAlignment="1">
      <alignment horizontal="center"/>
    </xf>
    <xf numFmtId="0" fontId="42" fillId="0" borderId="18" xfId="0" applyFont="1" applyFill="1" applyBorder="1" applyAlignment="1">
      <alignment horizontal="center"/>
    </xf>
    <xf numFmtId="0" fontId="42" fillId="0" borderId="0" xfId="0" applyFont="1" applyFill="1" applyBorder="1" applyAlignment="1">
      <alignment horizontal="center"/>
    </xf>
    <xf numFmtId="0" fontId="42" fillId="4" borderId="1" xfId="0" applyFont="1" applyFill="1" applyBorder="1" applyAlignment="1">
      <alignment horizontal="center"/>
    </xf>
    <xf numFmtId="0" fontId="42" fillId="0" borderId="1" xfId="0" applyFont="1" applyFill="1" applyBorder="1" applyAlignment="1">
      <alignment horizontal="center"/>
    </xf>
    <xf numFmtId="0" fontId="42" fillId="0" borderId="24" xfId="0" applyFont="1" applyFill="1" applyBorder="1" applyAlignment="1">
      <alignment horizontal="center"/>
    </xf>
    <xf numFmtId="0" fontId="42" fillId="0" borderId="21" xfId="0" applyFont="1" applyFill="1" applyBorder="1" applyAlignment="1">
      <alignment horizontal="center"/>
    </xf>
    <xf numFmtId="0" fontId="42" fillId="0" borderId="7" xfId="0" applyFont="1" applyFill="1" applyBorder="1" applyAlignment="1">
      <alignment horizontal="center"/>
    </xf>
    <xf numFmtId="0" fontId="42" fillId="4" borderId="24" xfId="0" applyFont="1" applyFill="1" applyBorder="1" applyAlignment="1">
      <alignment horizontal="center"/>
    </xf>
    <xf numFmtId="0" fontId="42" fillId="4" borderId="21" xfId="0" applyFont="1" applyFill="1" applyBorder="1" applyAlignment="1">
      <alignment horizontal="center"/>
    </xf>
    <xf numFmtId="0" fontId="42" fillId="4" borderId="7" xfId="0" applyFont="1" applyFill="1" applyBorder="1" applyAlignment="1">
      <alignment horizontal="center"/>
    </xf>
    <xf numFmtId="0" fontId="42" fillId="0" borderId="19" xfId="0" applyFont="1" applyFill="1" applyBorder="1" applyAlignment="1">
      <alignment horizontal="center"/>
    </xf>
    <xf numFmtId="0" fontId="42" fillId="0" borderId="20" xfId="0" applyFont="1" applyFill="1" applyBorder="1" applyAlignment="1">
      <alignment horizontal="center"/>
    </xf>
    <xf numFmtId="0" fontId="42" fillId="0" borderId="6" xfId="0" applyFont="1" applyFill="1" applyBorder="1" applyAlignment="1">
      <alignment horizontal="center"/>
    </xf>
    <xf numFmtId="0" fontId="28" fillId="0" borderId="2" xfId="0" applyFont="1" applyBorder="1" applyAlignment="1">
      <alignment horizontal="center"/>
    </xf>
    <xf numFmtId="0" fontId="28" fillId="0" borderId="2" xfId="0" applyFont="1" applyFill="1" applyBorder="1" applyAlignment="1">
      <alignment horizontal="center"/>
    </xf>
    <xf numFmtId="0" fontId="28" fillId="0" borderId="0" xfId="0" applyFont="1" applyFill="1"/>
    <xf numFmtId="0" fontId="28" fillId="0" borderId="0" xfId="0" applyFont="1" applyFill="1" applyAlignment="1"/>
    <xf numFmtId="0" fontId="42" fillId="0" borderId="0" xfId="0" applyFont="1" applyFill="1" applyAlignment="1"/>
    <xf numFmtId="0" fontId="42" fillId="0" borderId="0" xfId="0" applyFont="1" applyFill="1" applyAlignment="1">
      <alignment horizontal="center"/>
    </xf>
    <xf numFmtId="0" fontId="44" fillId="0" borderId="0" xfId="0" applyFont="1" applyFill="1" applyAlignment="1">
      <alignment horizontal="center"/>
    </xf>
    <xf numFmtId="0" fontId="45" fillId="0" borderId="0" xfId="0" applyFont="1" applyFill="1" applyAlignment="1">
      <alignment horizontal="center"/>
    </xf>
    <xf numFmtId="0" fontId="28" fillId="5" borderId="0" xfId="0" applyFont="1" applyFill="1"/>
    <xf numFmtId="0" fontId="44" fillId="4" borderId="18" xfId="0" applyFont="1" applyFill="1" applyBorder="1" applyAlignment="1">
      <alignment horizontal="center"/>
    </xf>
    <xf numFmtId="0" fontId="44" fillId="4" borderId="0" xfId="0" applyFont="1" applyFill="1" applyBorder="1" applyAlignment="1">
      <alignment horizontal="center"/>
    </xf>
    <xf numFmtId="0" fontId="45" fillId="4" borderId="18" xfId="0" applyFont="1" applyFill="1" applyBorder="1" applyAlignment="1">
      <alignment horizontal="center"/>
    </xf>
    <xf numFmtId="0" fontId="45" fillId="4" borderId="0" xfId="0" applyFont="1" applyFill="1" applyBorder="1" applyAlignment="1">
      <alignment horizontal="center"/>
    </xf>
    <xf numFmtId="0" fontId="45" fillId="0" borderId="18" xfId="0" applyFont="1" applyFill="1" applyBorder="1" applyAlignment="1">
      <alignment horizontal="center"/>
    </xf>
    <xf numFmtId="0" fontId="45" fillId="0" borderId="0" xfId="0" applyFont="1" applyFill="1" applyBorder="1" applyAlignment="1">
      <alignment horizontal="center"/>
    </xf>
    <xf numFmtId="0" fontId="44" fillId="0" borderId="0" xfId="0" applyFont="1" applyFill="1" applyBorder="1" applyAlignment="1">
      <alignment horizontal="center"/>
    </xf>
    <xf numFmtId="0" fontId="24" fillId="2" borderId="0" xfId="0" applyFont="1" applyFill="1" applyBorder="1" applyAlignment="1">
      <alignment horizontal="center" vertical="center"/>
    </xf>
    <xf numFmtId="0" fontId="41" fillId="5" borderId="0" xfId="0" applyFont="1" applyFill="1" applyAlignment="1"/>
    <xf numFmtId="0" fontId="28" fillId="5" borderId="0" xfId="0" applyFont="1" applyFill="1" applyAlignment="1">
      <alignment horizontal="center"/>
    </xf>
    <xf numFmtId="0" fontId="40" fillId="5" borderId="0" xfId="0" applyFont="1" applyFill="1" applyBorder="1" applyAlignment="1">
      <alignment horizontal="center"/>
    </xf>
    <xf numFmtId="0" fontId="43" fillId="0" borderId="24" xfId="0" applyFont="1" applyFill="1" applyBorder="1" applyAlignment="1">
      <alignment horizontal="center"/>
    </xf>
    <xf numFmtId="0" fontId="43" fillId="0" borderId="21" xfId="0" applyFont="1" applyFill="1" applyBorder="1" applyAlignment="1">
      <alignment horizontal="center"/>
    </xf>
    <xf numFmtId="0" fontId="43" fillId="0" borderId="7" xfId="0" applyFont="1" applyFill="1" applyBorder="1" applyAlignment="1">
      <alignment horizontal="center"/>
    </xf>
    <xf numFmtId="0" fontId="28" fillId="0" borderId="47" xfId="0" applyFont="1" applyBorder="1" applyAlignment="1">
      <alignment horizontal="center"/>
    </xf>
    <xf numFmtId="0" fontId="0" fillId="5" borderId="0" xfId="0" applyFill="1" applyAlignment="1"/>
    <xf numFmtId="0" fontId="28" fillId="5" borderId="0" xfId="0" applyFont="1" applyFill="1" applyBorder="1"/>
    <xf numFmtId="0" fontId="52" fillId="0" borderId="20" xfId="0" applyFont="1" applyFill="1" applyBorder="1" applyAlignment="1">
      <alignment horizontal="center"/>
    </xf>
    <xf numFmtId="0" fontId="52" fillId="4" borderId="0" xfId="0" applyFont="1" applyFill="1" applyBorder="1" applyAlignment="1">
      <alignment horizontal="center"/>
    </xf>
    <xf numFmtId="0" fontId="52" fillId="0" borderId="0" xfId="0" applyFont="1" applyFill="1" applyBorder="1" applyAlignment="1">
      <alignment horizontal="center"/>
    </xf>
    <xf numFmtId="0" fontId="52" fillId="4" borderId="21" xfId="0" applyFont="1" applyFill="1" applyBorder="1" applyAlignment="1">
      <alignment horizontal="center"/>
    </xf>
    <xf numFmtId="0" fontId="28" fillId="5" borderId="0" xfId="0" applyFont="1" applyFill="1" applyBorder="1" applyAlignment="1"/>
    <xf numFmtId="0" fontId="48" fillId="5" borderId="0" xfId="0" applyFont="1" applyFill="1" applyBorder="1" applyAlignment="1"/>
    <xf numFmtId="0" fontId="49" fillId="5" borderId="0" xfId="0" applyFont="1" applyFill="1" applyBorder="1" applyAlignment="1"/>
    <xf numFmtId="0" fontId="49" fillId="5" borderId="0" xfId="0" applyFont="1" applyFill="1" applyBorder="1" applyAlignment="1">
      <alignment horizontal="left"/>
    </xf>
    <xf numFmtId="0" fontId="50" fillId="5" borderId="0" xfId="0" applyFont="1" applyFill="1" applyBorder="1" applyAlignment="1"/>
    <xf numFmtId="0" fontId="28" fillId="0" borderId="48" xfId="0" applyFont="1" applyBorder="1" applyAlignment="1">
      <alignment horizontal="center"/>
    </xf>
    <xf numFmtId="0" fontId="0" fillId="0" borderId="0" xfId="0" applyBorder="1"/>
    <xf numFmtId="0" fontId="3" fillId="5" borderId="0" xfId="0" applyFont="1" applyFill="1" applyAlignment="1"/>
    <xf numFmtId="164" fontId="41" fillId="5" borderId="0" xfId="0" applyNumberFormat="1" applyFont="1" applyFill="1" applyAlignment="1"/>
    <xf numFmtId="0" fontId="41" fillId="0" borderId="2" xfId="0" applyFont="1" applyBorder="1" applyAlignment="1"/>
    <xf numFmtId="0" fontId="2" fillId="0" borderId="0" xfId="0" applyFont="1" applyFill="1" applyBorder="1" applyAlignment="1" applyProtection="1">
      <alignment horizontal="center" vertical="center"/>
      <protection locked="0"/>
    </xf>
    <xf numFmtId="0" fontId="7" fillId="0" borderId="0" xfId="0" applyNumberFormat="1" applyFont="1" applyFill="1" applyBorder="1" applyAlignment="1" applyProtection="1">
      <alignment horizontal="center" vertical="center"/>
      <protection locked="0"/>
    </xf>
    <xf numFmtId="0" fontId="11" fillId="0" borderId="0" xfId="0" applyFont="1" applyBorder="1"/>
    <xf numFmtId="0" fontId="21" fillId="0" borderId="2" xfId="0" applyFont="1" applyFill="1" applyBorder="1" applyAlignment="1" applyProtection="1">
      <alignment horizontal="center" vertical="center"/>
    </xf>
    <xf numFmtId="0" fontId="21" fillId="0" borderId="3" xfId="0" applyFont="1" applyFill="1" applyBorder="1" applyAlignment="1" applyProtection="1">
      <alignment horizontal="center" vertical="center"/>
    </xf>
    <xf numFmtId="0" fontId="8" fillId="0" borderId="0" xfId="0" applyFont="1" applyFill="1" applyBorder="1" applyAlignment="1"/>
    <xf numFmtId="0" fontId="21" fillId="0" borderId="2" xfId="0" applyNumberFormat="1" applyFont="1" applyFill="1" applyBorder="1" applyAlignment="1" applyProtection="1">
      <alignment horizontal="center" vertical="center"/>
    </xf>
    <xf numFmtId="0" fontId="21" fillId="0" borderId="2" xfId="0" applyFont="1" applyBorder="1" applyAlignment="1">
      <alignment horizontal="center"/>
    </xf>
    <xf numFmtId="0" fontId="14" fillId="0" borderId="2" xfId="0" applyFont="1" applyBorder="1" applyAlignment="1">
      <alignment horizontal="center"/>
    </xf>
    <xf numFmtId="0" fontId="3" fillId="0" borderId="0" xfId="0" applyFont="1" applyFill="1"/>
    <xf numFmtId="0" fontId="3" fillId="0" borderId="0" xfId="0" applyFont="1" applyFill="1" applyAlignment="1"/>
    <xf numFmtId="0" fontId="2" fillId="2" borderId="0" xfId="0" applyFont="1" applyFill="1"/>
    <xf numFmtId="0" fontId="54" fillId="0" borderId="2" xfId="0" applyFont="1" applyFill="1" applyBorder="1" applyAlignment="1">
      <alignment horizontal="center" vertical="center"/>
    </xf>
    <xf numFmtId="0" fontId="54" fillId="2" borderId="2" xfId="0" applyFont="1" applyFill="1" applyBorder="1" applyAlignment="1">
      <alignment horizontal="center" vertical="center"/>
    </xf>
    <xf numFmtId="0" fontId="55" fillId="0" borderId="2" xfId="0" applyFont="1" applyFill="1" applyBorder="1" applyAlignment="1">
      <alignment horizontal="center" vertical="center"/>
    </xf>
    <xf numFmtId="0" fontId="0" fillId="2" borderId="0" xfId="0" applyFill="1"/>
    <xf numFmtId="0" fontId="0" fillId="2" borderId="0" xfId="0" applyFill="1" applyAlignment="1">
      <alignment horizontal="center"/>
    </xf>
    <xf numFmtId="0" fontId="56" fillId="0" borderId="2" xfId="0" applyFont="1" applyFill="1" applyBorder="1" applyAlignment="1">
      <alignment horizontal="center" vertical="center"/>
    </xf>
    <xf numFmtId="0" fontId="55" fillId="0" borderId="2" xfId="0" applyFont="1" applyFill="1" applyBorder="1" applyAlignment="1" applyProtection="1">
      <alignment horizontal="center" vertical="center"/>
      <protection locked="0"/>
    </xf>
    <xf numFmtId="0" fontId="57" fillId="0" borderId="2" xfId="0" applyFont="1" applyFill="1" applyBorder="1" applyAlignment="1">
      <alignment horizontal="center" vertical="center"/>
    </xf>
    <xf numFmtId="0" fontId="55" fillId="2" borderId="2" xfId="0" applyFont="1" applyFill="1" applyBorder="1" applyAlignment="1" applyProtection="1">
      <alignment horizontal="center" vertical="center"/>
      <protection locked="0"/>
    </xf>
    <xf numFmtId="0" fontId="56" fillId="2" borderId="2" xfId="0" applyFont="1" applyFill="1" applyBorder="1" applyAlignment="1">
      <alignment horizontal="center" vertical="center"/>
    </xf>
    <xf numFmtId="0" fontId="55" fillId="2" borderId="2" xfId="0" applyFont="1" applyFill="1" applyBorder="1" applyAlignment="1" applyProtection="1">
      <alignment horizontal="center"/>
      <protection locked="0"/>
    </xf>
    <xf numFmtId="0" fontId="55" fillId="0" borderId="0" xfId="0" applyFont="1" applyAlignment="1">
      <alignment horizontal="center"/>
    </xf>
    <xf numFmtId="0" fontId="40" fillId="2" borderId="0" xfId="0" applyFont="1" applyFill="1" applyBorder="1" applyAlignment="1">
      <alignment horizontal="center"/>
    </xf>
    <xf numFmtId="0" fontId="40" fillId="2" borderId="0" xfId="0" applyFont="1" applyFill="1" applyBorder="1"/>
    <xf numFmtId="0" fontId="40" fillId="2" borderId="0" xfId="0" applyFont="1" applyFill="1" applyAlignment="1">
      <alignment horizontal="center"/>
    </xf>
    <xf numFmtId="0" fontId="58" fillId="2" borderId="0" xfId="0" applyFont="1" applyFill="1" applyAlignment="1">
      <alignment horizontal="center"/>
    </xf>
    <xf numFmtId="0" fontId="55" fillId="0" borderId="2" xfId="0" applyFont="1" applyFill="1" applyBorder="1" applyAlignment="1" applyProtection="1">
      <alignment horizontal="center"/>
      <protection locked="0"/>
    </xf>
    <xf numFmtId="0" fontId="3" fillId="0" borderId="0" xfId="0" applyFont="1" applyFill="1" applyBorder="1"/>
    <xf numFmtId="0" fontId="14" fillId="8" borderId="2" xfId="0" applyFont="1" applyFill="1" applyBorder="1" applyAlignment="1">
      <alignment horizontal="center"/>
    </xf>
    <xf numFmtId="0" fontId="55" fillId="8" borderId="2" xfId="0" applyFont="1" applyFill="1" applyBorder="1" applyAlignment="1">
      <alignment horizontal="center"/>
    </xf>
    <xf numFmtId="0" fontId="14" fillId="9" borderId="2" xfId="0" applyFont="1" applyFill="1" applyBorder="1" applyAlignment="1">
      <alignment horizontal="center"/>
    </xf>
    <xf numFmtId="0" fontId="55" fillId="9" borderId="2" xfId="0" applyFont="1" applyFill="1" applyBorder="1" applyAlignment="1">
      <alignment horizontal="center"/>
    </xf>
    <xf numFmtId="0" fontId="56" fillId="0" borderId="2" xfId="0" applyFont="1" applyFill="1" applyBorder="1" applyAlignment="1" applyProtection="1">
      <alignment horizontal="center" vertical="center"/>
      <protection locked="0"/>
    </xf>
    <xf numFmtId="0" fontId="14" fillId="0" borderId="2" xfId="0" applyFont="1" applyFill="1" applyBorder="1" applyAlignment="1" applyProtection="1">
      <alignment horizontal="center"/>
      <protection locked="0"/>
    </xf>
    <xf numFmtId="0" fontId="57" fillId="0" borderId="2" xfId="0" applyFont="1" applyFill="1" applyBorder="1" applyAlignment="1" applyProtection="1">
      <alignment horizontal="center" vertical="center"/>
      <protection locked="0"/>
    </xf>
    <xf numFmtId="0" fontId="55" fillId="2" borderId="9" xfId="0" applyFont="1" applyFill="1" applyBorder="1" applyAlignment="1">
      <alignment horizontal="center" vertical="center"/>
    </xf>
    <xf numFmtId="0" fontId="14" fillId="3" borderId="2" xfId="0" applyFont="1" applyFill="1" applyBorder="1" applyAlignment="1">
      <alignment horizontal="center"/>
    </xf>
    <xf numFmtId="0" fontId="55" fillId="3" borderId="2" xfId="0" applyFont="1" applyFill="1" applyBorder="1" applyAlignment="1">
      <alignment horizontal="center"/>
    </xf>
    <xf numFmtId="0" fontId="56" fillId="2" borderId="2" xfId="0" applyFont="1" applyFill="1" applyBorder="1" applyAlignment="1" applyProtection="1">
      <alignment horizontal="center" vertical="center"/>
      <protection locked="0"/>
    </xf>
    <xf numFmtId="0" fontId="55" fillId="2" borderId="2" xfId="0" applyFont="1" applyFill="1" applyBorder="1" applyAlignment="1">
      <alignment horizontal="center" vertical="center"/>
    </xf>
    <xf numFmtId="0" fontId="55" fillId="0" borderId="3" xfId="0" applyFont="1" applyFill="1" applyBorder="1" applyAlignment="1">
      <alignment horizontal="center" vertical="center"/>
    </xf>
    <xf numFmtId="0" fontId="56" fillId="2" borderId="3" xfId="0" applyFont="1" applyFill="1" applyBorder="1" applyAlignment="1">
      <alignment horizontal="center" vertical="center"/>
    </xf>
    <xf numFmtId="0" fontId="61" fillId="0" borderId="0" xfId="0" applyFont="1"/>
    <xf numFmtId="0" fontId="57" fillId="2" borderId="2" xfId="0" applyFont="1" applyFill="1" applyBorder="1" applyAlignment="1">
      <alignment horizontal="center" vertical="center"/>
    </xf>
    <xf numFmtId="0" fontId="54" fillId="2" borderId="2" xfId="0" applyFont="1" applyFill="1" applyBorder="1" applyAlignment="1">
      <alignment horizontal="center"/>
    </xf>
    <xf numFmtId="0" fontId="14" fillId="10" borderId="2" xfId="0" applyFont="1" applyFill="1" applyBorder="1" applyAlignment="1">
      <alignment horizontal="center"/>
    </xf>
    <xf numFmtId="0" fontId="55" fillId="10" borderId="2" xfId="0" applyFont="1" applyFill="1" applyBorder="1" applyAlignment="1">
      <alignment horizontal="center"/>
    </xf>
    <xf numFmtId="0" fontId="57" fillId="11" borderId="2" xfId="0" applyFont="1" applyFill="1" applyBorder="1" applyAlignment="1">
      <alignment horizontal="center"/>
    </xf>
    <xf numFmtId="0" fontId="55" fillId="0" borderId="2" xfId="0" applyFont="1" applyBorder="1" applyAlignment="1" applyProtection="1">
      <alignment horizontal="center"/>
      <protection locked="0"/>
    </xf>
    <xf numFmtId="0" fontId="55" fillId="11" borderId="2" xfId="0" applyFont="1" applyFill="1" applyBorder="1" applyAlignment="1">
      <alignment horizontal="center"/>
    </xf>
    <xf numFmtId="0" fontId="62" fillId="0" borderId="2" xfId="0" applyFont="1" applyFill="1" applyBorder="1" applyAlignment="1" applyProtection="1">
      <alignment horizontal="center" vertical="center"/>
      <protection locked="0"/>
    </xf>
    <xf numFmtId="0" fontId="57" fillId="11" borderId="3" xfId="0" applyFont="1" applyFill="1" applyBorder="1" applyAlignment="1">
      <alignment horizontal="center" vertical="center"/>
    </xf>
    <xf numFmtId="0" fontId="57" fillId="0" borderId="2" xfId="0" applyFont="1" applyFill="1" applyBorder="1" applyAlignment="1">
      <alignment horizontal="center"/>
    </xf>
    <xf numFmtId="0" fontId="38" fillId="0" borderId="0" xfId="0" applyFont="1" applyBorder="1" applyAlignment="1">
      <alignment horizontal="center" vertical="center"/>
    </xf>
    <xf numFmtId="0" fontId="14" fillId="12" borderId="2" xfId="0" applyFont="1" applyFill="1" applyBorder="1" applyAlignment="1">
      <alignment horizontal="center"/>
    </xf>
    <xf numFmtId="0" fontId="55" fillId="12" borderId="2" xfId="0" applyFont="1" applyFill="1" applyBorder="1" applyAlignment="1">
      <alignment horizontal="center"/>
    </xf>
    <xf numFmtId="0" fontId="54" fillId="0" borderId="2" xfId="0" applyFont="1" applyFill="1" applyBorder="1" applyAlignment="1">
      <alignment horizontal="center"/>
    </xf>
    <xf numFmtId="0" fontId="56" fillId="11" borderId="2" xfId="0" applyFont="1" applyFill="1" applyBorder="1" applyAlignment="1">
      <alignment horizontal="center" vertical="center"/>
    </xf>
    <xf numFmtId="0" fontId="55" fillId="0" borderId="2" xfId="0" applyFont="1" applyFill="1" applyBorder="1" applyAlignment="1">
      <alignment horizontal="center"/>
    </xf>
    <xf numFmtId="0" fontId="55" fillId="0" borderId="47" xfId="0" applyFont="1" applyFill="1" applyBorder="1" applyAlignment="1" applyProtection="1">
      <alignment horizontal="center" vertical="center"/>
      <protection locked="0"/>
    </xf>
    <xf numFmtId="0" fontId="55" fillId="2" borderId="2" xfId="0" applyFont="1" applyFill="1" applyBorder="1" applyAlignment="1">
      <alignment horizontal="center"/>
    </xf>
    <xf numFmtId="0" fontId="55" fillId="14" borderId="51" xfId="0" applyFont="1" applyFill="1" applyBorder="1" applyAlignment="1">
      <alignment horizontal="center"/>
    </xf>
    <xf numFmtId="0" fontId="56" fillId="14" borderId="52" xfId="0" applyFont="1" applyFill="1" applyBorder="1" applyAlignment="1">
      <alignment horizontal="center" vertical="center"/>
    </xf>
    <xf numFmtId="0" fontId="64" fillId="13" borderId="2" xfId="0" applyFont="1" applyFill="1" applyBorder="1" applyAlignment="1">
      <alignment horizontal="center"/>
    </xf>
    <xf numFmtId="0" fontId="14" fillId="15" borderId="2" xfId="0" applyFont="1" applyFill="1" applyBorder="1" applyAlignment="1">
      <alignment horizontal="center"/>
    </xf>
    <xf numFmtId="0" fontId="55" fillId="15" borderId="2" xfId="0" applyFont="1" applyFill="1" applyBorder="1" applyAlignment="1">
      <alignment horizontal="center"/>
    </xf>
    <xf numFmtId="14" fontId="38" fillId="0" borderId="0" xfId="0" applyNumberFormat="1" applyFont="1" applyBorder="1" applyAlignment="1">
      <alignment horizontal="center" vertical="center"/>
    </xf>
    <xf numFmtId="0" fontId="55" fillId="14" borderId="51" xfId="0" applyFont="1" applyFill="1" applyBorder="1" applyAlignment="1"/>
    <xf numFmtId="0" fontId="55" fillId="14" borderId="52" xfId="0" applyFont="1" applyFill="1" applyBorder="1" applyAlignment="1"/>
    <xf numFmtId="0" fontId="55" fillId="2" borderId="47" xfId="0" applyFont="1" applyFill="1" applyBorder="1" applyAlignment="1" applyProtection="1">
      <alignment horizontal="center" vertical="center"/>
      <protection locked="0"/>
    </xf>
    <xf numFmtId="0" fontId="55" fillId="2" borderId="2" xfId="0" quotePrefix="1" applyFont="1" applyFill="1" applyBorder="1" applyAlignment="1" applyProtection="1">
      <alignment horizontal="center"/>
      <protection locked="0"/>
    </xf>
    <xf numFmtId="0" fontId="56" fillId="2" borderId="47" xfId="0" applyFont="1" applyFill="1" applyBorder="1" applyAlignment="1" applyProtection="1">
      <alignment horizontal="center" vertical="center"/>
      <protection locked="0"/>
    </xf>
    <xf numFmtId="0" fontId="55" fillId="2" borderId="47" xfId="0" applyFont="1" applyFill="1" applyBorder="1" applyAlignment="1" applyProtection="1">
      <alignment horizontal="center"/>
      <protection locked="0"/>
    </xf>
    <xf numFmtId="0" fontId="55" fillId="0" borderId="47" xfId="0" applyFont="1" applyFill="1" applyBorder="1" applyAlignment="1" applyProtection="1">
      <alignment horizontal="center"/>
      <protection locked="0"/>
    </xf>
    <xf numFmtId="0" fontId="55" fillId="16" borderId="2" xfId="0" applyFont="1" applyFill="1" applyBorder="1" applyAlignment="1" applyProtection="1">
      <alignment horizontal="center" vertical="center"/>
      <protection locked="0"/>
    </xf>
    <xf numFmtId="0" fontId="55" fillId="2" borderId="48" xfId="0" applyFont="1" applyFill="1" applyBorder="1" applyAlignment="1" applyProtection="1">
      <alignment vertical="center"/>
      <protection locked="0"/>
    </xf>
    <xf numFmtId="0" fontId="56" fillId="16" borderId="2" xfId="0" applyFont="1" applyFill="1" applyBorder="1" applyAlignment="1" applyProtection="1">
      <alignment horizontal="center" vertical="center"/>
      <protection locked="0"/>
    </xf>
    <xf numFmtId="0" fontId="55" fillId="13" borderId="2" xfId="0" applyFont="1" applyFill="1" applyBorder="1" applyAlignment="1" applyProtection="1">
      <alignment horizontal="center"/>
      <protection locked="0"/>
    </xf>
    <xf numFmtId="0" fontId="55" fillId="16" borderId="2" xfId="0" applyFont="1" applyFill="1" applyBorder="1" applyAlignment="1">
      <alignment horizontal="center" vertical="center"/>
    </xf>
    <xf numFmtId="0" fontId="66" fillId="3" borderId="2" xfId="0" applyFont="1" applyFill="1" applyBorder="1" applyAlignment="1">
      <alignment horizontal="right" vertical="center"/>
    </xf>
    <xf numFmtId="0" fontId="14" fillId="17" borderId="2" xfId="0" applyFont="1" applyFill="1" applyBorder="1" applyAlignment="1">
      <alignment horizontal="center"/>
    </xf>
    <xf numFmtId="0" fontId="55" fillId="17" borderId="2" xfId="0" applyFont="1" applyFill="1" applyBorder="1" applyAlignment="1">
      <alignment horizontal="center"/>
    </xf>
    <xf numFmtId="0" fontId="0" fillId="0" borderId="0" xfId="0" applyAlignment="1">
      <alignment horizontal="right"/>
    </xf>
    <xf numFmtId="0" fontId="0" fillId="0" borderId="2" xfId="0" applyBorder="1"/>
    <xf numFmtId="0" fontId="64" fillId="0" borderId="0" xfId="0" applyFont="1"/>
    <xf numFmtId="0" fontId="53" fillId="0" borderId="0" xfId="0" applyFont="1"/>
    <xf numFmtId="0" fontId="64" fillId="0" borderId="0" xfId="0" applyFont="1" applyAlignment="1">
      <alignment horizontal="center"/>
    </xf>
    <xf numFmtId="0" fontId="64" fillId="0" borderId="0" xfId="0" applyFont="1" applyBorder="1"/>
    <xf numFmtId="0" fontId="64" fillId="0" borderId="2" xfId="0" applyFont="1" applyBorder="1" applyAlignment="1">
      <alignment horizontal="center"/>
    </xf>
    <xf numFmtId="0" fontId="64" fillId="0" borderId="0" xfId="0" applyFont="1" applyBorder="1" applyAlignment="1">
      <alignment horizontal="center"/>
    </xf>
    <xf numFmtId="0" fontId="55" fillId="0" borderId="8" xfId="0" applyFont="1" applyBorder="1" applyAlignment="1">
      <alignment horizontal="center"/>
    </xf>
    <xf numFmtId="0" fontId="55" fillId="0" borderId="4" xfId="0" applyFont="1" applyBorder="1" applyAlignment="1">
      <alignment horizontal="center"/>
    </xf>
    <xf numFmtId="0" fontId="55" fillId="0" borderId="5" xfId="0" applyFont="1" applyBorder="1" applyAlignment="1">
      <alignment horizontal="center"/>
    </xf>
    <xf numFmtId="0" fontId="53" fillId="0" borderId="66" xfId="0" applyFont="1" applyBorder="1"/>
    <xf numFmtId="0" fontId="53" fillId="0" borderId="67" xfId="0" applyFont="1" applyBorder="1"/>
    <xf numFmtId="0" fontId="53" fillId="0" borderId="68" xfId="0" applyFont="1" applyBorder="1"/>
    <xf numFmtId="0" fontId="55" fillId="0" borderId="2" xfId="0" applyFont="1" applyBorder="1" applyAlignment="1"/>
    <xf numFmtId="0" fontId="55" fillId="0" borderId="0" xfId="0" applyFont="1" applyBorder="1" applyAlignment="1">
      <alignment horizontal="center"/>
    </xf>
    <xf numFmtId="0" fontId="55" fillId="0" borderId="18" xfId="0" applyFont="1" applyBorder="1" applyAlignment="1">
      <alignment horizontal="right"/>
    </xf>
    <xf numFmtId="0" fontId="55" fillId="0" borderId="0" xfId="0" applyFont="1" applyAlignment="1">
      <alignment horizontal="right"/>
    </xf>
    <xf numFmtId="0" fontId="55" fillId="0" borderId="22" xfId="0" applyFont="1" applyBorder="1" applyAlignment="1"/>
    <xf numFmtId="0" fontId="55" fillId="0" borderId="22" xfId="0" applyFont="1" applyBorder="1" applyAlignment="1">
      <alignment horizontal="right"/>
    </xf>
    <xf numFmtId="0" fontId="55" fillId="0" borderId="2" xfId="0" applyFont="1" applyBorder="1" applyAlignment="1">
      <alignment horizontal="center"/>
    </xf>
    <xf numFmtId="0" fontId="55" fillId="0" borderId="0" xfId="0" applyFont="1" applyBorder="1" applyAlignment="1">
      <alignment horizontal="right"/>
    </xf>
    <xf numFmtId="0" fontId="55" fillId="0" borderId="0" xfId="0" applyFont="1" applyAlignment="1">
      <alignment wrapText="1"/>
    </xf>
    <xf numFmtId="0" fontId="2" fillId="0" borderId="0" xfId="0" applyFont="1" applyBorder="1" applyAlignment="1">
      <alignment horizontal="center"/>
    </xf>
    <xf numFmtId="0" fontId="41" fillId="6" borderId="0" xfId="0" applyFont="1" applyFill="1" applyBorder="1" applyAlignment="1"/>
    <xf numFmtId="0" fontId="28" fillId="6" borderId="0" xfId="0" applyFont="1" applyFill="1" applyBorder="1" applyAlignment="1">
      <alignment horizontal="center"/>
    </xf>
    <xf numFmtId="0" fontId="0" fillId="6" borderId="0" xfId="0" applyFill="1" applyBorder="1"/>
    <xf numFmtId="0" fontId="28" fillId="6" borderId="19" xfId="0" applyFont="1" applyFill="1" applyBorder="1" applyAlignment="1">
      <alignment horizontal="center"/>
    </xf>
    <xf numFmtId="0" fontId="28" fillId="0" borderId="2" xfId="0" applyFont="1" applyFill="1" applyBorder="1"/>
    <xf numFmtId="0" fontId="14" fillId="6" borderId="0" xfId="0" applyFont="1" applyFill="1" applyBorder="1" applyAlignment="1">
      <alignment horizontal="center"/>
    </xf>
    <xf numFmtId="0" fontId="28" fillId="0" borderId="2" xfId="0" applyFont="1" applyFill="1" applyBorder="1" applyAlignment="1"/>
    <xf numFmtId="0" fontId="28" fillId="0" borderId="47" xfId="0" applyFont="1" applyFill="1" applyBorder="1"/>
    <xf numFmtId="0" fontId="3" fillId="3" borderId="0" xfId="0" applyFont="1" applyFill="1" applyAlignment="1">
      <alignment horizontal="center"/>
    </xf>
    <xf numFmtId="0" fontId="0" fillId="3" borderId="0" xfId="0" applyFill="1"/>
    <xf numFmtId="0" fontId="55" fillId="0" borderId="15" xfId="0" applyFont="1" applyBorder="1" applyAlignment="1">
      <alignment horizontal="center"/>
    </xf>
    <xf numFmtId="0" fontId="55" fillId="0" borderId="3" xfId="0" applyFont="1" applyBorder="1" applyAlignment="1">
      <alignment horizontal="center"/>
    </xf>
    <xf numFmtId="0" fontId="55" fillId="0" borderId="12" xfId="0" applyFont="1" applyBorder="1" applyAlignment="1">
      <alignment horizontal="center"/>
    </xf>
    <xf numFmtId="0" fontId="55" fillId="0" borderId="48" xfId="0" applyFont="1" applyBorder="1" applyAlignment="1">
      <alignment horizontal="center"/>
    </xf>
    <xf numFmtId="0" fontId="55" fillId="0" borderId="47" xfId="0" applyFont="1" applyBorder="1" applyAlignment="1">
      <alignment horizontal="center"/>
    </xf>
    <xf numFmtId="0" fontId="55" fillId="0" borderId="39" xfId="0" applyFont="1" applyBorder="1" applyAlignment="1">
      <alignment horizontal="center"/>
    </xf>
    <xf numFmtId="0" fontId="55" fillId="0" borderId="40" xfId="0" applyFont="1" applyBorder="1" applyAlignment="1">
      <alignment horizontal="center"/>
    </xf>
    <xf numFmtId="0" fontId="55" fillId="0" borderId="41" xfId="0" applyFont="1" applyBorder="1" applyAlignment="1">
      <alignment horizontal="center"/>
    </xf>
    <xf numFmtId="0" fontId="55" fillId="0" borderId="42" xfId="0" applyFont="1" applyBorder="1" applyAlignment="1">
      <alignment horizontal="center"/>
    </xf>
    <xf numFmtId="0" fontId="55" fillId="0" borderId="43" xfId="0" applyFont="1" applyBorder="1" applyAlignment="1">
      <alignment horizontal="center"/>
    </xf>
    <xf numFmtId="0" fontId="55" fillId="0" borderId="2" xfId="0" applyFont="1" applyBorder="1"/>
    <xf numFmtId="0" fontId="2" fillId="0" borderId="2" xfId="0" applyFont="1" applyBorder="1"/>
    <xf numFmtId="0" fontId="55" fillId="0" borderId="2" xfId="0" applyFont="1" applyBorder="1" applyAlignment="1">
      <alignment horizontal="right"/>
    </xf>
    <xf numFmtId="0" fontId="2" fillId="0" borderId="2" xfId="0" applyFont="1" applyBorder="1" applyAlignment="1">
      <alignment horizontal="right"/>
    </xf>
    <xf numFmtId="0" fontId="2" fillId="0" borderId="0" xfId="0" applyFont="1" applyAlignment="1">
      <alignment horizontal="right"/>
    </xf>
    <xf numFmtId="0" fontId="64" fillId="2" borderId="2" xfId="0" applyFont="1" applyFill="1" applyBorder="1" applyAlignment="1">
      <alignment horizontal="center"/>
    </xf>
    <xf numFmtId="0" fontId="3" fillId="0" borderId="0" xfId="0" applyFont="1" applyAlignment="1"/>
    <xf numFmtId="0" fontId="0" fillId="7" borderId="0" xfId="0" applyFill="1"/>
    <xf numFmtId="0" fontId="0" fillId="0" borderId="65" xfId="0" applyBorder="1"/>
    <xf numFmtId="0" fontId="3" fillId="0" borderId="65" xfId="0" applyFont="1" applyBorder="1"/>
    <xf numFmtId="0" fontId="0" fillId="0" borderId="68" xfId="0" applyBorder="1"/>
    <xf numFmtId="0" fontId="2" fillId="0" borderId="0" xfId="0" applyFont="1" applyAlignment="1">
      <alignment horizontal="center"/>
    </xf>
    <xf numFmtId="0" fontId="37" fillId="0" borderId="0" xfId="0" applyFont="1" applyAlignment="1">
      <alignment horizontal="right"/>
    </xf>
    <xf numFmtId="0" fontId="37" fillId="0" borderId="1" xfId="0" applyFont="1" applyBorder="1" applyAlignment="1">
      <alignment horizontal="right"/>
    </xf>
    <xf numFmtId="0" fontId="8" fillId="0" borderId="21" xfId="0" applyFont="1" applyFill="1" applyBorder="1" applyAlignment="1">
      <alignment horizontal="center"/>
    </xf>
    <xf numFmtId="0" fontId="21" fillId="0" borderId="2" xfId="0" applyFont="1" applyBorder="1" applyAlignment="1">
      <alignment horizontal="center"/>
    </xf>
    <xf numFmtId="0" fontId="46" fillId="0" borderId="0" xfId="0" applyFont="1" applyBorder="1" applyAlignment="1">
      <alignment horizontal="center"/>
    </xf>
    <xf numFmtId="0" fontId="37" fillId="0" borderId="18" xfId="0" applyFont="1" applyFill="1" applyBorder="1" applyAlignment="1">
      <alignment horizontal="center" vertical="center"/>
    </xf>
    <xf numFmtId="0" fontId="37" fillId="0" borderId="1" xfId="0" applyFont="1" applyFill="1" applyBorder="1" applyAlignment="1">
      <alignment horizontal="center" vertical="center"/>
    </xf>
    <xf numFmtId="0" fontId="37" fillId="0" borderId="19" xfId="0" applyNumberFormat="1" applyFont="1" applyFill="1" applyBorder="1" applyAlignment="1" applyProtection="1">
      <alignment horizontal="right" vertical="center"/>
      <protection locked="0"/>
    </xf>
    <xf numFmtId="0" fontId="37" fillId="0" borderId="6" xfId="0" applyNumberFormat="1" applyFont="1" applyFill="1" applyBorder="1" applyAlignment="1" applyProtection="1">
      <alignment horizontal="right" vertical="center"/>
      <protection locked="0"/>
    </xf>
    <xf numFmtId="0" fontId="37" fillId="0" borderId="22" xfId="0" applyFont="1" applyFill="1" applyBorder="1" applyAlignment="1">
      <alignment horizontal="right" vertical="center" wrapText="1"/>
    </xf>
    <xf numFmtId="0" fontId="37" fillId="0" borderId="1" xfId="0" applyFont="1" applyFill="1" applyBorder="1" applyAlignment="1">
      <alignment horizontal="right" vertical="center"/>
    </xf>
    <xf numFmtId="164" fontId="29" fillId="3" borderId="0" xfId="0" applyNumberFormat="1" applyFont="1" applyFill="1" applyAlignment="1" applyProtection="1">
      <alignment horizontal="center" vertical="center"/>
    </xf>
    <xf numFmtId="0" fontId="21" fillId="4" borderId="9" xfId="0" applyFont="1" applyFill="1" applyBorder="1" applyAlignment="1" applyProtection="1">
      <alignment horizontal="center" vertical="center"/>
      <protection locked="0"/>
    </xf>
    <xf numFmtId="0" fontId="21" fillId="4" borderId="22" xfId="0" applyFont="1" applyFill="1" applyBorder="1" applyAlignment="1" applyProtection="1">
      <alignment horizontal="center" vertical="center"/>
      <protection locked="0"/>
    </xf>
    <xf numFmtId="0" fontId="21" fillId="4" borderId="3" xfId="0" applyFont="1" applyFill="1" applyBorder="1" applyAlignment="1" applyProtection="1">
      <alignment horizontal="center" vertical="center"/>
      <protection locked="0"/>
    </xf>
    <xf numFmtId="0" fontId="51" fillId="0" borderId="2" xfId="0" applyFont="1" applyBorder="1" applyAlignment="1">
      <alignment horizontal="center"/>
    </xf>
    <xf numFmtId="0" fontId="14" fillId="0" borderId="2" xfId="0" applyFont="1" applyBorder="1" applyAlignment="1">
      <alignment horizontal="center"/>
    </xf>
    <xf numFmtId="0" fontId="21" fillId="4" borderId="19" xfId="0" applyFont="1" applyFill="1" applyBorder="1" applyAlignment="1">
      <alignment horizontal="center" vertical="center"/>
    </xf>
    <xf numFmtId="0" fontId="21" fillId="4" borderId="18" xfId="0" applyFont="1" applyFill="1" applyBorder="1" applyAlignment="1">
      <alignment horizontal="center" vertical="center"/>
    </xf>
    <xf numFmtId="0" fontId="21" fillId="4" borderId="24" xfId="0" applyFont="1" applyFill="1" applyBorder="1" applyAlignment="1">
      <alignment horizontal="center" vertical="center"/>
    </xf>
    <xf numFmtId="0" fontId="21" fillId="4" borderId="9" xfId="0" applyFont="1" applyFill="1" applyBorder="1" applyAlignment="1">
      <alignment horizontal="center" vertical="center"/>
    </xf>
    <xf numFmtId="0" fontId="21" fillId="4" borderId="22" xfId="0" applyFont="1" applyFill="1" applyBorder="1" applyAlignment="1">
      <alignment horizontal="center" vertical="center"/>
    </xf>
    <xf numFmtId="0" fontId="21" fillId="4" borderId="3" xfId="0" applyFont="1" applyFill="1" applyBorder="1" applyAlignment="1">
      <alignment horizontal="center" vertical="center"/>
    </xf>
    <xf numFmtId="0" fontId="1" fillId="0" borderId="0" xfId="0" applyFont="1" applyFill="1" applyAlignment="1">
      <alignment horizontal="center"/>
    </xf>
    <xf numFmtId="0" fontId="21" fillId="4" borderId="31" xfId="0" applyFont="1" applyFill="1" applyBorder="1" applyAlignment="1" applyProtection="1">
      <alignment horizontal="center" vertical="center"/>
      <protection locked="0"/>
    </xf>
    <xf numFmtId="0" fontId="22" fillId="0" borderId="25" xfId="0" applyFont="1" applyBorder="1" applyAlignment="1">
      <alignment horizontal="center" vertical="center"/>
    </xf>
    <xf numFmtId="0" fontId="6" fillId="0" borderId="26" xfId="0" applyFont="1" applyBorder="1" applyAlignment="1">
      <alignment horizontal="center" vertical="center"/>
    </xf>
    <xf numFmtId="0" fontId="6" fillId="0" borderId="27" xfId="0" applyFont="1" applyBorder="1" applyAlignment="1">
      <alignment horizontal="center" vertical="center"/>
    </xf>
    <xf numFmtId="0" fontId="4" fillId="0" borderId="6" xfId="0" applyFont="1" applyBorder="1" applyAlignment="1">
      <alignment horizontal="center"/>
    </xf>
    <xf numFmtId="0" fontId="4" fillId="0" borderId="1" xfId="0" applyFont="1" applyBorder="1" applyAlignment="1">
      <alignment horizontal="center"/>
    </xf>
    <xf numFmtId="0" fontId="4" fillId="0" borderId="7" xfId="0" applyFont="1" applyBorder="1" applyAlignment="1">
      <alignment horizontal="center"/>
    </xf>
    <xf numFmtId="0" fontId="21" fillId="4" borderId="14" xfId="0" applyFont="1" applyFill="1" applyBorder="1" applyAlignment="1" applyProtection="1">
      <alignment horizontal="center" vertical="center"/>
      <protection locked="0"/>
    </xf>
    <xf numFmtId="0" fontId="21" fillId="4" borderId="15" xfId="0" applyFont="1" applyFill="1" applyBorder="1" applyAlignment="1" applyProtection="1">
      <alignment horizontal="center" vertical="center"/>
      <protection locked="0"/>
    </xf>
    <xf numFmtId="0" fontId="21" fillId="4" borderId="16" xfId="0" applyFon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protection locked="0"/>
    </xf>
    <xf numFmtId="0" fontId="1" fillId="0" borderId="0" xfId="0" applyFont="1" applyFill="1" applyBorder="1" applyAlignment="1">
      <alignment horizontal="center"/>
    </xf>
    <xf numFmtId="0" fontId="21" fillId="4" borderId="23" xfId="0" applyFont="1" applyFill="1" applyBorder="1" applyAlignment="1" applyProtection="1">
      <alignment horizontal="center" vertical="center"/>
      <protection locked="0"/>
    </xf>
    <xf numFmtId="0" fontId="21" fillId="0" borderId="6" xfId="0" applyFont="1" applyBorder="1" applyAlignment="1" applyProtection="1">
      <alignment horizontal="center"/>
    </xf>
    <xf numFmtId="0" fontId="21" fillId="0" borderId="7" xfId="0" applyFont="1" applyBorder="1" applyAlignment="1" applyProtection="1">
      <alignment horizontal="center"/>
    </xf>
    <xf numFmtId="0" fontId="37" fillId="0" borderId="1" xfId="0" applyFont="1" applyFill="1" applyBorder="1" applyAlignment="1">
      <alignment horizontal="right" vertical="center" wrapText="1"/>
    </xf>
    <xf numFmtId="0" fontId="21" fillId="0" borderId="3" xfId="0" applyFont="1" applyBorder="1" applyAlignment="1" applyProtection="1">
      <alignment horizontal="center"/>
    </xf>
    <xf numFmtId="0" fontId="21" fillId="0" borderId="9" xfId="0" applyFont="1" applyBorder="1" applyAlignment="1" applyProtection="1">
      <alignment horizontal="center"/>
    </xf>
    <xf numFmtId="0" fontId="47" fillId="7" borderId="8" xfId="0" applyFont="1" applyFill="1" applyBorder="1" applyAlignment="1">
      <alignment horizontal="center" vertical="center"/>
    </xf>
    <xf numFmtId="0" fontId="47" fillId="7" borderId="4" xfId="0" applyFont="1" applyFill="1" applyBorder="1" applyAlignment="1">
      <alignment horizontal="center" vertical="center"/>
    </xf>
    <xf numFmtId="0" fontId="47" fillId="7" borderId="5" xfId="0" applyFont="1" applyFill="1" applyBorder="1" applyAlignment="1">
      <alignment horizontal="center" vertical="center"/>
    </xf>
    <xf numFmtId="0" fontId="47" fillId="7" borderId="28" xfId="0" applyFont="1" applyFill="1" applyBorder="1" applyAlignment="1">
      <alignment horizontal="center" vertical="center"/>
    </xf>
    <xf numFmtId="0" fontId="47" fillId="7" borderId="0" xfId="0" applyFont="1" applyFill="1" applyBorder="1" applyAlignment="1">
      <alignment horizontal="center" vertical="center"/>
    </xf>
    <xf numFmtId="0" fontId="47" fillId="7" borderId="29" xfId="0" applyFont="1" applyFill="1" applyBorder="1" applyAlignment="1">
      <alignment horizontal="center" vertical="center"/>
    </xf>
    <xf numFmtId="0" fontId="47" fillId="7" borderId="33" xfId="0" applyFont="1" applyFill="1" applyBorder="1" applyAlignment="1">
      <alignment horizontal="center" vertical="center"/>
    </xf>
    <xf numFmtId="0" fontId="47" fillId="7" borderId="35" xfId="0" applyFont="1" applyFill="1" applyBorder="1" applyAlignment="1">
      <alignment horizontal="center" vertical="center"/>
    </xf>
    <xf numFmtId="0" fontId="47" fillId="7" borderId="34" xfId="0" applyFont="1" applyFill="1" applyBorder="1" applyAlignment="1">
      <alignment horizontal="center" vertical="center"/>
    </xf>
    <xf numFmtId="0" fontId="20" fillId="0" borderId="0" xfId="0" applyFont="1" applyFill="1" applyAlignment="1">
      <alignment horizontal="center"/>
    </xf>
    <xf numFmtId="0" fontId="5" fillId="0" borderId="0" xfId="0" applyFont="1" applyFill="1" applyAlignment="1">
      <alignment horizontal="center"/>
    </xf>
    <xf numFmtId="0" fontId="21" fillId="4" borderId="2" xfId="0" applyFont="1" applyFill="1" applyBorder="1" applyAlignment="1" applyProtection="1">
      <alignment horizontal="center" vertical="center"/>
      <protection locked="0"/>
    </xf>
    <xf numFmtId="0" fontId="21" fillId="4" borderId="6" xfId="0" applyFont="1" applyFill="1" applyBorder="1" applyAlignment="1" applyProtection="1">
      <alignment horizontal="center"/>
      <protection locked="0"/>
    </xf>
    <xf numFmtId="0" fontId="21" fillId="4" borderId="1" xfId="0" applyFont="1" applyFill="1" applyBorder="1" applyAlignment="1" applyProtection="1">
      <alignment horizontal="center"/>
      <protection locked="0"/>
    </xf>
    <xf numFmtId="0" fontId="21" fillId="4" borderId="7" xfId="0" applyFont="1" applyFill="1" applyBorder="1" applyAlignment="1" applyProtection="1">
      <alignment horizontal="center"/>
      <protection locked="0"/>
    </xf>
    <xf numFmtId="0" fontId="11" fillId="5" borderId="9" xfId="0" applyFont="1" applyFill="1" applyBorder="1" applyAlignment="1">
      <alignment horizontal="center"/>
    </xf>
    <xf numFmtId="0" fontId="11" fillId="5" borderId="22" xfId="0" applyFont="1" applyFill="1" applyBorder="1" applyAlignment="1">
      <alignment horizontal="center"/>
    </xf>
    <xf numFmtId="0" fontId="21" fillId="4" borderId="30" xfId="0" applyFont="1" applyFill="1" applyBorder="1" applyAlignment="1" applyProtection="1">
      <alignment horizontal="center" vertical="center"/>
      <protection locked="0"/>
    </xf>
    <xf numFmtId="0" fontId="21" fillId="4" borderId="39" xfId="0" applyFont="1" applyFill="1" applyBorder="1" applyAlignment="1" applyProtection="1">
      <alignment horizontal="center" vertical="center"/>
      <protection locked="0"/>
    </xf>
    <xf numFmtId="0" fontId="11" fillId="4" borderId="9" xfId="0" applyFont="1" applyFill="1" applyBorder="1" applyAlignment="1">
      <alignment horizontal="center"/>
    </xf>
    <xf numFmtId="0" fontId="11" fillId="4" borderId="22" xfId="0" applyFont="1" applyFill="1" applyBorder="1" applyAlignment="1">
      <alignment horizontal="center"/>
    </xf>
    <xf numFmtId="0" fontId="11" fillId="4" borderId="3" xfId="0" applyFont="1" applyFill="1" applyBorder="1" applyAlignment="1">
      <alignment horizontal="center"/>
    </xf>
    <xf numFmtId="0" fontId="21" fillId="4" borderId="9" xfId="0" applyFont="1" applyFill="1" applyBorder="1" applyAlignment="1" applyProtection="1">
      <alignment horizontal="center"/>
      <protection locked="0"/>
    </xf>
    <xf numFmtId="0" fontId="21" fillId="4" borderId="22" xfId="0" applyFont="1" applyFill="1" applyBorder="1" applyAlignment="1" applyProtection="1">
      <alignment horizontal="center"/>
      <protection locked="0"/>
    </xf>
    <xf numFmtId="0" fontId="21" fillId="4" borderId="3" xfId="0" applyFont="1" applyFill="1" applyBorder="1" applyAlignment="1" applyProtection="1">
      <alignment horizontal="center"/>
      <protection locked="0"/>
    </xf>
    <xf numFmtId="0" fontId="21" fillId="4" borderId="32" xfId="0" applyFont="1" applyFill="1" applyBorder="1" applyAlignment="1" applyProtection="1">
      <alignment horizontal="center" vertical="center"/>
      <protection locked="0"/>
    </xf>
    <xf numFmtId="0" fontId="21" fillId="4" borderId="10" xfId="0" applyFont="1" applyFill="1" applyBorder="1" applyAlignment="1" applyProtection="1">
      <alignment horizontal="center" vertical="center"/>
      <protection locked="0"/>
    </xf>
    <xf numFmtId="0" fontId="21" fillId="4" borderId="12" xfId="0" applyFont="1" applyFill="1" applyBorder="1" applyAlignment="1" applyProtection="1">
      <alignment horizontal="center" vertical="center"/>
      <protection locked="0"/>
    </xf>
    <xf numFmtId="0" fontId="21" fillId="4" borderId="13" xfId="0" applyFont="1" applyFill="1" applyBorder="1" applyAlignment="1" applyProtection="1">
      <alignment horizontal="center" vertical="center"/>
      <protection locked="0"/>
    </xf>
    <xf numFmtId="0" fontId="21" fillId="4" borderId="40" xfId="0" applyFont="1" applyFill="1" applyBorder="1" applyAlignment="1" applyProtection="1">
      <alignment horizontal="center" vertical="center"/>
      <protection locked="0"/>
    </xf>
    <xf numFmtId="0" fontId="21" fillId="4" borderId="11" xfId="0" applyFont="1" applyFill="1" applyBorder="1" applyAlignment="1" applyProtection="1">
      <alignment horizontal="center" vertical="center"/>
      <protection locked="0"/>
    </xf>
    <xf numFmtId="0" fontId="46" fillId="2" borderId="8" xfId="0" applyFont="1" applyFill="1" applyBorder="1" applyAlignment="1">
      <alignment horizontal="center" vertical="center"/>
    </xf>
    <xf numFmtId="0" fontId="46" fillId="2" borderId="5" xfId="0" applyFont="1" applyFill="1" applyBorder="1" applyAlignment="1">
      <alignment horizontal="center" vertical="center"/>
    </xf>
    <xf numFmtId="0" fontId="46" fillId="2" borderId="28" xfId="0" applyFont="1" applyFill="1" applyBorder="1" applyAlignment="1">
      <alignment horizontal="center" vertical="center"/>
    </xf>
    <xf numFmtId="0" fontId="46" fillId="2" borderId="29" xfId="0" applyFont="1" applyFill="1" applyBorder="1" applyAlignment="1">
      <alignment horizontal="center" vertical="center"/>
    </xf>
    <xf numFmtId="0" fontId="46" fillId="2" borderId="33" xfId="0" applyFont="1" applyFill="1" applyBorder="1" applyAlignment="1">
      <alignment horizontal="center" vertical="center"/>
    </xf>
    <xf numFmtId="0" fontId="46" fillId="2" borderId="34" xfId="0" applyFont="1" applyFill="1" applyBorder="1" applyAlignment="1">
      <alignment horizontal="center" vertical="center"/>
    </xf>
    <xf numFmtId="0" fontId="55" fillId="0" borderId="0" xfId="0" applyFont="1" applyAlignment="1">
      <alignment horizontal="center" wrapText="1"/>
    </xf>
    <xf numFmtId="0" fontId="55" fillId="0" borderId="1" xfId="0" applyFont="1" applyBorder="1" applyAlignment="1">
      <alignment horizontal="right" wrapText="1"/>
    </xf>
    <xf numFmtId="0" fontId="55" fillId="0" borderId="0" xfId="0" applyFont="1" applyAlignment="1">
      <alignment horizontal="right" vertical="top" wrapText="1"/>
    </xf>
    <xf numFmtId="166" fontId="55" fillId="0" borderId="35" xfId="0" applyNumberFormat="1" applyFont="1" applyBorder="1" applyAlignment="1">
      <alignment horizontal="center"/>
    </xf>
    <xf numFmtId="0" fontId="55" fillId="0" borderId="18" xfId="0" applyFont="1" applyBorder="1" applyAlignment="1">
      <alignment horizontal="center" wrapText="1"/>
    </xf>
    <xf numFmtId="0" fontId="55" fillId="0" borderId="0" xfId="0" applyFont="1" applyBorder="1" applyAlignment="1">
      <alignment horizontal="center" wrapText="1"/>
    </xf>
    <xf numFmtId="0" fontId="55" fillId="0" borderId="0" xfId="0" applyFont="1" applyBorder="1" applyAlignment="1">
      <alignment horizontal="right" wrapText="1"/>
    </xf>
    <xf numFmtId="0" fontId="55" fillId="0" borderId="1" xfId="0" applyFont="1" applyBorder="1" applyAlignment="1">
      <alignment horizontal="right" vertical="top" wrapText="1"/>
    </xf>
    <xf numFmtId="0" fontId="55" fillId="0" borderId="66" xfId="0" applyFont="1" applyBorder="1" applyAlignment="1">
      <alignment horizontal="center" vertical="center"/>
    </xf>
    <xf numFmtId="0" fontId="55" fillId="0" borderId="67" xfId="0" applyFont="1" applyBorder="1" applyAlignment="1">
      <alignment horizontal="center" vertical="center"/>
    </xf>
    <xf numFmtId="0" fontId="55" fillId="0" borderId="68" xfId="0" applyFont="1" applyBorder="1" applyAlignment="1">
      <alignment horizontal="center" vertical="center"/>
    </xf>
    <xf numFmtId="0" fontId="54" fillId="0" borderId="22" xfId="0" applyFont="1" applyBorder="1" applyAlignment="1">
      <alignment horizontal="center" vertical="center" wrapText="1"/>
    </xf>
    <xf numFmtId="0" fontId="55" fillId="0" borderId="22" xfId="0" applyFont="1" applyBorder="1" applyAlignment="1">
      <alignment horizontal="center" vertical="center" wrapText="1"/>
    </xf>
    <xf numFmtId="0" fontId="55" fillId="0" borderId="22" xfId="0" applyFont="1" applyBorder="1" applyAlignment="1">
      <alignment horizontal="center" wrapText="1"/>
    </xf>
    <xf numFmtId="0" fontId="55" fillId="0" borderId="2" xfId="0" applyFont="1" applyBorder="1" applyAlignment="1">
      <alignment horizontal="center"/>
    </xf>
    <xf numFmtId="0" fontId="38" fillId="0" borderId="0" xfId="0" applyFont="1" applyBorder="1" applyAlignment="1">
      <alignment horizontal="center" vertical="center"/>
    </xf>
    <xf numFmtId="0" fontId="14" fillId="17" borderId="2" xfId="0" applyFont="1" applyFill="1" applyBorder="1" applyAlignment="1">
      <alignment horizontal="center"/>
    </xf>
    <xf numFmtId="0" fontId="55" fillId="3" borderId="2" xfId="0" applyFont="1" applyFill="1" applyBorder="1" applyAlignment="1">
      <alignment horizontal="center"/>
    </xf>
    <xf numFmtId="0" fontId="55" fillId="2" borderId="57" xfId="0" applyFont="1" applyFill="1" applyBorder="1" applyAlignment="1" applyProtection="1">
      <alignment horizontal="center"/>
      <protection locked="0"/>
    </xf>
    <xf numFmtId="0" fontId="55" fillId="2" borderId="58" xfId="0" applyFont="1" applyFill="1" applyBorder="1" applyAlignment="1" applyProtection="1">
      <alignment horizontal="center"/>
      <protection locked="0"/>
    </xf>
    <xf numFmtId="0" fontId="55" fillId="2" borderId="59" xfId="0" applyFont="1" applyFill="1" applyBorder="1" applyAlignment="1" applyProtection="1">
      <alignment horizontal="center"/>
      <protection locked="0"/>
    </xf>
    <xf numFmtId="0" fontId="55" fillId="2" borderId="60" xfId="0" applyFont="1" applyFill="1" applyBorder="1" applyAlignment="1" applyProtection="1">
      <alignment horizontal="center"/>
      <protection locked="0"/>
    </xf>
    <xf numFmtId="164" fontId="55" fillId="3" borderId="47" xfId="0" applyNumberFormat="1" applyFont="1" applyFill="1" applyBorder="1" applyAlignment="1" applyProtection="1">
      <alignment horizontal="center"/>
    </xf>
    <xf numFmtId="164" fontId="55" fillId="3" borderId="26" xfId="0" applyNumberFormat="1" applyFont="1" applyFill="1" applyBorder="1" applyAlignment="1" applyProtection="1">
      <alignment horizontal="center"/>
    </xf>
    <xf numFmtId="164" fontId="55" fillId="3" borderId="7" xfId="0" applyNumberFormat="1" applyFont="1" applyFill="1" applyBorder="1" applyAlignment="1" applyProtection="1">
      <alignment horizontal="center"/>
    </xf>
    <xf numFmtId="0" fontId="55" fillId="2" borderId="61" xfId="0" applyFont="1" applyFill="1" applyBorder="1" applyAlignment="1" applyProtection="1">
      <alignment horizontal="center"/>
      <protection locked="0"/>
    </xf>
    <xf numFmtId="0" fontId="55" fillId="2" borderId="62" xfId="0" applyFont="1" applyFill="1" applyBorder="1" applyAlignment="1" applyProtection="1">
      <alignment horizontal="center"/>
      <protection locked="0"/>
    </xf>
    <xf numFmtId="0" fontId="55" fillId="2" borderId="63" xfId="0" applyFont="1" applyFill="1" applyBorder="1" applyAlignment="1" applyProtection="1">
      <alignment horizontal="center"/>
      <protection locked="0"/>
    </xf>
    <xf numFmtId="0" fontId="55" fillId="2" borderId="64" xfId="0" applyFont="1" applyFill="1" applyBorder="1" applyAlignment="1" applyProtection="1">
      <alignment horizontal="center"/>
      <protection locked="0"/>
    </xf>
    <xf numFmtId="0" fontId="65" fillId="2" borderId="57" xfId="0" applyFont="1" applyFill="1" applyBorder="1" applyAlignment="1" applyProtection="1">
      <alignment horizontal="center"/>
      <protection locked="0"/>
    </xf>
    <xf numFmtId="0" fontId="65" fillId="2" borderId="58" xfId="0" applyFont="1" applyFill="1" applyBorder="1" applyAlignment="1" applyProtection="1">
      <alignment horizontal="center"/>
      <protection locked="0"/>
    </xf>
    <xf numFmtId="0" fontId="65" fillId="11" borderId="53" xfId="0" applyFont="1" applyFill="1" applyBorder="1" applyAlignment="1">
      <alignment horizontal="center"/>
    </xf>
    <xf numFmtId="0" fontId="65" fillId="11" borderId="54" xfId="0" applyFont="1" applyFill="1" applyBorder="1" applyAlignment="1">
      <alignment horizontal="center"/>
    </xf>
    <xf numFmtId="0" fontId="55" fillId="11" borderId="53" xfId="0" applyFont="1" applyFill="1" applyBorder="1" applyAlignment="1" applyProtection="1">
      <alignment horizontal="center"/>
      <protection locked="0"/>
    </xf>
    <xf numFmtId="0" fontId="55" fillId="11" borderId="54" xfId="0" applyFont="1" applyFill="1" applyBorder="1" applyAlignment="1" applyProtection="1">
      <alignment horizontal="center"/>
      <protection locked="0"/>
    </xf>
    <xf numFmtId="0" fontId="55" fillId="11" borderId="55" xfId="0" applyFont="1" applyFill="1" applyBorder="1" applyAlignment="1" applyProtection="1">
      <alignment horizontal="center"/>
      <protection locked="0"/>
    </xf>
    <xf numFmtId="0" fontId="55" fillId="11" borderId="56" xfId="0" applyFont="1" applyFill="1" applyBorder="1" applyAlignment="1" applyProtection="1">
      <alignment horizontal="center"/>
      <protection locked="0"/>
    </xf>
    <xf numFmtId="0" fontId="63" fillId="3" borderId="49" xfId="0" applyFont="1" applyFill="1" applyBorder="1" applyAlignment="1">
      <alignment horizontal="center"/>
    </xf>
    <xf numFmtId="0" fontId="63" fillId="3" borderId="50" xfId="0" applyFont="1" applyFill="1" applyBorder="1" applyAlignment="1">
      <alignment horizontal="center"/>
    </xf>
    <xf numFmtId="0" fontId="14" fillId="13" borderId="2" xfId="0" applyFont="1" applyFill="1" applyBorder="1" applyAlignment="1">
      <alignment horizontal="center"/>
    </xf>
    <xf numFmtId="0" fontId="55" fillId="15" borderId="47" xfId="0" applyFont="1" applyFill="1" applyBorder="1" applyAlignment="1">
      <alignment horizontal="center"/>
    </xf>
    <xf numFmtId="0" fontId="55" fillId="15" borderId="26" xfId="0" applyFont="1" applyFill="1" applyBorder="1" applyAlignment="1">
      <alignment horizontal="center"/>
    </xf>
    <xf numFmtId="0" fontId="55" fillId="15" borderId="48" xfId="0" applyFont="1" applyFill="1" applyBorder="1" applyAlignment="1">
      <alignment horizontal="center"/>
    </xf>
    <xf numFmtId="0" fontId="55" fillId="11" borderId="53" xfId="0" applyFont="1" applyFill="1" applyBorder="1" applyAlignment="1">
      <alignment horizontal="center"/>
    </xf>
    <xf numFmtId="0" fontId="55" fillId="11" borderId="54" xfId="0" applyFont="1" applyFill="1" applyBorder="1" applyAlignment="1">
      <alignment horizontal="center"/>
    </xf>
    <xf numFmtId="0" fontId="14" fillId="3" borderId="47" xfId="0" applyFont="1" applyFill="1" applyBorder="1" applyAlignment="1">
      <alignment horizontal="center"/>
    </xf>
    <xf numFmtId="0" fontId="14" fillId="3" borderId="26" xfId="0" applyFont="1" applyFill="1" applyBorder="1" applyAlignment="1">
      <alignment horizontal="center"/>
    </xf>
    <xf numFmtId="0" fontId="14" fillId="3" borderId="48" xfId="0" applyFont="1" applyFill="1" applyBorder="1" applyAlignment="1">
      <alignment horizontal="center"/>
    </xf>
    <xf numFmtId="0" fontId="14" fillId="8" borderId="2" xfId="0" applyFont="1" applyFill="1" applyBorder="1" applyAlignment="1">
      <alignment horizontal="center"/>
    </xf>
    <xf numFmtId="0" fontId="14" fillId="10" borderId="2" xfId="0" applyFont="1" applyFill="1" applyBorder="1" applyAlignment="1">
      <alignment horizontal="center"/>
    </xf>
    <xf numFmtId="0" fontId="14" fillId="12" borderId="47" xfId="0" applyFont="1" applyFill="1" applyBorder="1" applyAlignment="1">
      <alignment horizontal="center"/>
    </xf>
    <xf numFmtId="0" fontId="14" fillId="12" borderId="26" xfId="0" applyFont="1" applyFill="1" applyBorder="1" applyAlignment="1">
      <alignment horizontal="center"/>
    </xf>
    <xf numFmtId="0" fontId="14" fillId="12" borderId="48" xfId="0" applyFont="1" applyFill="1" applyBorder="1" applyAlignment="1">
      <alignment horizontal="center"/>
    </xf>
    <xf numFmtId="0" fontId="28" fillId="4" borderId="19" xfId="0" applyFont="1" applyFill="1" applyBorder="1" applyAlignment="1">
      <alignment horizontal="center" vertical="center"/>
    </xf>
    <xf numFmtId="0" fontId="28" fillId="4" borderId="24" xfId="0" applyFont="1" applyFill="1" applyBorder="1" applyAlignment="1">
      <alignment horizontal="center" vertical="center"/>
    </xf>
    <xf numFmtId="0" fontId="41" fillId="4" borderId="20" xfId="0" applyFont="1" applyFill="1" applyBorder="1" applyAlignment="1">
      <alignment horizontal="center"/>
    </xf>
    <xf numFmtId="0" fontId="41" fillId="4" borderId="6" xfId="0" applyFont="1" applyFill="1" applyBorder="1" applyAlignment="1">
      <alignment horizontal="center"/>
    </xf>
    <xf numFmtId="0" fontId="41" fillId="4" borderId="21" xfId="0" applyFont="1" applyFill="1" applyBorder="1" applyAlignment="1">
      <alignment horizontal="center"/>
    </xf>
    <xf numFmtId="0" fontId="41" fillId="4" borderId="7" xfId="0" applyFont="1" applyFill="1" applyBorder="1" applyAlignment="1">
      <alignment horizontal="center"/>
    </xf>
    <xf numFmtId="0" fontId="59" fillId="4" borderId="2" xfId="0" applyFont="1" applyFill="1" applyBorder="1" applyAlignment="1">
      <alignment horizontal="center" vertical="center"/>
    </xf>
    <xf numFmtId="0" fontId="14" fillId="9" borderId="2" xfId="0" applyFont="1" applyFill="1" applyBorder="1" applyAlignment="1">
      <alignment horizontal="center"/>
    </xf>
    <xf numFmtId="0" fontId="4" fillId="0" borderId="2" xfId="0" applyFont="1" applyBorder="1" applyAlignment="1">
      <alignment horizontal="center"/>
    </xf>
    <xf numFmtId="0" fontId="41" fillId="0" borderId="47" xfId="0" applyFont="1" applyBorder="1" applyAlignment="1">
      <alignment horizontal="center"/>
    </xf>
    <xf numFmtId="0" fontId="41" fillId="0" borderId="48" xfId="0" applyFont="1" applyBorder="1" applyAlignment="1">
      <alignment horizontal="center"/>
    </xf>
    <xf numFmtId="0" fontId="41" fillId="0" borderId="26" xfId="0" applyFont="1" applyBorder="1" applyAlignment="1">
      <alignment horizontal="center"/>
    </xf>
    <xf numFmtId="0" fontId="41" fillId="0" borderId="24" xfId="0" applyFont="1" applyBorder="1" applyAlignment="1">
      <alignment horizontal="center"/>
    </xf>
    <xf numFmtId="0" fontId="41" fillId="0" borderId="21" xfId="0" applyFont="1" applyBorder="1" applyAlignment="1">
      <alignment horizontal="center"/>
    </xf>
    <xf numFmtId="164" fontId="41" fillId="3" borderId="2" xfId="0" applyNumberFormat="1" applyFont="1" applyFill="1" applyBorder="1" applyAlignment="1">
      <alignment horizontal="center"/>
    </xf>
    <xf numFmtId="0" fontId="41" fillId="0" borderId="24" xfId="0" applyFont="1" applyFill="1" applyBorder="1" applyAlignment="1">
      <alignment horizontal="center"/>
    </xf>
    <xf numFmtId="0" fontId="41" fillId="0" borderId="21" xfId="0" applyFont="1" applyFill="1" applyBorder="1" applyAlignment="1">
      <alignment horizontal="center"/>
    </xf>
    <xf numFmtId="0" fontId="41" fillId="0" borderId="47" xfId="0" applyFont="1" applyFill="1" applyBorder="1" applyAlignment="1">
      <alignment horizontal="center"/>
    </xf>
    <xf numFmtId="0" fontId="41" fillId="0" borderId="26" xfId="0" applyFont="1" applyFill="1" applyBorder="1" applyAlignment="1">
      <alignment horizontal="center"/>
    </xf>
    <xf numFmtId="0" fontId="41" fillId="0" borderId="48" xfId="0" applyFont="1" applyFill="1" applyBorder="1" applyAlignment="1">
      <alignment horizontal="center"/>
    </xf>
    <xf numFmtId="0" fontId="48" fillId="0" borderId="47" xfId="0" applyFont="1" applyBorder="1" applyAlignment="1">
      <alignment horizontal="center"/>
    </xf>
    <xf numFmtId="0" fontId="48" fillId="0" borderId="26" xfId="0" applyFont="1" applyBorder="1" applyAlignment="1">
      <alignment horizontal="center"/>
    </xf>
    <xf numFmtId="0" fontId="48" fillId="0" borderId="48" xfId="0" applyFont="1" applyBorder="1" applyAlignment="1">
      <alignment horizontal="center"/>
    </xf>
    <xf numFmtId="0" fontId="41" fillId="0" borderId="19" xfId="0" applyFont="1" applyBorder="1" applyAlignment="1">
      <alignment horizontal="center"/>
    </xf>
    <xf numFmtId="0" fontId="41" fillId="0" borderId="20" xfId="0" applyFont="1" applyBorder="1" applyAlignment="1">
      <alignment horizontal="center"/>
    </xf>
    <xf numFmtId="0" fontId="41" fillId="0" borderId="6" xfId="0" applyFont="1" applyBorder="1" applyAlignment="1">
      <alignment horizontal="center"/>
    </xf>
    <xf numFmtId="0" fontId="41" fillId="0" borderId="0" xfId="0" applyFont="1" applyFill="1" applyBorder="1" applyAlignment="1">
      <alignment horizontal="center"/>
    </xf>
    <xf numFmtId="0" fontId="41" fillId="0" borderId="0" xfId="0" applyFont="1" applyFill="1" applyAlignment="1">
      <alignment horizontal="center"/>
    </xf>
    <xf numFmtId="0" fontId="49" fillId="0" borderId="47" xfId="0" applyFont="1" applyBorder="1" applyAlignment="1">
      <alignment horizontal="center"/>
    </xf>
    <xf numFmtId="0" fontId="49" fillId="0" borderId="26" xfId="0" applyFont="1" applyBorder="1" applyAlignment="1">
      <alignment horizontal="center"/>
    </xf>
    <xf numFmtId="0" fontId="49" fillId="0" borderId="48" xfId="0" applyFont="1" applyBorder="1" applyAlignment="1">
      <alignment horizontal="center"/>
    </xf>
    <xf numFmtId="0" fontId="41" fillId="0" borderId="7" xfId="0" applyFont="1" applyBorder="1" applyAlignment="1">
      <alignment horizontal="center"/>
    </xf>
    <xf numFmtId="0" fontId="41" fillId="0" borderId="7" xfId="0" applyFont="1" applyFill="1" applyBorder="1" applyAlignment="1">
      <alignment horizontal="center"/>
    </xf>
    <xf numFmtId="0" fontId="50" fillId="0" borderId="47" xfId="0" applyFont="1" applyBorder="1" applyAlignment="1">
      <alignment horizontal="center"/>
    </xf>
    <xf numFmtId="0" fontId="50" fillId="0" borderId="26" xfId="0" applyFont="1" applyBorder="1" applyAlignment="1">
      <alignment horizontal="center"/>
    </xf>
    <xf numFmtId="0" fontId="50" fillId="0" borderId="48" xfId="0" applyFont="1" applyBorder="1" applyAlignment="1">
      <alignment horizontal="center"/>
    </xf>
    <xf numFmtId="0" fontId="26" fillId="0" borderId="3" xfId="0" applyFont="1" applyFill="1" applyBorder="1" applyAlignment="1">
      <alignment horizontal="center" vertical="center"/>
    </xf>
    <xf numFmtId="0" fontId="26" fillId="0" borderId="9" xfId="0" applyFont="1" applyFill="1" applyBorder="1" applyAlignment="1">
      <alignment horizontal="center" vertical="center"/>
    </xf>
    <xf numFmtId="0" fontId="15" fillId="0" borderId="20" xfId="0" applyFont="1" applyFill="1" applyBorder="1" applyAlignment="1">
      <alignment horizontal="center"/>
    </xf>
    <xf numFmtId="0" fontId="16" fillId="0" borderId="20" xfId="0" applyFont="1" applyFill="1" applyBorder="1" applyAlignment="1">
      <alignment horizontal="center"/>
    </xf>
    <xf numFmtId="164" fontId="17" fillId="0" borderId="20" xfId="0" applyNumberFormat="1" applyFont="1" applyFill="1" applyBorder="1" applyAlignment="1">
      <alignment horizontal="center"/>
    </xf>
    <xf numFmtId="164" fontId="17" fillId="0" borderId="6" xfId="0" applyNumberFormat="1" applyFont="1" applyFill="1" applyBorder="1" applyAlignment="1">
      <alignment horizontal="center"/>
    </xf>
    <xf numFmtId="0" fontId="18" fillId="0" borderId="0" xfId="0" applyFont="1" applyFill="1" applyBorder="1" applyAlignment="1">
      <alignment horizontal="center"/>
    </xf>
    <xf numFmtId="0" fontId="17" fillId="0" borderId="0" xfId="0" applyFont="1" applyFill="1" applyBorder="1" applyAlignment="1">
      <alignment horizontal="center"/>
    </xf>
    <xf numFmtId="164" fontId="17" fillId="3" borderId="0" xfId="0" applyNumberFormat="1" applyFont="1" applyFill="1" applyBorder="1" applyAlignment="1">
      <alignment horizontal="center" vertical="center"/>
    </xf>
    <xf numFmtId="164" fontId="17" fillId="3" borderId="1" xfId="0" applyNumberFormat="1" applyFont="1" applyFill="1" applyBorder="1" applyAlignment="1">
      <alignment horizontal="center" vertical="center"/>
    </xf>
    <xf numFmtId="0" fontId="19" fillId="0" borderId="21" xfId="0" applyFont="1" applyFill="1" applyBorder="1" applyAlignment="1">
      <alignment horizontal="center"/>
    </xf>
    <xf numFmtId="0" fontId="26" fillId="0" borderId="19" xfId="0" applyFont="1" applyFill="1" applyBorder="1" applyAlignment="1">
      <alignment horizontal="center" vertical="center"/>
    </xf>
    <xf numFmtId="0" fontId="26" fillId="0" borderId="20" xfId="0" applyFont="1" applyFill="1" applyBorder="1" applyAlignment="1">
      <alignment horizontal="center" vertical="center"/>
    </xf>
    <xf numFmtId="0" fontId="26" fillId="0" borderId="6" xfId="0" applyFont="1" applyFill="1" applyBorder="1" applyAlignment="1">
      <alignment horizontal="center" vertical="center"/>
    </xf>
    <xf numFmtId="0" fontId="26" fillId="0" borderId="18" xfId="0" applyFont="1" applyFill="1" applyBorder="1" applyAlignment="1">
      <alignment horizontal="center" vertical="center"/>
    </xf>
    <xf numFmtId="0" fontId="26" fillId="0" borderId="0" xfId="0" applyFont="1" applyFill="1" applyBorder="1" applyAlignment="1">
      <alignment horizontal="center" vertical="center"/>
    </xf>
    <xf numFmtId="0" fontId="26" fillId="0" borderId="1" xfId="0" applyFont="1" applyFill="1" applyBorder="1" applyAlignment="1">
      <alignment horizontal="center" vertical="center"/>
    </xf>
    <xf numFmtId="0" fontId="26" fillId="0" borderId="24" xfId="0" applyFont="1" applyFill="1" applyBorder="1" applyAlignment="1">
      <alignment horizontal="center" vertical="center"/>
    </xf>
    <xf numFmtId="0" fontId="26" fillId="0" borderId="21" xfId="0" applyFont="1" applyFill="1" applyBorder="1" applyAlignment="1">
      <alignment horizontal="center" vertical="center"/>
    </xf>
    <xf numFmtId="0" fontId="26" fillId="0" borderId="7" xfId="0" applyFont="1" applyFill="1" applyBorder="1" applyAlignment="1">
      <alignment horizontal="center" vertical="center"/>
    </xf>
    <xf numFmtId="0" fontId="4" fillId="0" borderId="21" xfId="0" applyFont="1" applyFill="1" applyBorder="1" applyAlignment="1">
      <alignment horizontal="center"/>
    </xf>
    <xf numFmtId="0" fontId="17" fillId="0" borderId="21" xfId="0" applyFont="1" applyFill="1" applyBorder="1" applyAlignment="1">
      <alignment horizontal="center"/>
    </xf>
    <xf numFmtId="0" fontId="4" fillId="0" borderId="18" xfId="0" applyFont="1" applyFill="1" applyBorder="1" applyAlignment="1">
      <alignment horizontal="center"/>
    </xf>
    <xf numFmtId="0" fontId="4" fillId="0" borderId="0" xfId="0" applyFont="1" applyFill="1" applyBorder="1" applyAlignment="1">
      <alignment horizontal="center"/>
    </xf>
    <xf numFmtId="0" fontId="25" fillId="0" borderId="0" xfId="0" applyFont="1" applyFill="1" applyBorder="1" applyAlignment="1">
      <alignment horizontal="center"/>
    </xf>
    <xf numFmtId="0" fontId="8" fillId="2" borderId="42" xfId="0" applyFont="1" applyFill="1" applyBorder="1" applyAlignment="1">
      <alignment horizontal="center"/>
    </xf>
    <xf numFmtId="0" fontId="8" fillId="2" borderId="43" xfId="0" applyFont="1" applyFill="1" applyBorder="1" applyAlignment="1">
      <alignment horizontal="center"/>
    </xf>
    <xf numFmtId="165" fontId="8" fillId="2" borderId="37" xfId="0" applyNumberFormat="1" applyFont="1" applyFill="1" applyBorder="1" applyAlignment="1">
      <alignment horizontal="center"/>
    </xf>
    <xf numFmtId="165" fontId="8" fillId="2" borderId="2" xfId="0" applyNumberFormat="1" applyFont="1" applyFill="1" applyBorder="1" applyAlignment="1">
      <alignment horizontal="center"/>
    </xf>
    <xf numFmtId="165" fontId="8" fillId="2" borderId="42" xfId="0" applyNumberFormat="1" applyFont="1" applyFill="1" applyBorder="1" applyAlignment="1">
      <alignment horizontal="center"/>
    </xf>
    <xf numFmtId="0" fontId="8" fillId="2" borderId="37" xfId="0" applyFont="1" applyFill="1" applyBorder="1" applyAlignment="1">
      <alignment horizontal="center"/>
    </xf>
    <xf numFmtId="0" fontId="8" fillId="2" borderId="38" xfId="0" applyFont="1" applyFill="1" applyBorder="1" applyAlignment="1">
      <alignment horizontal="center"/>
    </xf>
    <xf numFmtId="0" fontId="8" fillId="2" borderId="2" xfId="0" applyFont="1" applyFill="1" applyBorder="1" applyAlignment="1">
      <alignment horizontal="center"/>
    </xf>
    <xf numFmtId="0" fontId="8" fillId="2" borderId="40" xfId="0" applyFont="1" applyFill="1" applyBorder="1" applyAlignment="1">
      <alignment horizontal="center"/>
    </xf>
    <xf numFmtId="0" fontId="8" fillId="2" borderId="36" xfId="0" applyFont="1" applyFill="1" applyBorder="1" applyAlignment="1">
      <alignment horizontal="center"/>
    </xf>
    <xf numFmtId="0" fontId="8" fillId="2" borderId="39" xfId="0" applyFont="1" applyFill="1" applyBorder="1" applyAlignment="1">
      <alignment horizontal="center"/>
    </xf>
    <xf numFmtId="0" fontId="8" fillId="2" borderId="41" xfId="0" applyFont="1" applyFill="1" applyBorder="1" applyAlignment="1">
      <alignment horizontal="center"/>
    </xf>
    <xf numFmtId="0" fontId="30" fillId="2" borderId="0" xfId="0" applyFont="1" applyFill="1" applyAlignment="1">
      <alignment horizontal="center" vertical="center"/>
    </xf>
    <xf numFmtId="0" fontId="8" fillId="2" borderId="3" xfId="0" applyFont="1" applyFill="1" applyBorder="1" applyAlignment="1">
      <alignment horizontal="center"/>
    </xf>
    <xf numFmtId="0" fontId="8" fillId="2" borderId="12" xfId="0" applyFont="1" applyFill="1" applyBorder="1" applyAlignment="1">
      <alignment horizontal="center"/>
    </xf>
    <xf numFmtId="165" fontId="8" fillId="2" borderId="3" xfId="0" applyNumberFormat="1" applyFont="1" applyFill="1" applyBorder="1" applyAlignment="1">
      <alignment horizontal="center"/>
    </xf>
    <xf numFmtId="0" fontId="8" fillId="2" borderId="15" xfId="0" applyFont="1" applyFill="1" applyBorder="1" applyAlignment="1">
      <alignment horizontal="center"/>
    </xf>
    <xf numFmtId="0" fontId="34" fillId="2" borderId="0" xfId="0" applyFont="1" applyFill="1" applyAlignment="1">
      <alignment horizontal="center" vertical="center"/>
    </xf>
    <xf numFmtId="0" fontId="35" fillId="2" borderId="0" xfId="0" applyFont="1" applyFill="1" applyAlignment="1">
      <alignment horizontal="center" vertical="center"/>
    </xf>
    <xf numFmtId="0" fontId="36" fillId="2" borderId="0" xfId="0" applyFont="1" applyFill="1" applyAlignment="1">
      <alignment horizontal="center" vertical="center"/>
    </xf>
    <xf numFmtId="0" fontId="8" fillId="2" borderId="8" xfId="0" applyFont="1" applyFill="1" applyBorder="1" applyAlignment="1">
      <alignment horizontal="center" vertical="center"/>
    </xf>
    <xf numFmtId="0" fontId="26" fillId="2" borderId="4" xfId="0" applyFont="1" applyFill="1" applyBorder="1" applyAlignment="1">
      <alignment horizontal="center" vertical="center"/>
    </xf>
    <xf numFmtId="0" fontId="26" fillId="2" borderId="5" xfId="0" applyFont="1" applyFill="1" applyBorder="1" applyAlignment="1">
      <alignment horizontal="center" vertical="center"/>
    </xf>
    <xf numFmtId="0" fontId="26" fillId="2" borderId="33" xfId="0" applyFont="1" applyFill="1" applyBorder="1" applyAlignment="1">
      <alignment horizontal="center" vertical="center"/>
    </xf>
    <xf numFmtId="0" fontId="26" fillId="2" borderId="35" xfId="0" applyFont="1" applyFill="1" applyBorder="1" applyAlignment="1">
      <alignment horizontal="center" vertical="center"/>
    </xf>
    <xf numFmtId="0" fontId="26" fillId="2" borderId="34" xfId="0" applyFont="1" applyFill="1" applyBorder="1" applyAlignment="1">
      <alignment horizontal="center" vertical="center"/>
    </xf>
    <xf numFmtId="0" fontId="31" fillId="3" borderId="8" xfId="0" applyFont="1" applyFill="1" applyBorder="1" applyAlignment="1">
      <alignment horizontal="center" vertical="center"/>
    </xf>
    <xf numFmtId="0" fontId="31" fillId="3" borderId="4" xfId="0" applyFont="1" applyFill="1" applyBorder="1" applyAlignment="1">
      <alignment horizontal="center" vertical="center"/>
    </xf>
    <xf numFmtId="0" fontId="31" fillId="3" borderId="5" xfId="0" applyFont="1" applyFill="1" applyBorder="1" applyAlignment="1">
      <alignment horizontal="center" vertical="center"/>
    </xf>
    <xf numFmtId="0" fontId="31" fillId="3" borderId="33" xfId="0" applyFont="1" applyFill="1" applyBorder="1" applyAlignment="1">
      <alignment horizontal="center" vertical="center"/>
    </xf>
    <xf numFmtId="0" fontId="31" fillId="3" borderId="35" xfId="0" applyFont="1" applyFill="1" applyBorder="1" applyAlignment="1">
      <alignment horizontal="center" vertical="center"/>
    </xf>
    <xf numFmtId="0" fontId="31" fillId="3" borderId="34" xfId="0" applyFont="1" applyFill="1" applyBorder="1" applyAlignment="1">
      <alignment horizontal="center" vertical="center"/>
    </xf>
    <xf numFmtId="0" fontId="33" fillId="2" borderId="44" xfId="0" applyFont="1" applyFill="1" applyBorder="1" applyAlignment="1">
      <alignment horizontal="center"/>
    </xf>
    <xf numFmtId="0" fontId="32" fillId="2" borderId="45" xfId="0" applyFont="1" applyFill="1" applyBorder="1" applyAlignment="1">
      <alignment horizontal="center"/>
    </xf>
    <xf numFmtId="0" fontId="33" fillId="2" borderId="45" xfId="0" applyFont="1" applyFill="1" applyBorder="1" applyAlignment="1">
      <alignment horizontal="center"/>
    </xf>
    <xf numFmtId="0" fontId="33" fillId="2" borderId="46" xfId="0" applyFont="1" applyFill="1" applyBorder="1" applyAlignment="1">
      <alignment horizontal="center"/>
    </xf>
    <xf numFmtId="0" fontId="3" fillId="0" borderId="0" xfId="0" applyFont="1" applyAlignment="1">
      <alignment horizontal="center"/>
    </xf>
  </cellXfs>
  <cellStyles count="1">
    <cellStyle name="Normal" xfId="0" builtinId="0"/>
  </cellStyles>
  <dxfs count="200">
    <dxf>
      <font>
        <color theme="0"/>
      </font>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7"/>
        </patternFill>
      </fill>
    </dxf>
    <dxf>
      <fill>
        <patternFill>
          <bgColor rgb="FFFFFF00"/>
        </patternFill>
      </fill>
    </dxf>
    <dxf>
      <fill>
        <patternFill>
          <bgColor rgb="FFFFC000"/>
        </patternFill>
      </fill>
    </dxf>
    <dxf>
      <fill>
        <patternFill>
          <bgColor rgb="FFFF0000"/>
        </patternFill>
      </fill>
    </dxf>
    <dxf>
      <fill>
        <patternFill>
          <bgColor theme="7"/>
        </patternFill>
      </fill>
    </dxf>
    <dxf>
      <fill>
        <patternFill>
          <bgColor rgb="FFFFC000"/>
        </patternFill>
      </fill>
    </dxf>
    <dxf>
      <fill>
        <patternFill>
          <bgColor rgb="FFFF0000"/>
        </patternFill>
      </fill>
    </dxf>
    <dxf>
      <fill>
        <patternFill>
          <bgColor theme="7"/>
        </patternFill>
      </fill>
    </dxf>
    <dxf>
      <fill>
        <patternFill>
          <bgColor rgb="FFFFFF00"/>
        </patternFill>
      </fill>
    </dxf>
    <dxf>
      <fill>
        <patternFill>
          <bgColor theme="8" tint="0.59996337778862885"/>
        </patternFill>
      </fill>
    </dxf>
    <dxf>
      <fill>
        <patternFill>
          <bgColor rgb="FFFFC000"/>
        </patternFill>
      </fill>
    </dxf>
    <dxf>
      <fill>
        <patternFill>
          <bgColor rgb="FFFF0000"/>
        </patternFill>
      </fill>
    </dxf>
    <dxf>
      <fill>
        <patternFill>
          <bgColor theme="7"/>
        </patternFill>
      </fill>
    </dxf>
    <dxf>
      <fill>
        <patternFill>
          <bgColor rgb="FFFFFF00"/>
        </patternFill>
      </fill>
    </dxf>
    <dxf>
      <fill>
        <patternFill>
          <bgColor theme="8" tint="0.59996337778862885"/>
        </patternFill>
      </fill>
    </dxf>
    <dxf>
      <fill>
        <patternFill>
          <bgColor rgb="FFFFC000"/>
        </patternFill>
      </fill>
    </dxf>
    <dxf>
      <fill>
        <patternFill>
          <bgColor rgb="FFFF0000"/>
        </patternFill>
      </fill>
    </dxf>
    <dxf>
      <fill>
        <patternFill>
          <bgColor theme="7"/>
        </patternFill>
      </fill>
    </dxf>
    <dxf>
      <fill>
        <patternFill>
          <bgColor rgb="FFFFFF00"/>
        </patternFill>
      </fill>
    </dxf>
    <dxf>
      <fill>
        <patternFill>
          <bgColor theme="8" tint="0.59996337778862885"/>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strike/>
      </font>
      <fill>
        <patternFill>
          <bgColor rgb="FFC00000"/>
        </patternFill>
      </fill>
    </dxf>
    <dxf>
      <font>
        <strike/>
      </font>
      <fill>
        <patternFill>
          <bgColor theme="7" tint="0.39994506668294322"/>
        </patternFill>
      </fill>
    </dxf>
    <dxf>
      <font>
        <strike/>
      </font>
      <fill>
        <patternFill>
          <bgColor rgb="FFC00000"/>
        </patternFill>
      </fill>
    </dxf>
    <dxf>
      <font>
        <strike/>
      </font>
      <fill>
        <patternFill>
          <bgColor rgb="FFC00000"/>
        </patternFill>
      </fill>
    </dxf>
    <dxf>
      <font>
        <strike/>
      </font>
      <fill>
        <patternFill>
          <bgColor rgb="FFC00000"/>
        </patternFill>
      </fill>
    </dxf>
    <dxf>
      <font>
        <strike/>
      </font>
      <fill>
        <patternFill>
          <bgColor rgb="FFC00000"/>
        </patternFill>
      </fill>
    </dxf>
    <dxf>
      <font>
        <strike/>
      </font>
      <fill>
        <patternFill>
          <bgColor rgb="FFC00000"/>
        </patternFill>
      </fill>
    </dxf>
    <dxf>
      <font>
        <strike/>
      </font>
      <fill>
        <patternFill>
          <bgColor rgb="FFC00000"/>
        </patternFill>
      </fill>
    </dxf>
    <dxf>
      <font>
        <strike/>
      </font>
      <fill>
        <patternFill>
          <bgColor rgb="FFC00000"/>
        </patternFill>
      </fill>
    </dxf>
    <dxf>
      <font>
        <strike/>
      </font>
      <fill>
        <patternFill>
          <bgColor rgb="FFC00000"/>
        </patternFill>
      </fill>
    </dxf>
    <dxf>
      <font>
        <strike/>
      </font>
      <fill>
        <patternFill>
          <bgColor rgb="FFC00000"/>
        </patternFill>
      </fill>
    </dxf>
    <dxf>
      <font>
        <strike/>
      </font>
      <fill>
        <patternFill>
          <bgColor rgb="FFC00000"/>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s>
  <tableStyles count="0" defaultTableStyle="TableStyleMedium9" defaultPivotStyle="PivotStyleLight16"/>
  <colors>
    <mruColors>
      <color rgb="FF990000"/>
      <color rgb="FF0070C0"/>
      <color rgb="FF006600"/>
      <color rgb="FF00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26</xdr:col>
      <xdr:colOff>161925</xdr:colOff>
      <xdr:row>29</xdr:row>
      <xdr:rowOff>38100</xdr:rowOff>
    </xdr:from>
    <xdr:to>
      <xdr:col>26</xdr:col>
      <xdr:colOff>295275</xdr:colOff>
      <xdr:row>30</xdr:row>
      <xdr:rowOff>76200</xdr:rowOff>
    </xdr:to>
    <xdr:sp macro="" textlink="">
      <xdr:nvSpPr>
        <xdr:cNvPr id="16141" name="AutoShape 54"/>
        <xdr:cNvSpPr>
          <a:spLocks noChangeArrowheads="1"/>
        </xdr:cNvSpPr>
      </xdr:nvSpPr>
      <xdr:spPr bwMode="auto">
        <a:xfrm>
          <a:off x="11772900"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25</xdr:col>
      <xdr:colOff>161925</xdr:colOff>
      <xdr:row>29</xdr:row>
      <xdr:rowOff>38100</xdr:rowOff>
    </xdr:from>
    <xdr:to>
      <xdr:col>25</xdr:col>
      <xdr:colOff>295275</xdr:colOff>
      <xdr:row>30</xdr:row>
      <xdr:rowOff>76200</xdr:rowOff>
    </xdr:to>
    <xdr:sp macro="" textlink="">
      <xdr:nvSpPr>
        <xdr:cNvPr id="16142" name="AutoShape 55"/>
        <xdr:cNvSpPr>
          <a:spLocks noChangeArrowheads="1"/>
        </xdr:cNvSpPr>
      </xdr:nvSpPr>
      <xdr:spPr bwMode="auto">
        <a:xfrm>
          <a:off x="11325225"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2</xdr:col>
      <xdr:colOff>161925</xdr:colOff>
      <xdr:row>29</xdr:row>
      <xdr:rowOff>38100</xdr:rowOff>
    </xdr:from>
    <xdr:to>
      <xdr:col>2</xdr:col>
      <xdr:colOff>295275</xdr:colOff>
      <xdr:row>30</xdr:row>
      <xdr:rowOff>76200</xdr:rowOff>
    </xdr:to>
    <xdr:sp macro="" textlink="">
      <xdr:nvSpPr>
        <xdr:cNvPr id="16143" name="AutoShape 56"/>
        <xdr:cNvSpPr>
          <a:spLocks noChangeArrowheads="1"/>
        </xdr:cNvSpPr>
      </xdr:nvSpPr>
      <xdr:spPr bwMode="auto">
        <a:xfrm>
          <a:off x="1028700"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3</xdr:col>
      <xdr:colOff>161925</xdr:colOff>
      <xdr:row>29</xdr:row>
      <xdr:rowOff>38100</xdr:rowOff>
    </xdr:from>
    <xdr:to>
      <xdr:col>3</xdr:col>
      <xdr:colOff>295275</xdr:colOff>
      <xdr:row>30</xdr:row>
      <xdr:rowOff>76200</xdr:rowOff>
    </xdr:to>
    <xdr:sp macro="" textlink="">
      <xdr:nvSpPr>
        <xdr:cNvPr id="16144" name="AutoShape 57"/>
        <xdr:cNvSpPr>
          <a:spLocks noChangeArrowheads="1"/>
        </xdr:cNvSpPr>
      </xdr:nvSpPr>
      <xdr:spPr bwMode="auto">
        <a:xfrm>
          <a:off x="1476375"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4</xdr:col>
      <xdr:colOff>161925</xdr:colOff>
      <xdr:row>29</xdr:row>
      <xdr:rowOff>38100</xdr:rowOff>
    </xdr:from>
    <xdr:to>
      <xdr:col>4</xdr:col>
      <xdr:colOff>295275</xdr:colOff>
      <xdr:row>30</xdr:row>
      <xdr:rowOff>76200</xdr:rowOff>
    </xdr:to>
    <xdr:sp macro="" textlink="">
      <xdr:nvSpPr>
        <xdr:cNvPr id="16145" name="AutoShape 58"/>
        <xdr:cNvSpPr>
          <a:spLocks noChangeArrowheads="1"/>
        </xdr:cNvSpPr>
      </xdr:nvSpPr>
      <xdr:spPr bwMode="auto">
        <a:xfrm>
          <a:off x="1924050"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5</xdr:col>
      <xdr:colOff>171450</xdr:colOff>
      <xdr:row>29</xdr:row>
      <xdr:rowOff>38100</xdr:rowOff>
    </xdr:from>
    <xdr:to>
      <xdr:col>5</xdr:col>
      <xdr:colOff>304800</xdr:colOff>
      <xdr:row>30</xdr:row>
      <xdr:rowOff>76200</xdr:rowOff>
    </xdr:to>
    <xdr:sp macro="" textlink="">
      <xdr:nvSpPr>
        <xdr:cNvPr id="16146" name="AutoShape 59"/>
        <xdr:cNvSpPr>
          <a:spLocks noChangeArrowheads="1"/>
        </xdr:cNvSpPr>
      </xdr:nvSpPr>
      <xdr:spPr bwMode="auto">
        <a:xfrm>
          <a:off x="2381250"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6</xdr:col>
      <xdr:colOff>171450</xdr:colOff>
      <xdr:row>29</xdr:row>
      <xdr:rowOff>38100</xdr:rowOff>
    </xdr:from>
    <xdr:to>
      <xdr:col>6</xdr:col>
      <xdr:colOff>304800</xdr:colOff>
      <xdr:row>30</xdr:row>
      <xdr:rowOff>76200</xdr:rowOff>
    </xdr:to>
    <xdr:sp macro="" textlink="">
      <xdr:nvSpPr>
        <xdr:cNvPr id="16147" name="AutoShape 60"/>
        <xdr:cNvSpPr>
          <a:spLocks noChangeArrowheads="1"/>
        </xdr:cNvSpPr>
      </xdr:nvSpPr>
      <xdr:spPr bwMode="auto">
        <a:xfrm>
          <a:off x="2828925"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7</xdr:col>
      <xdr:colOff>171450</xdr:colOff>
      <xdr:row>29</xdr:row>
      <xdr:rowOff>38100</xdr:rowOff>
    </xdr:from>
    <xdr:to>
      <xdr:col>7</xdr:col>
      <xdr:colOff>304800</xdr:colOff>
      <xdr:row>30</xdr:row>
      <xdr:rowOff>76200</xdr:rowOff>
    </xdr:to>
    <xdr:sp macro="" textlink="">
      <xdr:nvSpPr>
        <xdr:cNvPr id="16148" name="AutoShape 61"/>
        <xdr:cNvSpPr>
          <a:spLocks noChangeArrowheads="1"/>
        </xdr:cNvSpPr>
      </xdr:nvSpPr>
      <xdr:spPr bwMode="auto">
        <a:xfrm>
          <a:off x="3276600"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8</xdr:col>
      <xdr:colOff>161925</xdr:colOff>
      <xdr:row>29</xdr:row>
      <xdr:rowOff>38100</xdr:rowOff>
    </xdr:from>
    <xdr:to>
      <xdr:col>8</xdr:col>
      <xdr:colOff>295275</xdr:colOff>
      <xdr:row>30</xdr:row>
      <xdr:rowOff>76200</xdr:rowOff>
    </xdr:to>
    <xdr:sp macro="" textlink="">
      <xdr:nvSpPr>
        <xdr:cNvPr id="16149" name="AutoShape 62"/>
        <xdr:cNvSpPr>
          <a:spLocks noChangeArrowheads="1"/>
        </xdr:cNvSpPr>
      </xdr:nvSpPr>
      <xdr:spPr bwMode="auto">
        <a:xfrm>
          <a:off x="3714750"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9</xdr:col>
      <xdr:colOff>171450</xdr:colOff>
      <xdr:row>29</xdr:row>
      <xdr:rowOff>38100</xdr:rowOff>
    </xdr:from>
    <xdr:to>
      <xdr:col>9</xdr:col>
      <xdr:colOff>304800</xdr:colOff>
      <xdr:row>30</xdr:row>
      <xdr:rowOff>76200</xdr:rowOff>
    </xdr:to>
    <xdr:sp macro="" textlink="">
      <xdr:nvSpPr>
        <xdr:cNvPr id="16150" name="AutoShape 63"/>
        <xdr:cNvSpPr>
          <a:spLocks noChangeArrowheads="1"/>
        </xdr:cNvSpPr>
      </xdr:nvSpPr>
      <xdr:spPr bwMode="auto">
        <a:xfrm>
          <a:off x="4171950"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10</xdr:col>
      <xdr:colOff>171450</xdr:colOff>
      <xdr:row>29</xdr:row>
      <xdr:rowOff>38100</xdr:rowOff>
    </xdr:from>
    <xdr:to>
      <xdr:col>10</xdr:col>
      <xdr:colOff>304800</xdr:colOff>
      <xdr:row>30</xdr:row>
      <xdr:rowOff>76200</xdr:rowOff>
    </xdr:to>
    <xdr:sp macro="" textlink="">
      <xdr:nvSpPr>
        <xdr:cNvPr id="16151" name="AutoShape 64"/>
        <xdr:cNvSpPr>
          <a:spLocks noChangeArrowheads="1"/>
        </xdr:cNvSpPr>
      </xdr:nvSpPr>
      <xdr:spPr bwMode="auto">
        <a:xfrm>
          <a:off x="4619625"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11</xdr:col>
      <xdr:colOff>171450</xdr:colOff>
      <xdr:row>29</xdr:row>
      <xdr:rowOff>38100</xdr:rowOff>
    </xdr:from>
    <xdr:to>
      <xdr:col>11</xdr:col>
      <xdr:colOff>304800</xdr:colOff>
      <xdr:row>30</xdr:row>
      <xdr:rowOff>76200</xdr:rowOff>
    </xdr:to>
    <xdr:sp macro="" textlink="">
      <xdr:nvSpPr>
        <xdr:cNvPr id="16152" name="AutoShape 65"/>
        <xdr:cNvSpPr>
          <a:spLocks noChangeArrowheads="1"/>
        </xdr:cNvSpPr>
      </xdr:nvSpPr>
      <xdr:spPr bwMode="auto">
        <a:xfrm>
          <a:off x="5067300"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12</xdr:col>
      <xdr:colOff>161925</xdr:colOff>
      <xdr:row>29</xdr:row>
      <xdr:rowOff>38100</xdr:rowOff>
    </xdr:from>
    <xdr:to>
      <xdr:col>12</xdr:col>
      <xdr:colOff>295275</xdr:colOff>
      <xdr:row>30</xdr:row>
      <xdr:rowOff>76200</xdr:rowOff>
    </xdr:to>
    <xdr:sp macro="" textlink="">
      <xdr:nvSpPr>
        <xdr:cNvPr id="16153" name="AutoShape 66"/>
        <xdr:cNvSpPr>
          <a:spLocks noChangeArrowheads="1"/>
        </xdr:cNvSpPr>
      </xdr:nvSpPr>
      <xdr:spPr bwMode="auto">
        <a:xfrm>
          <a:off x="5505450"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13</xdr:col>
      <xdr:colOff>161925</xdr:colOff>
      <xdr:row>29</xdr:row>
      <xdr:rowOff>38100</xdr:rowOff>
    </xdr:from>
    <xdr:to>
      <xdr:col>13</xdr:col>
      <xdr:colOff>295275</xdr:colOff>
      <xdr:row>30</xdr:row>
      <xdr:rowOff>76200</xdr:rowOff>
    </xdr:to>
    <xdr:sp macro="" textlink="">
      <xdr:nvSpPr>
        <xdr:cNvPr id="16154" name="AutoShape 67"/>
        <xdr:cNvSpPr>
          <a:spLocks noChangeArrowheads="1"/>
        </xdr:cNvSpPr>
      </xdr:nvSpPr>
      <xdr:spPr bwMode="auto">
        <a:xfrm>
          <a:off x="5953125"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15</xdr:col>
      <xdr:colOff>171450</xdr:colOff>
      <xdr:row>29</xdr:row>
      <xdr:rowOff>38100</xdr:rowOff>
    </xdr:from>
    <xdr:to>
      <xdr:col>15</xdr:col>
      <xdr:colOff>304800</xdr:colOff>
      <xdr:row>30</xdr:row>
      <xdr:rowOff>76200</xdr:rowOff>
    </xdr:to>
    <xdr:sp macro="" textlink="">
      <xdr:nvSpPr>
        <xdr:cNvPr id="16156" name="AutoShape 69"/>
        <xdr:cNvSpPr>
          <a:spLocks noChangeArrowheads="1"/>
        </xdr:cNvSpPr>
      </xdr:nvSpPr>
      <xdr:spPr bwMode="auto">
        <a:xfrm>
          <a:off x="6858000"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16</xdr:col>
      <xdr:colOff>171450</xdr:colOff>
      <xdr:row>29</xdr:row>
      <xdr:rowOff>38100</xdr:rowOff>
    </xdr:from>
    <xdr:to>
      <xdr:col>16</xdr:col>
      <xdr:colOff>304800</xdr:colOff>
      <xdr:row>30</xdr:row>
      <xdr:rowOff>76200</xdr:rowOff>
    </xdr:to>
    <xdr:sp macro="" textlink="">
      <xdr:nvSpPr>
        <xdr:cNvPr id="16157" name="AutoShape 70"/>
        <xdr:cNvSpPr>
          <a:spLocks noChangeArrowheads="1"/>
        </xdr:cNvSpPr>
      </xdr:nvSpPr>
      <xdr:spPr bwMode="auto">
        <a:xfrm>
          <a:off x="7305675"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24</xdr:col>
      <xdr:colOff>171450</xdr:colOff>
      <xdr:row>29</xdr:row>
      <xdr:rowOff>38100</xdr:rowOff>
    </xdr:from>
    <xdr:to>
      <xdr:col>24</xdr:col>
      <xdr:colOff>304800</xdr:colOff>
      <xdr:row>30</xdr:row>
      <xdr:rowOff>76200</xdr:rowOff>
    </xdr:to>
    <xdr:sp macro="" textlink="">
      <xdr:nvSpPr>
        <xdr:cNvPr id="16158" name="AutoShape 72"/>
        <xdr:cNvSpPr>
          <a:spLocks noChangeArrowheads="1"/>
        </xdr:cNvSpPr>
      </xdr:nvSpPr>
      <xdr:spPr bwMode="auto">
        <a:xfrm>
          <a:off x="10887075"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23</xdr:col>
      <xdr:colOff>161925</xdr:colOff>
      <xdr:row>29</xdr:row>
      <xdr:rowOff>38100</xdr:rowOff>
    </xdr:from>
    <xdr:to>
      <xdr:col>23</xdr:col>
      <xdr:colOff>295275</xdr:colOff>
      <xdr:row>30</xdr:row>
      <xdr:rowOff>76200</xdr:rowOff>
    </xdr:to>
    <xdr:sp macro="" textlink="">
      <xdr:nvSpPr>
        <xdr:cNvPr id="16159" name="AutoShape 73"/>
        <xdr:cNvSpPr>
          <a:spLocks noChangeArrowheads="1"/>
        </xdr:cNvSpPr>
      </xdr:nvSpPr>
      <xdr:spPr bwMode="auto">
        <a:xfrm>
          <a:off x="10429875"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22</xdr:col>
      <xdr:colOff>161925</xdr:colOff>
      <xdr:row>29</xdr:row>
      <xdr:rowOff>38100</xdr:rowOff>
    </xdr:from>
    <xdr:to>
      <xdr:col>22</xdr:col>
      <xdr:colOff>295275</xdr:colOff>
      <xdr:row>30</xdr:row>
      <xdr:rowOff>76200</xdr:rowOff>
    </xdr:to>
    <xdr:sp macro="" textlink="">
      <xdr:nvSpPr>
        <xdr:cNvPr id="16160" name="AutoShape 74"/>
        <xdr:cNvSpPr>
          <a:spLocks noChangeArrowheads="1"/>
        </xdr:cNvSpPr>
      </xdr:nvSpPr>
      <xdr:spPr bwMode="auto">
        <a:xfrm>
          <a:off x="9982200"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21</xdr:col>
      <xdr:colOff>161925</xdr:colOff>
      <xdr:row>29</xdr:row>
      <xdr:rowOff>38100</xdr:rowOff>
    </xdr:from>
    <xdr:to>
      <xdr:col>21</xdr:col>
      <xdr:colOff>295275</xdr:colOff>
      <xdr:row>30</xdr:row>
      <xdr:rowOff>76200</xdr:rowOff>
    </xdr:to>
    <xdr:sp macro="" textlink="">
      <xdr:nvSpPr>
        <xdr:cNvPr id="16161" name="AutoShape 75"/>
        <xdr:cNvSpPr>
          <a:spLocks noChangeArrowheads="1"/>
        </xdr:cNvSpPr>
      </xdr:nvSpPr>
      <xdr:spPr bwMode="auto">
        <a:xfrm>
          <a:off x="9534525"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20</xdr:col>
      <xdr:colOff>161925</xdr:colOff>
      <xdr:row>29</xdr:row>
      <xdr:rowOff>38100</xdr:rowOff>
    </xdr:from>
    <xdr:to>
      <xdr:col>20</xdr:col>
      <xdr:colOff>295275</xdr:colOff>
      <xdr:row>30</xdr:row>
      <xdr:rowOff>76200</xdr:rowOff>
    </xdr:to>
    <xdr:sp macro="" textlink="">
      <xdr:nvSpPr>
        <xdr:cNvPr id="16162" name="AutoShape 76"/>
        <xdr:cNvSpPr>
          <a:spLocks noChangeArrowheads="1"/>
        </xdr:cNvSpPr>
      </xdr:nvSpPr>
      <xdr:spPr bwMode="auto">
        <a:xfrm>
          <a:off x="9086850"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19</xdr:col>
      <xdr:colOff>161925</xdr:colOff>
      <xdr:row>29</xdr:row>
      <xdr:rowOff>38100</xdr:rowOff>
    </xdr:from>
    <xdr:to>
      <xdr:col>19</xdr:col>
      <xdr:colOff>295275</xdr:colOff>
      <xdr:row>30</xdr:row>
      <xdr:rowOff>76200</xdr:rowOff>
    </xdr:to>
    <xdr:sp macro="" textlink="">
      <xdr:nvSpPr>
        <xdr:cNvPr id="16163" name="AutoShape 77"/>
        <xdr:cNvSpPr>
          <a:spLocks noChangeArrowheads="1"/>
        </xdr:cNvSpPr>
      </xdr:nvSpPr>
      <xdr:spPr bwMode="auto">
        <a:xfrm>
          <a:off x="8639175"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20</xdr:col>
      <xdr:colOff>161925</xdr:colOff>
      <xdr:row>0</xdr:row>
      <xdr:rowOff>28575</xdr:rowOff>
    </xdr:from>
    <xdr:to>
      <xdr:col>20</xdr:col>
      <xdr:colOff>295275</xdr:colOff>
      <xdr:row>0</xdr:row>
      <xdr:rowOff>190500</xdr:rowOff>
    </xdr:to>
    <xdr:sp macro="" textlink="">
      <xdr:nvSpPr>
        <xdr:cNvPr id="16164" name="AutoShape 98"/>
        <xdr:cNvSpPr>
          <a:spLocks noChangeArrowheads="1"/>
        </xdr:cNvSpPr>
      </xdr:nvSpPr>
      <xdr:spPr bwMode="auto">
        <a:xfrm>
          <a:off x="9086850"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19</xdr:col>
      <xdr:colOff>152400</xdr:colOff>
      <xdr:row>0</xdr:row>
      <xdr:rowOff>28575</xdr:rowOff>
    </xdr:from>
    <xdr:to>
      <xdr:col>19</xdr:col>
      <xdr:colOff>295275</xdr:colOff>
      <xdr:row>0</xdr:row>
      <xdr:rowOff>200025</xdr:rowOff>
    </xdr:to>
    <xdr:sp macro="" textlink="">
      <xdr:nvSpPr>
        <xdr:cNvPr id="16165" name="AutoShape 103"/>
        <xdr:cNvSpPr>
          <a:spLocks noChangeArrowheads="1"/>
        </xdr:cNvSpPr>
      </xdr:nvSpPr>
      <xdr:spPr bwMode="auto">
        <a:xfrm>
          <a:off x="8629650" y="28575"/>
          <a:ext cx="142875" cy="171450"/>
        </a:xfrm>
        <a:prstGeom prst="upArrow">
          <a:avLst>
            <a:gd name="adj1" fmla="val 50000"/>
            <a:gd name="adj2" fmla="val 30000"/>
          </a:avLst>
        </a:prstGeom>
        <a:solidFill>
          <a:schemeClr val="accent2"/>
        </a:solidFill>
        <a:ln w="9525">
          <a:solidFill>
            <a:srgbClr val="000000"/>
          </a:solidFill>
          <a:miter lim="800000"/>
          <a:headEnd/>
          <a:tailEnd/>
        </a:ln>
      </xdr:spPr>
    </xdr:sp>
    <xdr:clientData/>
  </xdr:twoCellAnchor>
  <xdr:twoCellAnchor>
    <xdr:from>
      <xdr:col>17</xdr:col>
      <xdr:colOff>161925</xdr:colOff>
      <xdr:row>0</xdr:row>
      <xdr:rowOff>19050</xdr:rowOff>
    </xdr:from>
    <xdr:to>
      <xdr:col>17</xdr:col>
      <xdr:colOff>295275</xdr:colOff>
      <xdr:row>0</xdr:row>
      <xdr:rowOff>200025</xdr:rowOff>
    </xdr:to>
    <xdr:sp macro="" textlink="">
      <xdr:nvSpPr>
        <xdr:cNvPr id="16166" name="AutoShape 121"/>
        <xdr:cNvSpPr>
          <a:spLocks noChangeArrowheads="1"/>
        </xdr:cNvSpPr>
      </xdr:nvSpPr>
      <xdr:spPr bwMode="auto">
        <a:xfrm>
          <a:off x="7743825" y="19050"/>
          <a:ext cx="133350" cy="180975"/>
        </a:xfrm>
        <a:prstGeom prst="upArrow">
          <a:avLst>
            <a:gd name="adj1" fmla="val 50000"/>
            <a:gd name="adj2" fmla="val 33929"/>
          </a:avLst>
        </a:prstGeom>
        <a:solidFill>
          <a:schemeClr val="accent2"/>
        </a:solidFill>
        <a:ln w="9525">
          <a:solidFill>
            <a:srgbClr val="000000"/>
          </a:solidFill>
          <a:miter lim="800000"/>
          <a:headEnd/>
          <a:tailEnd/>
        </a:ln>
      </xdr:spPr>
    </xdr:sp>
    <xdr:clientData/>
  </xdr:twoCellAnchor>
  <xdr:twoCellAnchor>
    <xdr:from>
      <xdr:col>18</xdr:col>
      <xdr:colOff>152400</xdr:colOff>
      <xdr:row>0</xdr:row>
      <xdr:rowOff>19050</xdr:rowOff>
    </xdr:from>
    <xdr:to>
      <xdr:col>18</xdr:col>
      <xdr:colOff>285750</xdr:colOff>
      <xdr:row>0</xdr:row>
      <xdr:rowOff>200025</xdr:rowOff>
    </xdr:to>
    <xdr:sp macro="" textlink="">
      <xdr:nvSpPr>
        <xdr:cNvPr id="16167" name="AutoShape 122"/>
        <xdr:cNvSpPr>
          <a:spLocks noChangeArrowheads="1"/>
        </xdr:cNvSpPr>
      </xdr:nvSpPr>
      <xdr:spPr bwMode="auto">
        <a:xfrm>
          <a:off x="8181975" y="19050"/>
          <a:ext cx="133350" cy="180975"/>
        </a:xfrm>
        <a:prstGeom prst="upArrow">
          <a:avLst>
            <a:gd name="adj1" fmla="val 50000"/>
            <a:gd name="adj2" fmla="val 33929"/>
          </a:avLst>
        </a:prstGeom>
        <a:solidFill>
          <a:schemeClr val="accent2"/>
        </a:solidFill>
        <a:ln w="9525">
          <a:solidFill>
            <a:srgbClr val="000000"/>
          </a:solidFill>
          <a:miter lim="800000"/>
          <a:headEnd/>
          <a:tailEnd/>
        </a:ln>
      </xdr:spPr>
    </xdr:sp>
    <xdr:clientData/>
  </xdr:twoCellAnchor>
  <xdr:twoCellAnchor>
    <xdr:from>
      <xdr:col>17</xdr:col>
      <xdr:colOff>161925</xdr:colOff>
      <xdr:row>29</xdr:row>
      <xdr:rowOff>38100</xdr:rowOff>
    </xdr:from>
    <xdr:to>
      <xdr:col>17</xdr:col>
      <xdr:colOff>314325</xdr:colOff>
      <xdr:row>30</xdr:row>
      <xdr:rowOff>85725</xdr:rowOff>
    </xdr:to>
    <xdr:sp macro="" textlink="">
      <xdr:nvSpPr>
        <xdr:cNvPr id="16168" name="AutoShape 133"/>
        <xdr:cNvSpPr>
          <a:spLocks noChangeArrowheads="1"/>
        </xdr:cNvSpPr>
      </xdr:nvSpPr>
      <xdr:spPr bwMode="auto">
        <a:xfrm>
          <a:off x="7743825" y="3438525"/>
          <a:ext cx="152400" cy="152400"/>
        </a:xfrm>
        <a:prstGeom prst="up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18</xdr:col>
      <xdr:colOff>161925</xdr:colOff>
      <xdr:row>29</xdr:row>
      <xdr:rowOff>28575</xdr:rowOff>
    </xdr:from>
    <xdr:to>
      <xdr:col>18</xdr:col>
      <xdr:colOff>314325</xdr:colOff>
      <xdr:row>30</xdr:row>
      <xdr:rowOff>85725</xdr:rowOff>
    </xdr:to>
    <xdr:sp macro="" textlink="">
      <xdr:nvSpPr>
        <xdr:cNvPr id="16169" name="AutoShape 134"/>
        <xdr:cNvSpPr>
          <a:spLocks noChangeArrowheads="1"/>
        </xdr:cNvSpPr>
      </xdr:nvSpPr>
      <xdr:spPr bwMode="auto">
        <a:xfrm>
          <a:off x="8191500" y="3429000"/>
          <a:ext cx="152400" cy="161925"/>
        </a:xfrm>
        <a:prstGeom prst="upArrow">
          <a:avLst>
            <a:gd name="adj1" fmla="val 50000"/>
            <a:gd name="adj2" fmla="val 26563"/>
          </a:avLst>
        </a:prstGeom>
        <a:solidFill>
          <a:srgbClr val="FFFFFF"/>
        </a:solidFill>
        <a:ln w="9525">
          <a:solidFill>
            <a:srgbClr val="000000"/>
          </a:solidFill>
          <a:miter lim="800000"/>
          <a:headEnd/>
          <a:tailEnd/>
        </a:ln>
      </xdr:spPr>
    </xdr:sp>
    <xdr:clientData/>
  </xdr:twoCellAnchor>
  <xdr:twoCellAnchor>
    <xdr:from>
      <xdr:col>1</xdr:col>
      <xdr:colOff>161925</xdr:colOff>
      <xdr:row>29</xdr:row>
      <xdr:rowOff>38100</xdr:rowOff>
    </xdr:from>
    <xdr:to>
      <xdr:col>1</xdr:col>
      <xdr:colOff>295275</xdr:colOff>
      <xdr:row>30</xdr:row>
      <xdr:rowOff>76200</xdr:rowOff>
    </xdr:to>
    <xdr:sp macro="" textlink="">
      <xdr:nvSpPr>
        <xdr:cNvPr id="16170" name="AutoShape 56"/>
        <xdr:cNvSpPr>
          <a:spLocks noChangeArrowheads="1"/>
        </xdr:cNvSpPr>
      </xdr:nvSpPr>
      <xdr:spPr bwMode="auto">
        <a:xfrm>
          <a:off x="581025"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22</xdr:col>
      <xdr:colOff>152400</xdr:colOff>
      <xdr:row>0</xdr:row>
      <xdr:rowOff>28575</xdr:rowOff>
    </xdr:from>
    <xdr:to>
      <xdr:col>22</xdr:col>
      <xdr:colOff>285750</xdr:colOff>
      <xdr:row>0</xdr:row>
      <xdr:rowOff>171450</xdr:rowOff>
    </xdr:to>
    <xdr:sp macro="" textlink="">
      <xdr:nvSpPr>
        <xdr:cNvPr id="16171" name="AutoShape 810"/>
        <xdr:cNvSpPr>
          <a:spLocks noChangeArrowheads="1"/>
        </xdr:cNvSpPr>
      </xdr:nvSpPr>
      <xdr:spPr bwMode="auto">
        <a:xfrm>
          <a:off x="9972675" y="2857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23</xdr:col>
      <xdr:colOff>152400</xdr:colOff>
      <xdr:row>0</xdr:row>
      <xdr:rowOff>28575</xdr:rowOff>
    </xdr:from>
    <xdr:to>
      <xdr:col>23</xdr:col>
      <xdr:colOff>285750</xdr:colOff>
      <xdr:row>0</xdr:row>
      <xdr:rowOff>171450</xdr:rowOff>
    </xdr:to>
    <xdr:sp macro="" textlink="">
      <xdr:nvSpPr>
        <xdr:cNvPr id="16172" name="AutoShape 811"/>
        <xdr:cNvSpPr>
          <a:spLocks noChangeArrowheads="1"/>
        </xdr:cNvSpPr>
      </xdr:nvSpPr>
      <xdr:spPr bwMode="auto">
        <a:xfrm>
          <a:off x="10420350" y="2857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26</xdr:col>
      <xdr:colOff>152400</xdr:colOff>
      <xdr:row>0</xdr:row>
      <xdr:rowOff>28575</xdr:rowOff>
    </xdr:from>
    <xdr:to>
      <xdr:col>26</xdr:col>
      <xdr:colOff>285750</xdr:colOff>
      <xdr:row>0</xdr:row>
      <xdr:rowOff>171450</xdr:rowOff>
    </xdr:to>
    <xdr:sp macro="" textlink="">
      <xdr:nvSpPr>
        <xdr:cNvPr id="16173" name="AutoShape 812"/>
        <xdr:cNvSpPr>
          <a:spLocks noChangeArrowheads="1"/>
        </xdr:cNvSpPr>
      </xdr:nvSpPr>
      <xdr:spPr bwMode="auto">
        <a:xfrm>
          <a:off x="11763375" y="2857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27</xdr:col>
      <xdr:colOff>152400</xdr:colOff>
      <xdr:row>0</xdr:row>
      <xdr:rowOff>28575</xdr:rowOff>
    </xdr:from>
    <xdr:to>
      <xdr:col>27</xdr:col>
      <xdr:colOff>285750</xdr:colOff>
      <xdr:row>0</xdr:row>
      <xdr:rowOff>171450</xdr:rowOff>
    </xdr:to>
    <xdr:sp macro="" textlink="">
      <xdr:nvSpPr>
        <xdr:cNvPr id="16174" name="AutoShape 813"/>
        <xdr:cNvSpPr>
          <a:spLocks noChangeArrowheads="1"/>
        </xdr:cNvSpPr>
      </xdr:nvSpPr>
      <xdr:spPr bwMode="auto">
        <a:xfrm>
          <a:off x="12211050" y="2857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28</xdr:col>
      <xdr:colOff>152400</xdr:colOff>
      <xdr:row>0</xdr:row>
      <xdr:rowOff>28575</xdr:rowOff>
    </xdr:from>
    <xdr:to>
      <xdr:col>28</xdr:col>
      <xdr:colOff>285750</xdr:colOff>
      <xdr:row>0</xdr:row>
      <xdr:rowOff>171450</xdr:rowOff>
    </xdr:to>
    <xdr:sp macro="" textlink="">
      <xdr:nvSpPr>
        <xdr:cNvPr id="16175" name="AutoShape 814"/>
        <xdr:cNvSpPr>
          <a:spLocks noChangeArrowheads="1"/>
        </xdr:cNvSpPr>
      </xdr:nvSpPr>
      <xdr:spPr bwMode="auto">
        <a:xfrm>
          <a:off x="12658725" y="2857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24</xdr:col>
      <xdr:colOff>152400</xdr:colOff>
      <xdr:row>0</xdr:row>
      <xdr:rowOff>28575</xdr:rowOff>
    </xdr:from>
    <xdr:to>
      <xdr:col>24</xdr:col>
      <xdr:colOff>285750</xdr:colOff>
      <xdr:row>0</xdr:row>
      <xdr:rowOff>171450</xdr:rowOff>
    </xdr:to>
    <xdr:sp macro="" textlink="">
      <xdr:nvSpPr>
        <xdr:cNvPr id="16176" name="AutoShape 815"/>
        <xdr:cNvSpPr>
          <a:spLocks noChangeArrowheads="1"/>
        </xdr:cNvSpPr>
      </xdr:nvSpPr>
      <xdr:spPr bwMode="auto">
        <a:xfrm>
          <a:off x="10868025" y="2857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25</xdr:col>
      <xdr:colOff>152400</xdr:colOff>
      <xdr:row>0</xdr:row>
      <xdr:rowOff>28575</xdr:rowOff>
    </xdr:from>
    <xdr:to>
      <xdr:col>25</xdr:col>
      <xdr:colOff>285750</xdr:colOff>
      <xdr:row>0</xdr:row>
      <xdr:rowOff>171450</xdr:rowOff>
    </xdr:to>
    <xdr:sp macro="" textlink="">
      <xdr:nvSpPr>
        <xdr:cNvPr id="16177" name="AutoShape 816"/>
        <xdr:cNvSpPr>
          <a:spLocks noChangeArrowheads="1"/>
        </xdr:cNvSpPr>
      </xdr:nvSpPr>
      <xdr:spPr bwMode="auto">
        <a:xfrm>
          <a:off x="11315700" y="2857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27</xdr:col>
      <xdr:colOff>161925</xdr:colOff>
      <xdr:row>29</xdr:row>
      <xdr:rowOff>38100</xdr:rowOff>
    </xdr:from>
    <xdr:to>
      <xdr:col>27</xdr:col>
      <xdr:colOff>295275</xdr:colOff>
      <xdr:row>30</xdr:row>
      <xdr:rowOff>76200</xdr:rowOff>
    </xdr:to>
    <xdr:sp macro="" textlink="">
      <xdr:nvSpPr>
        <xdr:cNvPr id="16178" name="AutoShape 817"/>
        <xdr:cNvSpPr>
          <a:spLocks noChangeArrowheads="1"/>
        </xdr:cNvSpPr>
      </xdr:nvSpPr>
      <xdr:spPr bwMode="auto">
        <a:xfrm>
          <a:off x="12220575" y="3438525"/>
          <a:ext cx="133350" cy="142875"/>
        </a:xfrm>
        <a:prstGeom prst="upArrow">
          <a:avLst>
            <a:gd name="adj1" fmla="val 50000"/>
            <a:gd name="adj2" fmla="val 26786"/>
          </a:avLst>
        </a:prstGeom>
        <a:solidFill>
          <a:srgbClr val="FFFFFF"/>
        </a:solidFill>
        <a:ln w="9525">
          <a:solidFill>
            <a:srgbClr val="000000"/>
          </a:solidFill>
          <a:miter lim="800000"/>
          <a:headEnd/>
          <a:tailEnd/>
        </a:ln>
      </xdr:spPr>
    </xdr:sp>
    <xdr:clientData/>
  </xdr:twoCellAnchor>
  <xdr:twoCellAnchor>
    <xdr:from>
      <xdr:col>16</xdr:col>
      <xdr:colOff>161925</xdr:colOff>
      <xdr:row>0</xdr:row>
      <xdr:rowOff>19050</xdr:rowOff>
    </xdr:from>
    <xdr:to>
      <xdr:col>16</xdr:col>
      <xdr:colOff>295275</xdr:colOff>
      <xdr:row>0</xdr:row>
      <xdr:rowOff>200025</xdr:rowOff>
    </xdr:to>
    <xdr:sp macro="" textlink="">
      <xdr:nvSpPr>
        <xdr:cNvPr id="16179" name="AutoShape 121"/>
        <xdr:cNvSpPr>
          <a:spLocks noChangeArrowheads="1"/>
        </xdr:cNvSpPr>
      </xdr:nvSpPr>
      <xdr:spPr bwMode="auto">
        <a:xfrm>
          <a:off x="7296150" y="19050"/>
          <a:ext cx="133350" cy="180975"/>
        </a:xfrm>
        <a:prstGeom prst="upArrow">
          <a:avLst>
            <a:gd name="adj1" fmla="val 50000"/>
            <a:gd name="adj2" fmla="val 33929"/>
          </a:avLst>
        </a:prstGeom>
        <a:solidFill>
          <a:schemeClr val="accent2"/>
        </a:solidFill>
        <a:ln w="9525">
          <a:solidFill>
            <a:srgbClr val="000000"/>
          </a:solidFill>
          <a:miter lim="800000"/>
          <a:headEnd/>
          <a:tailEnd/>
        </a:ln>
      </xdr:spPr>
    </xdr:sp>
    <xdr:clientData/>
  </xdr:twoCellAnchor>
  <xdr:twoCellAnchor>
    <xdr:from>
      <xdr:col>15</xdr:col>
      <xdr:colOff>161925</xdr:colOff>
      <xdr:row>0</xdr:row>
      <xdr:rowOff>19050</xdr:rowOff>
    </xdr:from>
    <xdr:to>
      <xdr:col>15</xdr:col>
      <xdr:colOff>295275</xdr:colOff>
      <xdr:row>0</xdr:row>
      <xdr:rowOff>200025</xdr:rowOff>
    </xdr:to>
    <xdr:sp macro="" textlink="">
      <xdr:nvSpPr>
        <xdr:cNvPr id="16180" name="AutoShape 121"/>
        <xdr:cNvSpPr>
          <a:spLocks noChangeArrowheads="1"/>
        </xdr:cNvSpPr>
      </xdr:nvSpPr>
      <xdr:spPr bwMode="auto">
        <a:xfrm>
          <a:off x="6848475" y="19050"/>
          <a:ext cx="133350" cy="180975"/>
        </a:xfrm>
        <a:prstGeom prst="upArrow">
          <a:avLst>
            <a:gd name="adj1" fmla="val 50000"/>
            <a:gd name="adj2" fmla="val 33929"/>
          </a:avLst>
        </a:prstGeom>
        <a:solidFill>
          <a:schemeClr val="accent2"/>
        </a:solidFill>
        <a:ln w="9525">
          <a:solidFill>
            <a:srgbClr val="000000"/>
          </a:solidFill>
          <a:miter lim="800000"/>
          <a:headEnd/>
          <a:tailEnd/>
        </a:ln>
      </xdr:spPr>
    </xdr:sp>
    <xdr:clientData/>
  </xdr:twoCellAnchor>
  <xdr:twoCellAnchor>
    <xdr:from>
      <xdr:col>1</xdr:col>
      <xdr:colOff>152400</xdr:colOff>
      <xdr:row>0</xdr:row>
      <xdr:rowOff>28575</xdr:rowOff>
    </xdr:from>
    <xdr:to>
      <xdr:col>1</xdr:col>
      <xdr:colOff>285750</xdr:colOff>
      <xdr:row>0</xdr:row>
      <xdr:rowOff>190500</xdr:rowOff>
    </xdr:to>
    <xdr:sp macro="" textlink="">
      <xdr:nvSpPr>
        <xdr:cNvPr id="16181" name="AutoShape 30"/>
        <xdr:cNvSpPr>
          <a:spLocks noChangeArrowheads="1"/>
        </xdr:cNvSpPr>
      </xdr:nvSpPr>
      <xdr:spPr bwMode="auto">
        <a:xfrm>
          <a:off x="571500"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2</xdr:col>
      <xdr:colOff>152400</xdr:colOff>
      <xdr:row>0</xdr:row>
      <xdr:rowOff>28575</xdr:rowOff>
    </xdr:from>
    <xdr:to>
      <xdr:col>2</xdr:col>
      <xdr:colOff>285750</xdr:colOff>
      <xdr:row>0</xdr:row>
      <xdr:rowOff>190500</xdr:rowOff>
    </xdr:to>
    <xdr:sp macro="" textlink="">
      <xdr:nvSpPr>
        <xdr:cNvPr id="16182" name="AutoShape 30"/>
        <xdr:cNvSpPr>
          <a:spLocks noChangeArrowheads="1"/>
        </xdr:cNvSpPr>
      </xdr:nvSpPr>
      <xdr:spPr bwMode="auto">
        <a:xfrm>
          <a:off x="1019175"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3</xdr:col>
      <xdr:colOff>152400</xdr:colOff>
      <xdr:row>0</xdr:row>
      <xdr:rowOff>28575</xdr:rowOff>
    </xdr:from>
    <xdr:to>
      <xdr:col>3</xdr:col>
      <xdr:colOff>285750</xdr:colOff>
      <xdr:row>0</xdr:row>
      <xdr:rowOff>190500</xdr:rowOff>
    </xdr:to>
    <xdr:sp macro="" textlink="">
      <xdr:nvSpPr>
        <xdr:cNvPr id="16183" name="AutoShape 30"/>
        <xdr:cNvSpPr>
          <a:spLocks noChangeArrowheads="1"/>
        </xdr:cNvSpPr>
      </xdr:nvSpPr>
      <xdr:spPr bwMode="auto">
        <a:xfrm>
          <a:off x="1466850"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4</xdr:col>
      <xdr:colOff>152400</xdr:colOff>
      <xdr:row>0</xdr:row>
      <xdr:rowOff>28575</xdr:rowOff>
    </xdr:from>
    <xdr:to>
      <xdr:col>4</xdr:col>
      <xdr:colOff>285750</xdr:colOff>
      <xdr:row>0</xdr:row>
      <xdr:rowOff>190500</xdr:rowOff>
    </xdr:to>
    <xdr:sp macro="" textlink="">
      <xdr:nvSpPr>
        <xdr:cNvPr id="16184" name="AutoShape 30"/>
        <xdr:cNvSpPr>
          <a:spLocks noChangeArrowheads="1"/>
        </xdr:cNvSpPr>
      </xdr:nvSpPr>
      <xdr:spPr bwMode="auto">
        <a:xfrm>
          <a:off x="1914525"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5</xdr:col>
      <xdr:colOff>152400</xdr:colOff>
      <xdr:row>0</xdr:row>
      <xdr:rowOff>28575</xdr:rowOff>
    </xdr:from>
    <xdr:to>
      <xdr:col>5</xdr:col>
      <xdr:colOff>285750</xdr:colOff>
      <xdr:row>0</xdr:row>
      <xdr:rowOff>190500</xdr:rowOff>
    </xdr:to>
    <xdr:sp macro="" textlink="">
      <xdr:nvSpPr>
        <xdr:cNvPr id="16185" name="AutoShape 30"/>
        <xdr:cNvSpPr>
          <a:spLocks noChangeArrowheads="1"/>
        </xdr:cNvSpPr>
      </xdr:nvSpPr>
      <xdr:spPr bwMode="auto">
        <a:xfrm>
          <a:off x="2362200"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6</xdr:col>
      <xdr:colOff>152400</xdr:colOff>
      <xdr:row>0</xdr:row>
      <xdr:rowOff>28575</xdr:rowOff>
    </xdr:from>
    <xdr:to>
      <xdr:col>6</xdr:col>
      <xdr:colOff>285750</xdr:colOff>
      <xdr:row>0</xdr:row>
      <xdr:rowOff>190500</xdr:rowOff>
    </xdr:to>
    <xdr:sp macro="" textlink="">
      <xdr:nvSpPr>
        <xdr:cNvPr id="16186" name="AutoShape 30"/>
        <xdr:cNvSpPr>
          <a:spLocks noChangeArrowheads="1"/>
        </xdr:cNvSpPr>
      </xdr:nvSpPr>
      <xdr:spPr bwMode="auto">
        <a:xfrm>
          <a:off x="2809875"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7</xdr:col>
      <xdr:colOff>152400</xdr:colOff>
      <xdr:row>0</xdr:row>
      <xdr:rowOff>28575</xdr:rowOff>
    </xdr:from>
    <xdr:to>
      <xdr:col>7</xdr:col>
      <xdr:colOff>285750</xdr:colOff>
      <xdr:row>0</xdr:row>
      <xdr:rowOff>190500</xdr:rowOff>
    </xdr:to>
    <xdr:sp macro="" textlink="">
      <xdr:nvSpPr>
        <xdr:cNvPr id="16187" name="AutoShape 30"/>
        <xdr:cNvSpPr>
          <a:spLocks noChangeArrowheads="1"/>
        </xdr:cNvSpPr>
      </xdr:nvSpPr>
      <xdr:spPr bwMode="auto">
        <a:xfrm>
          <a:off x="3257550"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8</xdr:col>
      <xdr:colOff>152400</xdr:colOff>
      <xdr:row>0</xdr:row>
      <xdr:rowOff>28575</xdr:rowOff>
    </xdr:from>
    <xdr:to>
      <xdr:col>8</xdr:col>
      <xdr:colOff>285750</xdr:colOff>
      <xdr:row>0</xdr:row>
      <xdr:rowOff>190500</xdr:rowOff>
    </xdr:to>
    <xdr:sp macro="" textlink="">
      <xdr:nvSpPr>
        <xdr:cNvPr id="16188" name="AutoShape 30"/>
        <xdr:cNvSpPr>
          <a:spLocks noChangeArrowheads="1"/>
        </xdr:cNvSpPr>
      </xdr:nvSpPr>
      <xdr:spPr bwMode="auto">
        <a:xfrm>
          <a:off x="3705225"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9</xdr:col>
      <xdr:colOff>152400</xdr:colOff>
      <xdr:row>0</xdr:row>
      <xdr:rowOff>28575</xdr:rowOff>
    </xdr:from>
    <xdr:to>
      <xdr:col>9</xdr:col>
      <xdr:colOff>285750</xdr:colOff>
      <xdr:row>0</xdr:row>
      <xdr:rowOff>190500</xdr:rowOff>
    </xdr:to>
    <xdr:sp macro="" textlink="">
      <xdr:nvSpPr>
        <xdr:cNvPr id="16189" name="AutoShape 30"/>
        <xdr:cNvSpPr>
          <a:spLocks noChangeArrowheads="1"/>
        </xdr:cNvSpPr>
      </xdr:nvSpPr>
      <xdr:spPr bwMode="auto">
        <a:xfrm>
          <a:off x="4152900"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10</xdr:col>
      <xdr:colOff>152400</xdr:colOff>
      <xdr:row>0</xdr:row>
      <xdr:rowOff>28575</xdr:rowOff>
    </xdr:from>
    <xdr:to>
      <xdr:col>10</xdr:col>
      <xdr:colOff>285750</xdr:colOff>
      <xdr:row>0</xdr:row>
      <xdr:rowOff>190500</xdr:rowOff>
    </xdr:to>
    <xdr:sp macro="" textlink="">
      <xdr:nvSpPr>
        <xdr:cNvPr id="16190" name="AutoShape 30"/>
        <xdr:cNvSpPr>
          <a:spLocks noChangeArrowheads="1"/>
        </xdr:cNvSpPr>
      </xdr:nvSpPr>
      <xdr:spPr bwMode="auto">
        <a:xfrm>
          <a:off x="4600575"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11</xdr:col>
      <xdr:colOff>152400</xdr:colOff>
      <xdr:row>0</xdr:row>
      <xdr:rowOff>28575</xdr:rowOff>
    </xdr:from>
    <xdr:to>
      <xdr:col>11</xdr:col>
      <xdr:colOff>285750</xdr:colOff>
      <xdr:row>0</xdr:row>
      <xdr:rowOff>190500</xdr:rowOff>
    </xdr:to>
    <xdr:sp macro="" textlink="">
      <xdr:nvSpPr>
        <xdr:cNvPr id="16191" name="AutoShape 30"/>
        <xdr:cNvSpPr>
          <a:spLocks noChangeArrowheads="1"/>
        </xdr:cNvSpPr>
      </xdr:nvSpPr>
      <xdr:spPr bwMode="auto">
        <a:xfrm>
          <a:off x="5048250"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12</xdr:col>
      <xdr:colOff>152400</xdr:colOff>
      <xdr:row>0</xdr:row>
      <xdr:rowOff>28575</xdr:rowOff>
    </xdr:from>
    <xdr:to>
      <xdr:col>12</xdr:col>
      <xdr:colOff>285750</xdr:colOff>
      <xdr:row>0</xdr:row>
      <xdr:rowOff>190500</xdr:rowOff>
    </xdr:to>
    <xdr:sp macro="" textlink="">
      <xdr:nvSpPr>
        <xdr:cNvPr id="16192" name="AutoShape 30"/>
        <xdr:cNvSpPr>
          <a:spLocks noChangeArrowheads="1"/>
        </xdr:cNvSpPr>
      </xdr:nvSpPr>
      <xdr:spPr bwMode="auto">
        <a:xfrm>
          <a:off x="5495925"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13</xdr:col>
      <xdr:colOff>152400</xdr:colOff>
      <xdr:row>0</xdr:row>
      <xdr:rowOff>28575</xdr:rowOff>
    </xdr:from>
    <xdr:to>
      <xdr:col>13</xdr:col>
      <xdr:colOff>285750</xdr:colOff>
      <xdr:row>0</xdr:row>
      <xdr:rowOff>190500</xdr:rowOff>
    </xdr:to>
    <xdr:sp macro="" textlink="">
      <xdr:nvSpPr>
        <xdr:cNvPr id="16193" name="AutoShape 30"/>
        <xdr:cNvSpPr>
          <a:spLocks noChangeArrowheads="1"/>
        </xdr:cNvSpPr>
      </xdr:nvSpPr>
      <xdr:spPr bwMode="auto">
        <a:xfrm>
          <a:off x="5943600"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14</xdr:col>
      <xdr:colOff>152400</xdr:colOff>
      <xdr:row>0</xdr:row>
      <xdr:rowOff>28575</xdr:rowOff>
    </xdr:from>
    <xdr:to>
      <xdr:col>14</xdr:col>
      <xdr:colOff>285750</xdr:colOff>
      <xdr:row>0</xdr:row>
      <xdr:rowOff>190500</xdr:rowOff>
    </xdr:to>
    <xdr:sp macro="" textlink="">
      <xdr:nvSpPr>
        <xdr:cNvPr id="16194" name="AutoShape 30"/>
        <xdr:cNvSpPr>
          <a:spLocks noChangeArrowheads="1"/>
        </xdr:cNvSpPr>
      </xdr:nvSpPr>
      <xdr:spPr bwMode="auto">
        <a:xfrm>
          <a:off x="6391275"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26</xdr:col>
      <xdr:colOff>161925</xdr:colOff>
      <xdr:row>29</xdr:row>
      <xdr:rowOff>38100</xdr:rowOff>
    </xdr:from>
    <xdr:to>
      <xdr:col>26</xdr:col>
      <xdr:colOff>295275</xdr:colOff>
      <xdr:row>30</xdr:row>
      <xdr:rowOff>76200</xdr:rowOff>
    </xdr:to>
    <xdr:sp macro="" textlink="">
      <xdr:nvSpPr>
        <xdr:cNvPr id="16195" name="AutoShape 54"/>
        <xdr:cNvSpPr>
          <a:spLocks noChangeArrowheads="1"/>
        </xdr:cNvSpPr>
      </xdr:nvSpPr>
      <xdr:spPr bwMode="auto">
        <a:xfrm>
          <a:off x="1177290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25</xdr:col>
      <xdr:colOff>161925</xdr:colOff>
      <xdr:row>29</xdr:row>
      <xdr:rowOff>38100</xdr:rowOff>
    </xdr:from>
    <xdr:to>
      <xdr:col>25</xdr:col>
      <xdr:colOff>295275</xdr:colOff>
      <xdr:row>30</xdr:row>
      <xdr:rowOff>76200</xdr:rowOff>
    </xdr:to>
    <xdr:sp macro="" textlink="">
      <xdr:nvSpPr>
        <xdr:cNvPr id="16196" name="AutoShape 55"/>
        <xdr:cNvSpPr>
          <a:spLocks noChangeArrowheads="1"/>
        </xdr:cNvSpPr>
      </xdr:nvSpPr>
      <xdr:spPr bwMode="auto">
        <a:xfrm>
          <a:off x="1132522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xdr:col>
      <xdr:colOff>161925</xdr:colOff>
      <xdr:row>29</xdr:row>
      <xdr:rowOff>38100</xdr:rowOff>
    </xdr:from>
    <xdr:to>
      <xdr:col>2</xdr:col>
      <xdr:colOff>295275</xdr:colOff>
      <xdr:row>30</xdr:row>
      <xdr:rowOff>76200</xdr:rowOff>
    </xdr:to>
    <xdr:sp macro="" textlink="">
      <xdr:nvSpPr>
        <xdr:cNvPr id="16197" name="AutoShape 56"/>
        <xdr:cNvSpPr>
          <a:spLocks noChangeArrowheads="1"/>
        </xdr:cNvSpPr>
      </xdr:nvSpPr>
      <xdr:spPr bwMode="auto">
        <a:xfrm>
          <a:off x="102870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3</xdr:col>
      <xdr:colOff>161925</xdr:colOff>
      <xdr:row>29</xdr:row>
      <xdr:rowOff>38100</xdr:rowOff>
    </xdr:from>
    <xdr:to>
      <xdr:col>3</xdr:col>
      <xdr:colOff>295275</xdr:colOff>
      <xdr:row>30</xdr:row>
      <xdr:rowOff>76200</xdr:rowOff>
    </xdr:to>
    <xdr:sp macro="" textlink="">
      <xdr:nvSpPr>
        <xdr:cNvPr id="16198" name="AutoShape 57"/>
        <xdr:cNvSpPr>
          <a:spLocks noChangeArrowheads="1"/>
        </xdr:cNvSpPr>
      </xdr:nvSpPr>
      <xdr:spPr bwMode="auto">
        <a:xfrm>
          <a:off x="147637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4</xdr:col>
      <xdr:colOff>161925</xdr:colOff>
      <xdr:row>29</xdr:row>
      <xdr:rowOff>38100</xdr:rowOff>
    </xdr:from>
    <xdr:to>
      <xdr:col>4</xdr:col>
      <xdr:colOff>295275</xdr:colOff>
      <xdr:row>30</xdr:row>
      <xdr:rowOff>76200</xdr:rowOff>
    </xdr:to>
    <xdr:sp macro="" textlink="">
      <xdr:nvSpPr>
        <xdr:cNvPr id="16199" name="AutoShape 58"/>
        <xdr:cNvSpPr>
          <a:spLocks noChangeArrowheads="1"/>
        </xdr:cNvSpPr>
      </xdr:nvSpPr>
      <xdr:spPr bwMode="auto">
        <a:xfrm>
          <a:off x="192405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5</xdr:col>
      <xdr:colOff>171450</xdr:colOff>
      <xdr:row>29</xdr:row>
      <xdr:rowOff>38100</xdr:rowOff>
    </xdr:from>
    <xdr:to>
      <xdr:col>5</xdr:col>
      <xdr:colOff>304800</xdr:colOff>
      <xdr:row>30</xdr:row>
      <xdr:rowOff>76200</xdr:rowOff>
    </xdr:to>
    <xdr:sp macro="" textlink="">
      <xdr:nvSpPr>
        <xdr:cNvPr id="16200" name="AutoShape 59"/>
        <xdr:cNvSpPr>
          <a:spLocks noChangeArrowheads="1"/>
        </xdr:cNvSpPr>
      </xdr:nvSpPr>
      <xdr:spPr bwMode="auto">
        <a:xfrm>
          <a:off x="238125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6</xdr:col>
      <xdr:colOff>171450</xdr:colOff>
      <xdr:row>29</xdr:row>
      <xdr:rowOff>38100</xdr:rowOff>
    </xdr:from>
    <xdr:to>
      <xdr:col>6</xdr:col>
      <xdr:colOff>304800</xdr:colOff>
      <xdr:row>30</xdr:row>
      <xdr:rowOff>76200</xdr:rowOff>
    </xdr:to>
    <xdr:sp macro="" textlink="">
      <xdr:nvSpPr>
        <xdr:cNvPr id="16201" name="AutoShape 60"/>
        <xdr:cNvSpPr>
          <a:spLocks noChangeArrowheads="1"/>
        </xdr:cNvSpPr>
      </xdr:nvSpPr>
      <xdr:spPr bwMode="auto">
        <a:xfrm>
          <a:off x="282892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7</xdr:col>
      <xdr:colOff>171450</xdr:colOff>
      <xdr:row>29</xdr:row>
      <xdr:rowOff>38100</xdr:rowOff>
    </xdr:from>
    <xdr:to>
      <xdr:col>7</xdr:col>
      <xdr:colOff>304800</xdr:colOff>
      <xdr:row>30</xdr:row>
      <xdr:rowOff>76200</xdr:rowOff>
    </xdr:to>
    <xdr:sp macro="" textlink="">
      <xdr:nvSpPr>
        <xdr:cNvPr id="16202" name="AutoShape 61"/>
        <xdr:cNvSpPr>
          <a:spLocks noChangeArrowheads="1"/>
        </xdr:cNvSpPr>
      </xdr:nvSpPr>
      <xdr:spPr bwMode="auto">
        <a:xfrm>
          <a:off x="327660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8</xdr:col>
      <xdr:colOff>161925</xdr:colOff>
      <xdr:row>29</xdr:row>
      <xdr:rowOff>38100</xdr:rowOff>
    </xdr:from>
    <xdr:to>
      <xdr:col>8</xdr:col>
      <xdr:colOff>295275</xdr:colOff>
      <xdr:row>30</xdr:row>
      <xdr:rowOff>76200</xdr:rowOff>
    </xdr:to>
    <xdr:sp macro="" textlink="">
      <xdr:nvSpPr>
        <xdr:cNvPr id="16203" name="AutoShape 62"/>
        <xdr:cNvSpPr>
          <a:spLocks noChangeArrowheads="1"/>
        </xdr:cNvSpPr>
      </xdr:nvSpPr>
      <xdr:spPr bwMode="auto">
        <a:xfrm>
          <a:off x="371475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9</xdr:col>
      <xdr:colOff>171450</xdr:colOff>
      <xdr:row>29</xdr:row>
      <xdr:rowOff>38100</xdr:rowOff>
    </xdr:from>
    <xdr:to>
      <xdr:col>9</xdr:col>
      <xdr:colOff>304800</xdr:colOff>
      <xdr:row>30</xdr:row>
      <xdr:rowOff>76200</xdr:rowOff>
    </xdr:to>
    <xdr:sp macro="" textlink="">
      <xdr:nvSpPr>
        <xdr:cNvPr id="16204" name="AutoShape 63"/>
        <xdr:cNvSpPr>
          <a:spLocks noChangeArrowheads="1"/>
        </xdr:cNvSpPr>
      </xdr:nvSpPr>
      <xdr:spPr bwMode="auto">
        <a:xfrm>
          <a:off x="417195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10</xdr:col>
      <xdr:colOff>171450</xdr:colOff>
      <xdr:row>29</xdr:row>
      <xdr:rowOff>38100</xdr:rowOff>
    </xdr:from>
    <xdr:to>
      <xdr:col>10</xdr:col>
      <xdr:colOff>304800</xdr:colOff>
      <xdr:row>30</xdr:row>
      <xdr:rowOff>76200</xdr:rowOff>
    </xdr:to>
    <xdr:sp macro="" textlink="">
      <xdr:nvSpPr>
        <xdr:cNvPr id="16205" name="AutoShape 64"/>
        <xdr:cNvSpPr>
          <a:spLocks noChangeArrowheads="1"/>
        </xdr:cNvSpPr>
      </xdr:nvSpPr>
      <xdr:spPr bwMode="auto">
        <a:xfrm>
          <a:off x="461962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11</xdr:col>
      <xdr:colOff>171450</xdr:colOff>
      <xdr:row>29</xdr:row>
      <xdr:rowOff>38100</xdr:rowOff>
    </xdr:from>
    <xdr:to>
      <xdr:col>11</xdr:col>
      <xdr:colOff>304800</xdr:colOff>
      <xdr:row>30</xdr:row>
      <xdr:rowOff>76200</xdr:rowOff>
    </xdr:to>
    <xdr:sp macro="" textlink="">
      <xdr:nvSpPr>
        <xdr:cNvPr id="16206" name="AutoShape 65"/>
        <xdr:cNvSpPr>
          <a:spLocks noChangeArrowheads="1"/>
        </xdr:cNvSpPr>
      </xdr:nvSpPr>
      <xdr:spPr bwMode="auto">
        <a:xfrm>
          <a:off x="506730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12</xdr:col>
      <xdr:colOff>161925</xdr:colOff>
      <xdr:row>29</xdr:row>
      <xdr:rowOff>38100</xdr:rowOff>
    </xdr:from>
    <xdr:to>
      <xdr:col>12</xdr:col>
      <xdr:colOff>295275</xdr:colOff>
      <xdr:row>30</xdr:row>
      <xdr:rowOff>76200</xdr:rowOff>
    </xdr:to>
    <xdr:sp macro="" textlink="">
      <xdr:nvSpPr>
        <xdr:cNvPr id="16207" name="AutoShape 66"/>
        <xdr:cNvSpPr>
          <a:spLocks noChangeArrowheads="1"/>
        </xdr:cNvSpPr>
      </xdr:nvSpPr>
      <xdr:spPr bwMode="auto">
        <a:xfrm>
          <a:off x="550545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13</xdr:col>
      <xdr:colOff>161925</xdr:colOff>
      <xdr:row>29</xdr:row>
      <xdr:rowOff>38100</xdr:rowOff>
    </xdr:from>
    <xdr:to>
      <xdr:col>13</xdr:col>
      <xdr:colOff>295275</xdr:colOff>
      <xdr:row>30</xdr:row>
      <xdr:rowOff>76200</xdr:rowOff>
    </xdr:to>
    <xdr:sp macro="" textlink="">
      <xdr:nvSpPr>
        <xdr:cNvPr id="16208" name="AutoShape 67"/>
        <xdr:cNvSpPr>
          <a:spLocks noChangeArrowheads="1"/>
        </xdr:cNvSpPr>
      </xdr:nvSpPr>
      <xdr:spPr bwMode="auto">
        <a:xfrm>
          <a:off x="595312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15</xdr:col>
      <xdr:colOff>171450</xdr:colOff>
      <xdr:row>29</xdr:row>
      <xdr:rowOff>38100</xdr:rowOff>
    </xdr:from>
    <xdr:to>
      <xdr:col>15</xdr:col>
      <xdr:colOff>304800</xdr:colOff>
      <xdr:row>30</xdr:row>
      <xdr:rowOff>76200</xdr:rowOff>
    </xdr:to>
    <xdr:sp macro="" textlink="">
      <xdr:nvSpPr>
        <xdr:cNvPr id="16210" name="AutoShape 69"/>
        <xdr:cNvSpPr>
          <a:spLocks noChangeArrowheads="1"/>
        </xdr:cNvSpPr>
      </xdr:nvSpPr>
      <xdr:spPr bwMode="auto">
        <a:xfrm>
          <a:off x="685800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16</xdr:col>
      <xdr:colOff>171450</xdr:colOff>
      <xdr:row>29</xdr:row>
      <xdr:rowOff>38100</xdr:rowOff>
    </xdr:from>
    <xdr:to>
      <xdr:col>16</xdr:col>
      <xdr:colOff>304800</xdr:colOff>
      <xdr:row>30</xdr:row>
      <xdr:rowOff>76200</xdr:rowOff>
    </xdr:to>
    <xdr:sp macro="" textlink="">
      <xdr:nvSpPr>
        <xdr:cNvPr id="16211" name="AutoShape 70"/>
        <xdr:cNvSpPr>
          <a:spLocks noChangeArrowheads="1"/>
        </xdr:cNvSpPr>
      </xdr:nvSpPr>
      <xdr:spPr bwMode="auto">
        <a:xfrm>
          <a:off x="730567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24</xdr:col>
      <xdr:colOff>171450</xdr:colOff>
      <xdr:row>29</xdr:row>
      <xdr:rowOff>38100</xdr:rowOff>
    </xdr:from>
    <xdr:to>
      <xdr:col>24</xdr:col>
      <xdr:colOff>304800</xdr:colOff>
      <xdr:row>30</xdr:row>
      <xdr:rowOff>76200</xdr:rowOff>
    </xdr:to>
    <xdr:sp macro="" textlink="">
      <xdr:nvSpPr>
        <xdr:cNvPr id="16212" name="AutoShape 72"/>
        <xdr:cNvSpPr>
          <a:spLocks noChangeArrowheads="1"/>
        </xdr:cNvSpPr>
      </xdr:nvSpPr>
      <xdr:spPr bwMode="auto">
        <a:xfrm>
          <a:off x="1088707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23</xdr:col>
      <xdr:colOff>161925</xdr:colOff>
      <xdr:row>29</xdr:row>
      <xdr:rowOff>38100</xdr:rowOff>
    </xdr:from>
    <xdr:to>
      <xdr:col>23</xdr:col>
      <xdr:colOff>295275</xdr:colOff>
      <xdr:row>30</xdr:row>
      <xdr:rowOff>76200</xdr:rowOff>
    </xdr:to>
    <xdr:sp macro="" textlink="">
      <xdr:nvSpPr>
        <xdr:cNvPr id="16213" name="AutoShape 73"/>
        <xdr:cNvSpPr>
          <a:spLocks noChangeArrowheads="1"/>
        </xdr:cNvSpPr>
      </xdr:nvSpPr>
      <xdr:spPr bwMode="auto">
        <a:xfrm>
          <a:off x="1042987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22</xdr:col>
      <xdr:colOff>161925</xdr:colOff>
      <xdr:row>29</xdr:row>
      <xdr:rowOff>38100</xdr:rowOff>
    </xdr:from>
    <xdr:to>
      <xdr:col>22</xdr:col>
      <xdr:colOff>295275</xdr:colOff>
      <xdr:row>30</xdr:row>
      <xdr:rowOff>76200</xdr:rowOff>
    </xdr:to>
    <xdr:sp macro="" textlink="">
      <xdr:nvSpPr>
        <xdr:cNvPr id="16214" name="AutoShape 74"/>
        <xdr:cNvSpPr>
          <a:spLocks noChangeArrowheads="1"/>
        </xdr:cNvSpPr>
      </xdr:nvSpPr>
      <xdr:spPr bwMode="auto">
        <a:xfrm>
          <a:off x="998220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21</xdr:col>
      <xdr:colOff>161925</xdr:colOff>
      <xdr:row>29</xdr:row>
      <xdr:rowOff>38100</xdr:rowOff>
    </xdr:from>
    <xdr:to>
      <xdr:col>21</xdr:col>
      <xdr:colOff>295275</xdr:colOff>
      <xdr:row>30</xdr:row>
      <xdr:rowOff>76200</xdr:rowOff>
    </xdr:to>
    <xdr:sp macro="" textlink="">
      <xdr:nvSpPr>
        <xdr:cNvPr id="16215" name="AutoShape 75"/>
        <xdr:cNvSpPr>
          <a:spLocks noChangeArrowheads="1"/>
        </xdr:cNvSpPr>
      </xdr:nvSpPr>
      <xdr:spPr bwMode="auto">
        <a:xfrm>
          <a:off x="953452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20</xdr:col>
      <xdr:colOff>161925</xdr:colOff>
      <xdr:row>29</xdr:row>
      <xdr:rowOff>38100</xdr:rowOff>
    </xdr:from>
    <xdr:to>
      <xdr:col>20</xdr:col>
      <xdr:colOff>295275</xdr:colOff>
      <xdr:row>30</xdr:row>
      <xdr:rowOff>76200</xdr:rowOff>
    </xdr:to>
    <xdr:sp macro="" textlink="">
      <xdr:nvSpPr>
        <xdr:cNvPr id="16216" name="AutoShape 76"/>
        <xdr:cNvSpPr>
          <a:spLocks noChangeArrowheads="1"/>
        </xdr:cNvSpPr>
      </xdr:nvSpPr>
      <xdr:spPr bwMode="auto">
        <a:xfrm>
          <a:off x="908685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19</xdr:col>
      <xdr:colOff>161925</xdr:colOff>
      <xdr:row>29</xdr:row>
      <xdr:rowOff>38100</xdr:rowOff>
    </xdr:from>
    <xdr:to>
      <xdr:col>19</xdr:col>
      <xdr:colOff>295275</xdr:colOff>
      <xdr:row>30</xdr:row>
      <xdr:rowOff>76200</xdr:rowOff>
    </xdr:to>
    <xdr:sp macro="" textlink="">
      <xdr:nvSpPr>
        <xdr:cNvPr id="16217" name="AutoShape 77"/>
        <xdr:cNvSpPr>
          <a:spLocks noChangeArrowheads="1"/>
        </xdr:cNvSpPr>
      </xdr:nvSpPr>
      <xdr:spPr bwMode="auto">
        <a:xfrm>
          <a:off x="863917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17</xdr:col>
      <xdr:colOff>161925</xdr:colOff>
      <xdr:row>29</xdr:row>
      <xdr:rowOff>38100</xdr:rowOff>
    </xdr:from>
    <xdr:to>
      <xdr:col>17</xdr:col>
      <xdr:colOff>314325</xdr:colOff>
      <xdr:row>30</xdr:row>
      <xdr:rowOff>85725</xdr:rowOff>
    </xdr:to>
    <xdr:sp macro="" textlink="">
      <xdr:nvSpPr>
        <xdr:cNvPr id="16218" name="AutoShape 133"/>
        <xdr:cNvSpPr>
          <a:spLocks noChangeArrowheads="1"/>
        </xdr:cNvSpPr>
      </xdr:nvSpPr>
      <xdr:spPr bwMode="auto">
        <a:xfrm>
          <a:off x="7743825" y="3438525"/>
          <a:ext cx="152400" cy="152400"/>
        </a:xfrm>
        <a:prstGeom prst="upArrow">
          <a:avLst>
            <a:gd name="adj1" fmla="val 50000"/>
            <a:gd name="adj2" fmla="val 25000"/>
          </a:avLst>
        </a:prstGeom>
        <a:solidFill>
          <a:schemeClr val="accent2"/>
        </a:solidFill>
        <a:ln w="9525">
          <a:solidFill>
            <a:srgbClr val="000000"/>
          </a:solidFill>
          <a:miter lim="800000"/>
          <a:headEnd/>
          <a:tailEnd/>
        </a:ln>
      </xdr:spPr>
    </xdr:sp>
    <xdr:clientData/>
  </xdr:twoCellAnchor>
  <xdr:twoCellAnchor>
    <xdr:from>
      <xdr:col>18</xdr:col>
      <xdr:colOff>161925</xdr:colOff>
      <xdr:row>29</xdr:row>
      <xdr:rowOff>28575</xdr:rowOff>
    </xdr:from>
    <xdr:to>
      <xdr:col>18</xdr:col>
      <xdr:colOff>314325</xdr:colOff>
      <xdr:row>30</xdr:row>
      <xdr:rowOff>85725</xdr:rowOff>
    </xdr:to>
    <xdr:sp macro="" textlink="">
      <xdr:nvSpPr>
        <xdr:cNvPr id="16219" name="AutoShape 134"/>
        <xdr:cNvSpPr>
          <a:spLocks noChangeArrowheads="1"/>
        </xdr:cNvSpPr>
      </xdr:nvSpPr>
      <xdr:spPr bwMode="auto">
        <a:xfrm>
          <a:off x="8191500" y="3429000"/>
          <a:ext cx="152400" cy="161925"/>
        </a:xfrm>
        <a:prstGeom prst="upArrow">
          <a:avLst>
            <a:gd name="adj1" fmla="val 50000"/>
            <a:gd name="adj2" fmla="val 26563"/>
          </a:avLst>
        </a:prstGeom>
        <a:solidFill>
          <a:schemeClr val="accent2"/>
        </a:solidFill>
        <a:ln w="9525">
          <a:solidFill>
            <a:srgbClr val="000000"/>
          </a:solidFill>
          <a:miter lim="800000"/>
          <a:headEnd/>
          <a:tailEnd/>
        </a:ln>
      </xdr:spPr>
    </xdr:sp>
    <xdr:clientData/>
  </xdr:twoCellAnchor>
  <xdr:twoCellAnchor>
    <xdr:from>
      <xdr:col>1</xdr:col>
      <xdr:colOff>161925</xdr:colOff>
      <xdr:row>29</xdr:row>
      <xdr:rowOff>38100</xdr:rowOff>
    </xdr:from>
    <xdr:to>
      <xdr:col>1</xdr:col>
      <xdr:colOff>295275</xdr:colOff>
      <xdr:row>30</xdr:row>
      <xdr:rowOff>76200</xdr:rowOff>
    </xdr:to>
    <xdr:sp macro="" textlink="">
      <xdr:nvSpPr>
        <xdr:cNvPr id="16220" name="AutoShape 56"/>
        <xdr:cNvSpPr>
          <a:spLocks noChangeArrowheads="1"/>
        </xdr:cNvSpPr>
      </xdr:nvSpPr>
      <xdr:spPr bwMode="auto">
        <a:xfrm>
          <a:off x="58102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27</xdr:col>
      <xdr:colOff>161925</xdr:colOff>
      <xdr:row>29</xdr:row>
      <xdr:rowOff>38100</xdr:rowOff>
    </xdr:from>
    <xdr:to>
      <xdr:col>27</xdr:col>
      <xdr:colOff>295275</xdr:colOff>
      <xdr:row>30</xdr:row>
      <xdr:rowOff>76200</xdr:rowOff>
    </xdr:to>
    <xdr:sp macro="" textlink="">
      <xdr:nvSpPr>
        <xdr:cNvPr id="16221" name="AutoShape 817"/>
        <xdr:cNvSpPr>
          <a:spLocks noChangeArrowheads="1"/>
        </xdr:cNvSpPr>
      </xdr:nvSpPr>
      <xdr:spPr bwMode="auto">
        <a:xfrm>
          <a:off x="1222057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26</xdr:col>
      <xdr:colOff>161925</xdr:colOff>
      <xdr:row>29</xdr:row>
      <xdr:rowOff>38100</xdr:rowOff>
    </xdr:from>
    <xdr:to>
      <xdr:col>26</xdr:col>
      <xdr:colOff>295275</xdr:colOff>
      <xdr:row>30</xdr:row>
      <xdr:rowOff>76200</xdr:rowOff>
    </xdr:to>
    <xdr:sp macro="" textlink="">
      <xdr:nvSpPr>
        <xdr:cNvPr id="83" name="AutoShape 54"/>
        <xdr:cNvSpPr>
          <a:spLocks noChangeArrowheads="1"/>
        </xdr:cNvSpPr>
      </xdr:nvSpPr>
      <xdr:spPr bwMode="auto">
        <a:xfrm>
          <a:off x="1177290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25</xdr:col>
      <xdr:colOff>161925</xdr:colOff>
      <xdr:row>29</xdr:row>
      <xdr:rowOff>38100</xdr:rowOff>
    </xdr:from>
    <xdr:to>
      <xdr:col>25</xdr:col>
      <xdr:colOff>295275</xdr:colOff>
      <xdr:row>30</xdr:row>
      <xdr:rowOff>76200</xdr:rowOff>
    </xdr:to>
    <xdr:sp macro="" textlink="">
      <xdr:nvSpPr>
        <xdr:cNvPr id="84" name="AutoShape 55"/>
        <xdr:cNvSpPr>
          <a:spLocks noChangeArrowheads="1"/>
        </xdr:cNvSpPr>
      </xdr:nvSpPr>
      <xdr:spPr bwMode="auto">
        <a:xfrm>
          <a:off x="1132522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xdr:col>
      <xdr:colOff>161925</xdr:colOff>
      <xdr:row>29</xdr:row>
      <xdr:rowOff>38100</xdr:rowOff>
    </xdr:from>
    <xdr:to>
      <xdr:col>2</xdr:col>
      <xdr:colOff>295275</xdr:colOff>
      <xdr:row>30</xdr:row>
      <xdr:rowOff>76200</xdr:rowOff>
    </xdr:to>
    <xdr:sp macro="" textlink="">
      <xdr:nvSpPr>
        <xdr:cNvPr id="85" name="AutoShape 56"/>
        <xdr:cNvSpPr>
          <a:spLocks noChangeArrowheads="1"/>
        </xdr:cNvSpPr>
      </xdr:nvSpPr>
      <xdr:spPr bwMode="auto">
        <a:xfrm>
          <a:off x="102870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3</xdr:col>
      <xdr:colOff>161925</xdr:colOff>
      <xdr:row>29</xdr:row>
      <xdr:rowOff>38100</xdr:rowOff>
    </xdr:from>
    <xdr:to>
      <xdr:col>3</xdr:col>
      <xdr:colOff>295275</xdr:colOff>
      <xdr:row>30</xdr:row>
      <xdr:rowOff>76200</xdr:rowOff>
    </xdr:to>
    <xdr:sp macro="" textlink="">
      <xdr:nvSpPr>
        <xdr:cNvPr id="86" name="AutoShape 57"/>
        <xdr:cNvSpPr>
          <a:spLocks noChangeArrowheads="1"/>
        </xdr:cNvSpPr>
      </xdr:nvSpPr>
      <xdr:spPr bwMode="auto">
        <a:xfrm>
          <a:off x="147637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4</xdr:col>
      <xdr:colOff>161925</xdr:colOff>
      <xdr:row>29</xdr:row>
      <xdr:rowOff>38100</xdr:rowOff>
    </xdr:from>
    <xdr:to>
      <xdr:col>4</xdr:col>
      <xdr:colOff>295275</xdr:colOff>
      <xdr:row>30</xdr:row>
      <xdr:rowOff>76200</xdr:rowOff>
    </xdr:to>
    <xdr:sp macro="" textlink="">
      <xdr:nvSpPr>
        <xdr:cNvPr id="87" name="AutoShape 58"/>
        <xdr:cNvSpPr>
          <a:spLocks noChangeArrowheads="1"/>
        </xdr:cNvSpPr>
      </xdr:nvSpPr>
      <xdr:spPr bwMode="auto">
        <a:xfrm>
          <a:off x="192405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5</xdr:col>
      <xdr:colOff>171450</xdr:colOff>
      <xdr:row>29</xdr:row>
      <xdr:rowOff>38100</xdr:rowOff>
    </xdr:from>
    <xdr:to>
      <xdr:col>5</xdr:col>
      <xdr:colOff>304800</xdr:colOff>
      <xdr:row>30</xdr:row>
      <xdr:rowOff>76200</xdr:rowOff>
    </xdr:to>
    <xdr:sp macro="" textlink="">
      <xdr:nvSpPr>
        <xdr:cNvPr id="88" name="AutoShape 59"/>
        <xdr:cNvSpPr>
          <a:spLocks noChangeArrowheads="1"/>
        </xdr:cNvSpPr>
      </xdr:nvSpPr>
      <xdr:spPr bwMode="auto">
        <a:xfrm>
          <a:off x="238125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6</xdr:col>
      <xdr:colOff>171450</xdr:colOff>
      <xdr:row>29</xdr:row>
      <xdr:rowOff>38100</xdr:rowOff>
    </xdr:from>
    <xdr:to>
      <xdr:col>6</xdr:col>
      <xdr:colOff>304800</xdr:colOff>
      <xdr:row>30</xdr:row>
      <xdr:rowOff>76200</xdr:rowOff>
    </xdr:to>
    <xdr:sp macro="" textlink="">
      <xdr:nvSpPr>
        <xdr:cNvPr id="89" name="AutoShape 60"/>
        <xdr:cNvSpPr>
          <a:spLocks noChangeArrowheads="1"/>
        </xdr:cNvSpPr>
      </xdr:nvSpPr>
      <xdr:spPr bwMode="auto">
        <a:xfrm>
          <a:off x="282892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7</xdr:col>
      <xdr:colOff>171450</xdr:colOff>
      <xdr:row>29</xdr:row>
      <xdr:rowOff>38100</xdr:rowOff>
    </xdr:from>
    <xdr:to>
      <xdr:col>7</xdr:col>
      <xdr:colOff>304800</xdr:colOff>
      <xdr:row>30</xdr:row>
      <xdr:rowOff>76200</xdr:rowOff>
    </xdr:to>
    <xdr:sp macro="" textlink="">
      <xdr:nvSpPr>
        <xdr:cNvPr id="90" name="AutoShape 61"/>
        <xdr:cNvSpPr>
          <a:spLocks noChangeArrowheads="1"/>
        </xdr:cNvSpPr>
      </xdr:nvSpPr>
      <xdr:spPr bwMode="auto">
        <a:xfrm>
          <a:off x="327660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8</xdr:col>
      <xdr:colOff>161925</xdr:colOff>
      <xdr:row>29</xdr:row>
      <xdr:rowOff>38100</xdr:rowOff>
    </xdr:from>
    <xdr:to>
      <xdr:col>8</xdr:col>
      <xdr:colOff>295275</xdr:colOff>
      <xdr:row>30</xdr:row>
      <xdr:rowOff>76200</xdr:rowOff>
    </xdr:to>
    <xdr:sp macro="" textlink="">
      <xdr:nvSpPr>
        <xdr:cNvPr id="91" name="AutoShape 62"/>
        <xdr:cNvSpPr>
          <a:spLocks noChangeArrowheads="1"/>
        </xdr:cNvSpPr>
      </xdr:nvSpPr>
      <xdr:spPr bwMode="auto">
        <a:xfrm>
          <a:off x="371475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9</xdr:col>
      <xdr:colOff>171450</xdr:colOff>
      <xdr:row>29</xdr:row>
      <xdr:rowOff>38100</xdr:rowOff>
    </xdr:from>
    <xdr:to>
      <xdr:col>9</xdr:col>
      <xdr:colOff>304800</xdr:colOff>
      <xdr:row>30</xdr:row>
      <xdr:rowOff>76200</xdr:rowOff>
    </xdr:to>
    <xdr:sp macro="" textlink="">
      <xdr:nvSpPr>
        <xdr:cNvPr id="92" name="AutoShape 63"/>
        <xdr:cNvSpPr>
          <a:spLocks noChangeArrowheads="1"/>
        </xdr:cNvSpPr>
      </xdr:nvSpPr>
      <xdr:spPr bwMode="auto">
        <a:xfrm>
          <a:off x="417195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10</xdr:col>
      <xdr:colOff>171450</xdr:colOff>
      <xdr:row>29</xdr:row>
      <xdr:rowOff>38100</xdr:rowOff>
    </xdr:from>
    <xdr:to>
      <xdr:col>10</xdr:col>
      <xdr:colOff>304800</xdr:colOff>
      <xdr:row>30</xdr:row>
      <xdr:rowOff>76200</xdr:rowOff>
    </xdr:to>
    <xdr:sp macro="" textlink="">
      <xdr:nvSpPr>
        <xdr:cNvPr id="93" name="AutoShape 64"/>
        <xdr:cNvSpPr>
          <a:spLocks noChangeArrowheads="1"/>
        </xdr:cNvSpPr>
      </xdr:nvSpPr>
      <xdr:spPr bwMode="auto">
        <a:xfrm>
          <a:off x="461962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11</xdr:col>
      <xdr:colOff>171450</xdr:colOff>
      <xdr:row>29</xdr:row>
      <xdr:rowOff>38100</xdr:rowOff>
    </xdr:from>
    <xdr:to>
      <xdr:col>11</xdr:col>
      <xdr:colOff>304800</xdr:colOff>
      <xdr:row>30</xdr:row>
      <xdr:rowOff>76200</xdr:rowOff>
    </xdr:to>
    <xdr:sp macro="" textlink="">
      <xdr:nvSpPr>
        <xdr:cNvPr id="94" name="AutoShape 65"/>
        <xdr:cNvSpPr>
          <a:spLocks noChangeArrowheads="1"/>
        </xdr:cNvSpPr>
      </xdr:nvSpPr>
      <xdr:spPr bwMode="auto">
        <a:xfrm>
          <a:off x="506730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12</xdr:col>
      <xdr:colOff>161925</xdr:colOff>
      <xdr:row>29</xdr:row>
      <xdr:rowOff>38100</xdr:rowOff>
    </xdr:from>
    <xdr:to>
      <xdr:col>12</xdr:col>
      <xdr:colOff>295275</xdr:colOff>
      <xdr:row>30</xdr:row>
      <xdr:rowOff>76200</xdr:rowOff>
    </xdr:to>
    <xdr:sp macro="" textlink="">
      <xdr:nvSpPr>
        <xdr:cNvPr id="95" name="AutoShape 66"/>
        <xdr:cNvSpPr>
          <a:spLocks noChangeArrowheads="1"/>
        </xdr:cNvSpPr>
      </xdr:nvSpPr>
      <xdr:spPr bwMode="auto">
        <a:xfrm>
          <a:off x="550545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13</xdr:col>
      <xdr:colOff>161925</xdr:colOff>
      <xdr:row>29</xdr:row>
      <xdr:rowOff>38100</xdr:rowOff>
    </xdr:from>
    <xdr:to>
      <xdr:col>13</xdr:col>
      <xdr:colOff>295275</xdr:colOff>
      <xdr:row>30</xdr:row>
      <xdr:rowOff>76200</xdr:rowOff>
    </xdr:to>
    <xdr:sp macro="" textlink="">
      <xdr:nvSpPr>
        <xdr:cNvPr id="96" name="AutoShape 67"/>
        <xdr:cNvSpPr>
          <a:spLocks noChangeArrowheads="1"/>
        </xdr:cNvSpPr>
      </xdr:nvSpPr>
      <xdr:spPr bwMode="auto">
        <a:xfrm>
          <a:off x="595312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15</xdr:col>
      <xdr:colOff>171450</xdr:colOff>
      <xdr:row>29</xdr:row>
      <xdr:rowOff>38100</xdr:rowOff>
    </xdr:from>
    <xdr:to>
      <xdr:col>15</xdr:col>
      <xdr:colOff>304800</xdr:colOff>
      <xdr:row>30</xdr:row>
      <xdr:rowOff>76200</xdr:rowOff>
    </xdr:to>
    <xdr:sp macro="" textlink="">
      <xdr:nvSpPr>
        <xdr:cNvPr id="98" name="AutoShape 69"/>
        <xdr:cNvSpPr>
          <a:spLocks noChangeArrowheads="1"/>
        </xdr:cNvSpPr>
      </xdr:nvSpPr>
      <xdr:spPr bwMode="auto">
        <a:xfrm>
          <a:off x="685800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16</xdr:col>
      <xdr:colOff>171450</xdr:colOff>
      <xdr:row>29</xdr:row>
      <xdr:rowOff>38100</xdr:rowOff>
    </xdr:from>
    <xdr:to>
      <xdr:col>16</xdr:col>
      <xdr:colOff>304800</xdr:colOff>
      <xdr:row>30</xdr:row>
      <xdr:rowOff>76200</xdr:rowOff>
    </xdr:to>
    <xdr:sp macro="" textlink="">
      <xdr:nvSpPr>
        <xdr:cNvPr id="99" name="AutoShape 70"/>
        <xdr:cNvSpPr>
          <a:spLocks noChangeArrowheads="1"/>
        </xdr:cNvSpPr>
      </xdr:nvSpPr>
      <xdr:spPr bwMode="auto">
        <a:xfrm>
          <a:off x="730567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24</xdr:col>
      <xdr:colOff>171450</xdr:colOff>
      <xdr:row>29</xdr:row>
      <xdr:rowOff>38100</xdr:rowOff>
    </xdr:from>
    <xdr:to>
      <xdr:col>24</xdr:col>
      <xdr:colOff>304800</xdr:colOff>
      <xdr:row>30</xdr:row>
      <xdr:rowOff>76200</xdr:rowOff>
    </xdr:to>
    <xdr:sp macro="" textlink="">
      <xdr:nvSpPr>
        <xdr:cNvPr id="100" name="AutoShape 72"/>
        <xdr:cNvSpPr>
          <a:spLocks noChangeArrowheads="1"/>
        </xdr:cNvSpPr>
      </xdr:nvSpPr>
      <xdr:spPr bwMode="auto">
        <a:xfrm>
          <a:off x="1088707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23</xdr:col>
      <xdr:colOff>161925</xdr:colOff>
      <xdr:row>29</xdr:row>
      <xdr:rowOff>38100</xdr:rowOff>
    </xdr:from>
    <xdr:to>
      <xdr:col>23</xdr:col>
      <xdr:colOff>295275</xdr:colOff>
      <xdr:row>30</xdr:row>
      <xdr:rowOff>76200</xdr:rowOff>
    </xdr:to>
    <xdr:sp macro="" textlink="">
      <xdr:nvSpPr>
        <xdr:cNvPr id="101" name="AutoShape 73"/>
        <xdr:cNvSpPr>
          <a:spLocks noChangeArrowheads="1"/>
        </xdr:cNvSpPr>
      </xdr:nvSpPr>
      <xdr:spPr bwMode="auto">
        <a:xfrm>
          <a:off x="1042987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22</xdr:col>
      <xdr:colOff>161925</xdr:colOff>
      <xdr:row>29</xdr:row>
      <xdr:rowOff>38100</xdr:rowOff>
    </xdr:from>
    <xdr:to>
      <xdr:col>22</xdr:col>
      <xdr:colOff>295275</xdr:colOff>
      <xdr:row>30</xdr:row>
      <xdr:rowOff>76200</xdr:rowOff>
    </xdr:to>
    <xdr:sp macro="" textlink="">
      <xdr:nvSpPr>
        <xdr:cNvPr id="102" name="AutoShape 74"/>
        <xdr:cNvSpPr>
          <a:spLocks noChangeArrowheads="1"/>
        </xdr:cNvSpPr>
      </xdr:nvSpPr>
      <xdr:spPr bwMode="auto">
        <a:xfrm>
          <a:off x="998220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21</xdr:col>
      <xdr:colOff>161925</xdr:colOff>
      <xdr:row>29</xdr:row>
      <xdr:rowOff>38100</xdr:rowOff>
    </xdr:from>
    <xdr:to>
      <xdr:col>21</xdr:col>
      <xdr:colOff>295275</xdr:colOff>
      <xdr:row>30</xdr:row>
      <xdr:rowOff>76200</xdr:rowOff>
    </xdr:to>
    <xdr:sp macro="" textlink="">
      <xdr:nvSpPr>
        <xdr:cNvPr id="103" name="AutoShape 75"/>
        <xdr:cNvSpPr>
          <a:spLocks noChangeArrowheads="1"/>
        </xdr:cNvSpPr>
      </xdr:nvSpPr>
      <xdr:spPr bwMode="auto">
        <a:xfrm>
          <a:off x="953452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20</xdr:col>
      <xdr:colOff>161925</xdr:colOff>
      <xdr:row>29</xdr:row>
      <xdr:rowOff>38100</xdr:rowOff>
    </xdr:from>
    <xdr:to>
      <xdr:col>20</xdr:col>
      <xdr:colOff>295275</xdr:colOff>
      <xdr:row>30</xdr:row>
      <xdr:rowOff>76200</xdr:rowOff>
    </xdr:to>
    <xdr:sp macro="" textlink="">
      <xdr:nvSpPr>
        <xdr:cNvPr id="104" name="AutoShape 76"/>
        <xdr:cNvSpPr>
          <a:spLocks noChangeArrowheads="1"/>
        </xdr:cNvSpPr>
      </xdr:nvSpPr>
      <xdr:spPr bwMode="auto">
        <a:xfrm>
          <a:off x="9086850"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19</xdr:col>
      <xdr:colOff>161925</xdr:colOff>
      <xdr:row>29</xdr:row>
      <xdr:rowOff>38100</xdr:rowOff>
    </xdr:from>
    <xdr:to>
      <xdr:col>19</xdr:col>
      <xdr:colOff>295275</xdr:colOff>
      <xdr:row>30</xdr:row>
      <xdr:rowOff>76200</xdr:rowOff>
    </xdr:to>
    <xdr:sp macro="" textlink="">
      <xdr:nvSpPr>
        <xdr:cNvPr id="105" name="AutoShape 77"/>
        <xdr:cNvSpPr>
          <a:spLocks noChangeArrowheads="1"/>
        </xdr:cNvSpPr>
      </xdr:nvSpPr>
      <xdr:spPr bwMode="auto">
        <a:xfrm>
          <a:off x="863917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20</xdr:col>
      <xdr:colOff>161925</xdr:colOff>
      <xdr:row>0</xdr:row>
      <xdr:rowOff>28575</xdr:rowOff>
    </xdr:from>
    <xdr:to>
      <xdr:col>20</xdr:col>
      <xdr:colOff>295275</xdr:colOff>
      <xdr:row>0</xdr:row>
      <xdr:rowOff>190500</xdr:rowOff>
    </xdr:to>
    <xdr:sp macro="" textlink="">
      <xdr:nvSpPr>
        <xdr:cNvPr id="106" name="AutoShape 98"/>
        <xdr:cNvSpPr>
          <a:spLocks noChangeArrowheads="1"/>
        </xdr:cNvSpPr>
      </xdr:nvSpPr>
      <xdr:spPr bwMode="auto">
        <a:xfrm>
          <a:off x="9086850"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19</xdr:col>
      <xdr:colOff>152400</xdr:colOff>
      <xdr:row>0</xdr:row>
      <xdr:rowOff>28575</xdr:rowOff>
    </xdr:from>
    <xdr:to>
      <xdr:col>19</xdr:col>
      <xdr:colOff>295275</xdr:colOff>
      <xdr:row>0</xdr:row>
      <xdr:rowOff>200025</xdr:rowOff>
    </xdr:to>
    <xdr:sp macro="" textlink="">
      <xdr:nvSpPr>
        <xdr:cNvPr id="107" name="AutoShape 103"/>
        <xdr:cNvSpPr>
          <a:spLocks noChangeArrowheads="1"/>
        </xdr:cNvSpPr>
      </xdr:nvSpPr>
      <xdr:spPr bwMode="auto">
        <a:xfrm>
          <a:off x="8629650" y="28575"/>
          <a:ext cx="142875" cy="171450"/>
        </a:xfrm>
        <a:prstGeom prst="upArrow">
          <a:avLst>
            <a:gd name="adj1" fmla="val 50000"/>
            <a:gd name="adj2" fmla="val 30000"/>
          </a:avLst>
        </a:prstGeom>
        <a:solidFill>
          <a:schemeClr val="accent2"/>
        </a:solidFill>
        <a:ln w="9525">
          <a:solidFill>
            <a:srgbClr val="000000"/>
          </a:solidFill>
          <a:miter lim="800000"/>
          <a:headEnd/>
          <a:tailEnd/>
        </a:ln>
      </xdr:spPr>
    </xdr:sp>
    <xdr:clientData/>
  </xdr:twoCellAnchor>
  <xdr:twoCellAnchor>
    <xdr:from>
      <xdr:col>18</xdr:col>
      <xdr:colOff>152400</xdr:colOff>
      <xdr:row>0</xdr:row>
      <xdr:rowOff>19050</xdr:rowOff>
    </xdr:from>
    <xdr:to>
      <xdr:col>18</xdr:col>
      <xdr:colOff>285750</xdr:colOff>
      <xdr:row>0</xdr:row>
      <xdr:rowOff>200025</xdr:rowOff>
    </xdr:to>
    <xdr:sp macro="" textlink="">
      <xdr:nvSpPr>
        <xdr:cNvPr id="109" name="AutoShape 122"/>
        <xdr:cNvSpPr>
          <a:spLocks noChangeArrowheads="1"/>
        </xdr:cNvSpPr>
      </xdr:nvSpPr>
      <xdr:spPr bwMode="auto">
        <a:xfrm>
          <a:off x="8181975" y="19050"/>
          <a:ext cx="133350" cy="180975"/>
        </a:xfrm>
        <a:prstGeom prst="upArrow">
          <a:avLst>
            <a:gd name="adj1" fmla="val 50000"/>
            <a:gd name="adj2" fmla="val 33929"/>
          </a:avLst>
        </a:prstGeom>
        <a:solidFill>
          <a:schemeClr val="accent2"/>
        </a:solidFill>
        <a:ln w="9525">
          <a:solidFill>
            <a:srgbClr val="000000"/>
          </a:solidFill>
          <a:miter lim="800000"/>
          <a:headEnd/>
          <a:tailEnd/>
        </a:ln>
      </xdr:spPr>
    </xdr:sp>
    <xdr:clientData/>
  </xdr:twoCellAnchor>
  <xdr:twoCellAnchor>
    <xdr:from>
      <xdr:col>17</xdr:col>
      <xdr:colOff>161925</xdr:colOff>
      <xdr:row>29</xdr:row>
      <xdr:rowOff>38100</xdr:rowOff>
    </xdr:from>
    <xdr:to>
      <xdr:col>17</xdr:col>
      <xdr:colOff>314325</xdr:colOff>
      <xdr:row>30</xdr:row>
      <xdr:rowOff>85725</xdr:rowOff>
    </xdr:to>
    <xdr:sp macro="" textlink="">
      <xdr:nvSpPr>
        <xdr:cNvPr id="110" name="AutoShape 133"/>
        <xdr:cNvSpPr>
          <a:spLocks noChangeArrowheads="1"/>
        </xdr:cNvSpPr>
      </xdr:nvSpPr>
      <xdr:spPr bwMode="auto">
        <a:xfrm>
          <a:off x="7743825" y="3438525"/>
          <a:ext cx="152400" cy="152400"/>
        </a:xfrm>
        <a:prstGeom prst="upArrow">
          <a:avLst>
            <a:gd name="adj1" fmla="val 50000"/>
            <a:gd name="adj2" fmla="val 25000"/>
          </a:avLst>
        </a:prstGeom>
        <a:solidFill>
          <a:schemeClr val="accent2"/>
        </a:solidFill>
        <a:ln w="9525">
          <a:solidFill>
            <a:srgbClr val="000000"/>
          </a:solidFill>
          <a:miter lim="800000"/>
          <a:headEnd/>
          <a:tailEnd/>
        </a:ln>
      </xdr:spPr>
    </xdr:sp>
    <xdr:clientData/>
  </xdr:twoCellAnchor>
  <xdr:twoCellAnchor>
    <xdr:from>
      <xdr:col>18</xdr:col>
      <xdr:colOff>161925</xdr:colOff>
      <xdr:row>29</xdr:row>
      <xdr:rowOff>28575</xdr:rowOff>
    </xdr:from>
    <xdr:to>
      <xdr:col>18</xdr:col>
      <xdr:colOff>314325</xdr:colOff>
      <xdr:row>30</xdr:row>
      <xdr:rowOff>85725</xdr:rowOff>
    </xdr:to>
    <xdr:sp macro="" textlink="">
      <xdr:nvSpPr>
        <xdr:cNvPr id="111" name="AutoShape 134"/>
        <xdr:cNvSpPr>
          <a:spLocks noChangeArrowheads="1"/>
        </xdr:cNvSpPr>
      </xdr:nvSpPr>
      <xdr:spPr bwMode="auto">
        <a:xfrm>
          <a:off x="8191500" y="3429000"/>
          <a:ext cx="152400" cy="161925"/>
        </a:xfrm>
        <a:prstGeom prst="upArrow">
          <a:avLst>
            <a:gd name="adj1" fmla="val 50000"/>
            <a:gd name="adj2" fmla="val 26563"/>
          </a:avLst>
        </a:prstGeom>
        <a:solidFill>
          <a:schemeClr val="accent2"/>
        </a:solidFill>
        <a:ln w="9525">
          <a:solidFill>
            <a:srgbClr val="000000"/>
          </a:solidFill>
          <a:miter lim="800000"/>
          <a:headEnd/>
          <a:tailEnd/>
        </a:ln>
      </xdr:spPr>
    </xdr:sp>
    <xdr:clientData/>
  </xdr:twoCellAnchor>
  <xdr:twoCellAnchor>
    <xdr:from>
      <xdr:col>1</xdr:col>
      <xdr:colOff>161925</xdr:colOff>
      <xdr:row>29</xdr:row>
      <xdr:rowOff>38100</xdr:rowOff>
    </xdr:from>
    <xdr:to>
      <xdr:col>1</xdr:col>
      <xdr:colOff>295275</xdr:colOff>
      <xdr:row>30</xdr:row>
      <xdr:rowOff>76200</xdr:rowOff>
    </xdr:to>
    <xdr:sp macro="" textlink="">
      <xdr:nvSpPr>
        <xdr:cNvPr id="112" name="AutoShape 56"/>
        <xdr:cNvSpPr>
          <a:spLocks noChangeArrowheads="1"/>
        </xdr:cNvSpPr>
      </xdr:nvSpPr>
      <xdr:spPr bwMode="auto">
        <a:xfrm>
          <a:off x="58102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22</xdr:col>
      <xdr:colOff>152400</xdr:colOff>
      <xdr:row>0</xdr:row>
      <xdr:rowOff>28575</xdr:rowOff>
    </xdr:from>
    <xdr:to>
      <xdr:col>22</xdr:col>
      <xdr:colOff>285750</xdr:colOff>
      <xdr:row>0</xdr:row>
      <xdr:rowOff>171450</xdr:rowOff>
    </xdr:to>
    <xdr:sp macro="" textlink="">
      <xdr:nvSpPr>
        <xdr:cNvPr id="113" name="AutoShape 810"/>
        <xdr:cNvSpPr>
          <a:spLocks noChangeArrowheads="1"/>
        </xdr:cNvSpPr>
      </xdr:nvSpPr>
      <xdr:spPr bwMode="auto">
        <a:xfrm>
          <a:off x="9972675" y="2857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23</xdr:col>
      <xdr:colOff>152400</xdr:colOff>
      <xdr:row>0</xdr:row>
      <xdr:rowOff>28575</xdr:rowOff>
    </xdr:from>
    <xdr:to>
      <xdr:col>23</xdr:col>
      <xdr:colOff>285750</xdr:colOff>
      <xdr:row>0</xdr:row>
      <xdr:rowOff>171450</xdr:rowOff>
    </xdr:to>
    <xdr:sp macro="" textlink="">
      <xdr:nvSpPr>
        <xdr:cNvPr id="114" name="AutoShape 811"/>
        <xdr:cNvSpPr>
          <a:spLocks noChangeArrowheads="1"/>
        </xdr:cNvSpPr>
      </xdr:nvSpPr>
      <xdr:spPr bwMode="auto">
        <a:xfrm>
          <a:off x="10420350" y="2857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26</xdr:col>
      <xdr:colOff>152400</xdr:colOff>
      <xdr:row>0</xdr:row>
      <xdr:rowOff>28575</xdr:rowOff>
    </xdr:from>
    <xdr:to>
      <xdr:col>26</xdr:col>
      <xdr:colOff>285750</xdr:colOff>
      <xdr:row>0</xdr:row>
      <xdr:rowOff>171450</xdr:rowOff>
    </xdr:to>
    <xdr:sp macro="" textlink="">
      <xdr:nvSpPr>
        <xdr:cNvPr id="115" name="AutoShape 812"/>
        <xdr:cNvSpPr>
          <a:spLocks noChangeArrowheads="1"/>
        </xdr:cNvSpPr>
      </xdr:nvSpPr>
      <xdr:spPr bwMode="auto">
        <a:xfrm>
          <a:off x="11763375" y="2857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27</xdr:col>
      <xdr:colOff>152400</xdr:colOff>
      <xdr:row>0</xdr:row>
      <xdr:rowOff>28575</xdr:rowOff>
    </xdr:from>
    <xdr:to>
      <xdr:col>27</xdr:col>
      <xdr:colOff>285750</xdr:colOff>
      <xdr:row>0</xdr:row>
      <xdr:rowOff>171450</xdr:rowOff>
    </xdr:to>
    <xdr:sp macro="" textlink="">
      <xdr:nvSpPr>
        <xdr:cNvPr id="116" name="AutoShape 813"/>
        <xdr:cNvSpPr>
          <a:spLocks noChangeArrowheads="1"/>
        </xdr:cNvSpPr>
      </xdr:nvSpPr>
      <xdr:spPr bwMode="auto">
        <a:xfrm>
          <a:off x="12211050" y="2857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24</xdr:col>
      <xdr:colOff>152400</xdr:colOff>
      <xdr:row>0</xdr:row>
      <xdr:rowOff>28575</xdr:rowOff>
    </xdr:from>
    <xdr:to>
      <xdr:col>24</xdr:col>
      <xdr:colOff>285750</xdr:colOff>
      <xdr:row>0</xdr:row>
      <xdr:rowOff>171450</xdr:rowOff>
    </xdr:to>
    <xdr:sp macro="" textlink="">
      <xdr:nvSpPr>
        <xdr:cNvPr id="118" name="AutoShape 815"/>
        <xdr:cNvSpPr>
          <a:spLocks noChangeArrowheads="1"/>
        </xdr:cNvSpPr>
      </xdr:nvSpPr>
      <xdr:spPr bwMode="auto">
        <a:xfrm>
          <a:off x="10868025" y="2857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25</xdr:col>
      <xdr:colOff>152400</xdr:colOff>
      <xdr:row>0</xdr:row>
      <xdr:rowOff>28575</xdr:rowOff>
    </xdr:from>
    <xdr:to>
      <xdr:col>25</xdr:col>
      <xdr:colOff>285750</xdr:colOff>
      <xdr:row>0</xdr:row>
      <xdr:rowOff>171450</xdr:rowOff>
    </xdr:to>
    <xdr:sp macro="" textlink="">
      <xdr:nvSpPr>
        <xdr:cNvPr id="119" name="AutoShape 816"/>
        <xdr:cNvSpPr>
          <a:spLocks noChangeArrowheads="1"/>
        </xdr:cNvSpPr>
      </xdr:nvSpPr>
      <xdr:spPr bwMode="auto">
        <a:xfrm>
          <a:off x="11315700" y="2857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27</xdr:col>
      <xdr:colOff>161925</xdr:colOff>
      <xdr:row>29</xdr:row>
      <xdr:rowOff>38100</xdr:rowOff>
    </xdr:from>
    <xdr:to>
      <xdr:col>27</xdr:col>
      <xdr:colOff>295275</xdr:colOff>
      <xdr:row>30</xdr:row>
      <xdr:rowOff>76200</xdr:rowOff>
    </xdr:to>
    <xdr:sp macro="" textlink="">
      <xdr:nvSpPr>
        <xdr:cNvPr id="120" name="AutoShape 817"/>
        <xdr:cNvSpPr>
          <a:spLocks noChangeArrowheads="1"/>
        </xdr:cNvSpPr>
      </xdr:nvSpPr>
      <xdr:spPr bwMode="auto">
        <a:xfrm>
          <a:off x="12220575" y="3438525"/>
          <a:ext cx="133350" cy="142875"/>
        </a:xfrm>
        <a:prstGeom prst="upArrow">
          <a:avLst>
            <a:gd name="adj1" fmla="val 50000"/>
            <a:gd name="adj2" fmla="val 26786"/>
          </a:avLst>
        </a:prstGeom>
        <a:solidFill>
          <a:schemeClr val="accent2"/>
        </a:solidFill>
        <a:ln w="9525">
          <a:solidFill>
            <a:srgbClr val="000000"/>
          </a:solidFill>
          <a:miter lim="800000"/>
          <a:headEnd/>
          <a:tailEnd/>
        </a:ln>
      </xdr:spPr>
    </xdr:sp>
    <xdr:clientData/>
  </xdr:twoCellAnchor>
  <xdr:twoCellAnchor>
    <xdr:from>
      <xdr:col>16</xdr:col>
      <xdr:colOff>161925</xdr:colOff>
      <xdr:row>0</xdr:row>
      <xdr:rowOff>19050</xdr:rowOff>
    </xdr:from>
    <xdr:to>
      <xdr:col>16</xdr:col>
      <xdr:colOff>295275</xdr:colOff>
      <xdr:row>0</xdr:row>
      <xdr:rowOff>200025</xdr:rowOff>
    </xdr:to>
    <xdr:sp macro="" textlink="">
      <xdr:nvSpPr>
        <xdr:cNvPr id="121" name="AutoShape 121"/>
        <xdr:cNvSpPr>
          <a:spLocks noChangeArrowheads="1"/>
        </xdr:cNvSpPr>
      </xdr:nvSpPr>
      <xdr:spPr bwMode="auto">
        <a:xfrm>
          <a:off x="7296150" y="19050"/>
          <a:ext cx="133350" cy="180975"/>
        </a:xfrm>
        <a:prstGeom prst="upArrow">
          <a:avLst>
            <a:gd name="adj1" fmla="val 50000"/>
            <a:gd name="adj2" fmla="val 33929"/>
          </a:avLst>
        </a:prstGeom>
        <a:solidFill>
          <a:schemeClr val="accent2"/>
        </a:solidFill>
        <a:ln w="9525">
          <a:solidFill>
            <a:srgbClr val="000000"/>
          </a:solidFill>
          <a:miter lim="800000"/>
          <a:headEnd/>
          <a:tailEnd/>
        </a:ln>
      </xdr:spPr>
    </xdr:sp>
    <xdr:clientData/>
  </xdr:twoCellAnchor>
  <xdr:twoCellAnchor>
    <xdr:from>
      <xdr:col>15</xdr:col>
      <xdr:colOff>161925</xdr:colOff>
      <xdr:row>0</xdr:row>
      <xdr:rowOff>19050</xdr:rowOff>
    </xdr:from>
    <xdr:to>
      <xdr:col>15</xdr:col>
      <xdr:colOff>295275</xdr:colOff>
      <xdr:row>0</xdr:row>
      <xdr:rowOff>200025</xdr:rowOff>
    </xdr:to>
    <xdr:sp macro="" textlink="">
      <xdr:nvSpPr>
        <xdr:cNvPr id="122" name="AutoShape 121"/>
        <xdr:cNvSpPr>
          <a:spLocks noChangeArrowheads="1"/>
        </xdr:cNvSpPr>
      </xdr:nvSpPr>
      <xdr:spPr bwMode="auto">
        <a:xfrm>
          <a:off x="6848475" y="19050"/>
          <a:ext cx="133350" cy="180975"/>
        </a:xfrm>
        <a:prstGeom prst="upArrow">
          <a:avLst>
            <a:gd name="adj1" fmla="val 50000"/>
            <a:gd name="adj2" fmla="val 33929"/>
          </a:avLst>
        </a:prstGeom>
        <a:solidFill>
          <a:schemeClr val="accent2"/>
        </a:solidFill>
        <a:ln w="9525">
          <a:solidFill>
            <a:srgbClr val="000000"/>
          </a:solidFill>
          <a:miter lim="800000"/>
          <a:headEnd/>
          <a:tailEnd/>
        </a:ln>
      </xdr:spPr>
    </xdr:sp>
    <xdr:clientData/>
  </xdr:twoCellAnchor>
  <xdr:twoCellAnchor>
    <xdr:from>
      <xdr:col>1</xdr:col>
      <xdr:colOff>152400</xdr:colOff>
      <xdr:row>0</xdr:row>
      <xdr:rowOff>28575</xdr:rowOff>
    </xdr:from>
    <xdr:to>
      <xdr:col>1</xdr:col>
      <xdr:colOff>285750</xdr:colOff>
      <xdr:row>0</xdr:row>
      <xdr:rowOff>190500</xdr:rowOff>
    </xdr:to>
    <xdr:sp macro="" textlink="">
      <xdr:nvSpPr>
        <xdr:cNvPr id="123" name="AutoShape 30"/>
        <xdr:cNvSpPr>
          <a:spLocks noChangeArrowheads="1"/>
        </xdr:cNvSpPr>
      </xdr:nvSpPr>
      <xdr:spPr bwMode="auto">
        <a:xfrm>
          <a:off x="571500"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2</xdr:col>
      <xdr:colOff>152400</xdr:colOff>
      <xdr:row>0</xdr:row>
      <xdr:rowOff>28575</xdr:rowOff>
    </xdr:from>
    <xdr:to>
      <xdr:col>2</xdr:col>
      <xdr:colOff>285750</xdr:colOff>
      <xdr:row>0</xdr:row>
      <xdr:rowOff>190500</xdr:rowOff>
    </xdr:to>
    <xdr:sp macro="" textlink="">
      <xdr:nvSpPr>
        <xdr:cNvPr id="124" name="AutoShape 30"/>
        <xdr:cNvSpPr>
          <a:spLocks noChangeArrowheads="1"/>
        </xdr:cNvSpPr>
      </xdr:nvSpPr>
      <xdr:spPr bwMode="auto">
        <a:xfrm>
          <a:off x="1019175"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4</xdr:col>
      <xdr:colOff>152400</xdr:colOff>
      <xdr:row>0</xdr:row>
      <xdr:rowOff>28575</xdr:rowOff>
    </xdr:from>
    <xdr:to>
      <xdr:col>4</xdr:col>
      <xdr:colOff>285750</xdr:colOff>
      <xdr:row>0</xdr:row>
      <xdr:rowOff>190500</xdr:rowOff>
    </xdr:to>
    <xdr:sp macro="" textlink="">
      <xdr:nvSpPr>
        <xdr:cNvPr id="126" name="AutoShape 30"/>
        <xdr:cNvSpPr>
          <a:spLocks noChangeArrowheads="1"/>
        </xdr:cNvSpPr>
      </xdr:nvSpPr>
      <xdr:spPr bwMode="auto">
        <a:xfrm>
          <a:off x="1914525"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6</xdr:col>
      <xdr:colOff>152400</xdr:colOff>
      <xdr:row>0</xdr:row>
      <xdr:rowOff>28575</xdr:rowOff>
    </xdr:from>
    <xdr:to>
      <xdr:col>6</xdr:col>
      <xdr:colOff>285750</xdr:colOff>
      <xdr:row>0</xdr:row>
      <xdr:rowOff>190500</xdr:rowOff>
    </xdr:to>
    <xdr:sp macro="" textlink="">
      <xdr:nvSpPr>
        <xdr:cNvPr id="128" name="AutoShape 30"/>
        <xdr:cNvSpPr>
          <a:spLocks noChangeArrowheads="1"/>
        </xdr:cNvSpPr>
      </xdr:nvSpPr>
      <xdr:spPr bwMode="auto">
        <a:xfrm>
          <a:off x="2809875"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7</xdr:col>
      <xdr:colOff>152400</xdr:colOff>
      <xdr:row>0</xdr:row>
      <xdr:rowOff>28575</xdr:rowOff>
    </xdr:from>
    <xdr:to>
      <xdr:col>7</xdr:col>
      <xdr:colOff>285750</xdr:colOff>
      <xdr:row>0</xdr:row>
      <xdr:rowOff>190500</xdr:rowOff>
    </xdr:to>
    <xdr:sp macro="" textlink="">
      <xdr:nvSpPr>
        <xdr:cNvPr id="129" name="AutoShape 30"/>
        <xdr:cNvSpPr>
          <a:spLocks noChangeArrowheads="1"/>
        </xdr:cNvSpPr>
      </xdr:nvSpPr>
      <xdr:spPr bwMode="auto">
        <a:xfrm>
          <a:off x="3257550"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8</xdr:col>
      <xdr:colOff>161925</xdr:colOff>
      <xdr:row>0</xdr:row>
      <xdr:rowOff>28575</xdr:rowOff>
    </xdr:from>
    <xdr:to>
      <xdr:col>8</xdr:col>
      <xdr:colOff>295275</xdr:colOff>
      <xdr:row>0</xdr:row>
      <xdr:rowOff>190500</xdr:rowOff>
    </xdr:to>
    <xdr:sp macro="" textlink="">
      <xdr:nvSpPr>
        <xdr:cNvPr id="130" name="AutoShape 30"/>
        <xdr:cNvSpPr>
          <a:spLocks noChangeArrowheads="1"/>
        </xdr:cNvSpPr>
      </xdr:nvSpPr>
      <xdr:spPr bwMode="auto">
        <a:xfrm>
          <a:off x="3762375"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9</xdr:col>
      <xdr:colOff>152400</xdr:colOff>
      <xdr:row>0</xdr:row>
      <xdr:rowOff>28575</xdr:rowOff>
    </xdr:from>
    <xdr:to>
      <xdr:col>9</xdr:col>
      <xdr:colOff>285750</xdr:colOff>
      <xdr:row>0</xdr:row>
      <xdr:rowOff>190500</xdr:rowOff>
    </xdr:to>
    <xdr:sp macro="" textlink="">
      <xdr:nvSpPr>
        <xdr:cNvPr id="131" name="AutoShape 30"/>
        <xdr:cNvSpPr>
          <a:spLocks noChangeArrowheads="1"/>
        </xdr:cNvSpPr>
      </xdr:nvSpPr>
      <xdr:spPr bwMode="auto">
        <a:xfrm>
          <a:off x="4152900"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10</xdr:col>
      <xdr:colOff>152400</xdr:colOff>
      <xdr:row>0</xdr:row>
      <xdr:rowOff>28575</xdr:rowOff>
    </xdr:from>
    <xdr:to>
      <xdr:col>10</xdr:col>
      <xdr:colOff>285750</xdr:colOff>
      <xdr:row>0</xdr:row>
      <xdr:rowOff>190500</xdr:rowOff>
    </xdr:to>
    <xdr:sp macro="" textlink="">
      <xdr:nvSpPr>
        <xdr:cNvPr id="132" name="AutoShape 30"/>
        <xdr:cNvSpPr>
          <a:spLocks noChangeArrowheads="1"/>
        </xdr:cNvSpPr>
      </xdr:nvSpPr>
      <xdr:spPr bwMode="auto">
        <a:xfrm>
          <a:off x="4600575"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11</xdr:col>
      <xdr:colOff>152400</xdr:colOff>
      <xdr:row>0</xdr:row>
      <xdr:rowOff>28575</xdr:rowOff>
    </xdr:from>
    <xdr:to>
      <xdr:col>11</xdr:col>
      <xdr:colOff>285750</xdr:colOff>
      <xdr:row>0</xdr:row>
      <xdr:rowOff>190500</xdr:rowOff>
    </xdr:to>
    <xdr:sp macro="" textlink="">
      <xdr:nvSpPr>
        <xdr:cNvPr id="133" name="AutoShape 30"/>
        <xdr:cNvSpPr>
          <a:spLocks noChangeArrowheads="1"/>
        </xdr:cNvSpPr>
      </xdr:nvSpPr>
      <xdr:spPr bwMode="auto">
        <a:xfrm>
          <a:off x="5048250"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12</xdr:col>
      <xdr:colOff>152400</xdr:colOff>
      <xdr:row>0</xdr:row>
      <xdr:rowOff>28575</xdr:rowOff>
    </xdr:from>
    <xdr:to>
      <xdr:col>12</xdr:col>
      <xdr:colOff>285750</xdr:colOff>
      <xdr:row>0</xdr:row>
      <xdr:rowOff>190500</xdr:rowOff>
    </xdr:to>
    <xdr:sp macro="" textlink="">
      <xdr:nvSpPr>
        <xdr:cNvPr id="134" name="AutoShape 30"/>
        <xdr:cNvSpPr>
          <a:spLocks noChangeArrowheads="1"/>
        </xdr:cNvSpPr>
      </xdr:nvSpPr>
      <xdr:spPr bwMode="auto">
        <a:xfrm>
          <a:off x="5495925"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13</xdr:col>
      <xdr:colOff>152400</xdr:colOff>
      <xdr:row>0</xdr:row>
      <xdr:rowOff>28575</xdr:rowOff>
    </xdr:from>
    <xdr:to>
      <xdr:col>13</xdr:col>
      <xdr:colOff>285750</xdr:colOff>
      <xdr:row>0</xdr:row>
      <xdr:rowOff>190500</xdr:rowOff>
    </xdr:to>
    <xdr:sp macro="" textlink="">
      <xdr:nvSpPr>
        <xdr:cNvPr id="135" name="AutoShape 30"/>
        <xdr:cNvSpPr>
          <a:spLocks noChangeArrowheads="1"/>
        </xdr:cNvSpPr>
      </xdr:nvSpPr>
      <xdr:spPr bwMode="auto">
        <a:xfrm>
          <a:off x="5943600"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twoCellAnchor>
    <xdr:from>
      <xdr:col>14</xdr:col>
      <xdr:colOff>152400</xdr:colOff>
      <xdr:row>0</xdr:row>
      <xdr:rowOff>28575</xdr:rowOff>
    </xdr:from>
    <xdr:to>
      <xdr:col>14</xdr:col>
      <xdr:colOff>285750</xdr:colOff>
      <xdr:row>0</xdr:row>
      <xdr:rowOff>190500</xdr:rowOff>
    </xdr:to>
    <xdr:sp macro="" textlink="">
      <xdr:nvSpPr>
        <xdr:cNvPr id="136" name="AutoShape 30"/>
        <xdr:cNvSpPr>
          <a:spLocks noChangeArrowheads="1"/>
        </xdr:cNvSpPr>
      </xdr:nvSpPr>
      <xdr:spPr bwMode="auto">
        <a:xfrm>
          <a:off x="6391275" y="28575"/>
          <a:ext cx="133350" cy="161925"/>
        </a:xfrm>
        <a:prstGeom prst="upArrow">
          <a:avLst>
            <a:gd name="adj1" fmla="val 50000"/>
            <a:gd name="adj2" fmla="val 30357"/>
          </a:avLst>
        </a:prstGeom>
        <a:solidFill>
          <a:schemeClr val="accent2"/>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175260</xdr:colOff>
      <xdr:row>1</xdr:row>
      <xdr:rowOff>45720</xdr:rowOff>
    </xdr:from>
    <xdr:to>
      <xdr:col>1</xdr:col>
      <xdr:colOff>182880</xdr:colOff>
      <xdr:row>1</xdr:row>
      <xdr:rowOff>274320</xdr:rowOff>
    </xdr:to>
    <xdr:cxnSp macro="">
      <xdr:nvCxnSpPr>
        <xdr:cNvPr id="3" name="Straight Arrow Connector 2"/>
        <xdr:cNvCxnSpPr/>
      </xdr:nvCxnSpPr>
      <xdr:spPr bwMode="auto">
        <a:xfrm flipH="1" flipV="1">
          <a:off x="111252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xdr:col>
      <xdr:colOff>175260</xdr:colOff>
      <xdr:row>1</xdr:row>
      <xdr:rowOff>45720</xdr:rowOff>
    </xdr:from>
    <xdr:to>
      <xdr:col>2</xdr:col>
      <xdr:colOff>182880</xdr:colOff>
      <xdr:row>1</xdr:row>
      <xdr:rowOff>274320</xdr:rowOff>
    </xdr:to>
    <xdr:cxnSp macro="">
      <xdr:nvCxnSpPr>
        <xdr:cNvPr id="4" name="Straight Arrow Connector 3"/>
        <xdr:cNvCxnSpPr/>
      </xdr:nvCxnSpPr>
      <xdr:spPr bwMode="auto">
        <a:xfrm flipH="1" flipV="1">
          <a:off x="144018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3</xdr:col>
      <xdr:colOff>175260</xdr:colOff>
      <xdr:row>1</xdr:row>
      <xdr:rowOff>45720</xdr:rowOff>
    </xdr:from>
    <xdr:to>
      <xdr:col>3</xdr:col>
      <xdr:colOff>182880</xdr:colOff>
      <xdr:row>1</xdr:row>
      <xdr:rowOff>274320</xdr:rowOff>
    </xdr:to>
    <xdr:cxnSp macro="">
      <xdr:nvCxnSpPr>
        <xdr:cNvPr id="5" name="Straight Arrow Connector 4"/>
        <xdr:cNvCxnSpPr/>
      </xdr:nvCxnSpPr>
      <xdr:spPr bwMode="auto">
        <a:xfrm flipH="1" flipV="1">
          <a:off x="176784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5</xdr:col>
      <xdr:colOff>175260</xdr:colOff>
      <xdr:row>1</xdr:row>
      <xdr:rowOff>45720</xdr:rowOff>
    </xdr:from>
    <xdr:to>
      <xdr:col>5</xdr:col>
      <xdr:colOff>182880</xdr:colOff>
      <xdr:row>1</xdr:row>
      <xdr:rowOff>274320</xdr:rowOff>
    </xdr:to>
    <xdr:cxnSp macro="">
      <xdr:nvCxnSpPr>
        <xdr:cNvPr id="6" name="Straight Arrow Connector 5"/>
        <xdr:cNvCxnSpPr/>
      </xdr:nvCxnSpPr>
      <xdr:spPr bwMode="auto">
        <a:xfrm flipH="1" flipV="1">
          <a:off x="217932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6</xdr:col>
      <xdr:colOff>175260</xdr:colOff>
      <xdr:row>1</xdr:row>
      <xdr:rowOff>45720</xdr:rowOff>
    </xdr:from>
    <xdr:to>
      <xdr:col>6</xdr:col>
      <xdr:colOff>182880</xdr:colOff>
      <xdr:row>1</xdr:row>
      <xdr:rowOff>274320</xdr:rowOff>
    </xdr:to>
    <xdr:cxnSp macro="">
      <xdr:nvCxnSpPr>
        <xdr:cNvPr id="7" name="Straight Arrow Connector 6"/>
        <xdr:cNvCxnSpPr/>
      </xdr:nvCxnSpPr>
      <xdr:spPr bwMode="auto">
        <a:xfrm flipH="1" flipV="1">
          <a:off x="250698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7</xdr:col>
      <xdr:colOff>175260</xdr:colOff>
      <xdr:row>1</xdr:row>
      <xdr:rowOff>45720</xdr:rowOff>
    </xdr:from>
    <xdr:to>
      <xdr:col>7</xdr:col>
      <xdr:colOff>182880</xdr:colOff>
      <xdr:row>1</xdr:row>
      <xdr:rowOff>274320</xdr:rowOff>
    </xdr:to>
    <xdr:cxnSp macro="">
      <xdr:nvCxnSpPr>
        <xdr:cNvPr id="8" name="Straight Arrow Connector 7"/>
        <xdr:cNvCxnSpPr/>
      </xdr:nvCxnSpPr>
      <xdr:spPr bwMode="auto">
        <a:xfrm flipH="1" flipV="1">
          <a:off x="283464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8</xdr:col>
      <xdr:colOff>175260</xdr:colOff>
      <xdr:row>1</xdr:row>
      <xdr:rowOff>45720</xdr:rowOff>
    </xdr:from>
    <xdr:to>
      <xdr:col>8</xdr:col>
      <xdr:colOff>182880</xdr:colOff>
      <xdr:row>1</xdr:row>
      <xdr:rowOff>274320</xdr:rowOff>
    </xdr:to>
    <xdr:cxnSp macro="">
      <xdr:nvCxnSpPr>
        <xdr:cNvPr id="9" name="Straight Arrow Connector 8"/>
        <xdr:cNvCxnSpPr/>
      </xdr:nvCxnSpPr>
      <xdr:spPr bwMode="auto">
        <a:xfrm flipH="1" flipV="1">
          <a:off x="316230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9</xdr:col>
      <xdr:colOff>175260</xdr:colOff>
      <xdr:row>1</xdr:row>
      <xdr:rowOff>45720</xdr:rowOff>
    </xdr:from>
    <xdr:to>
      <xdr:col>9</xdr:col>
      <xdr:colOff>182880</xdr:colOff>
      <xdr:row>1</xdr:row>
      <xdr:rowOff>274320</xdr:rowOff>
    </xdr:to>
    <xdr:cxnSp macro="">
      <xdr:nvCxnSpPr>
        <xdr:cNvPr id="10" name="Straight Arrow Connector 9"/>
        <xdr:cNvCxnSpPr/>
      </xdr:nvCxnSpPr>
      <xdr:spPr bwMode="auto">
        <a:xfrm flipH="1" flipV="1">
          <a:off x="348996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10</xdr:col>
      <xdr:colOff>175260</xdr:colOff>
      <xdr:row>1</xdr:row>
      <xdr:rowOff>45720</xdr:rowOff>
    </xdr:from>
    <xdr:to>
      <xdr:col>10</xdr:col>
      <xdr:colOff>182880</xdr:colOff>
      <xdr:row>1</xdr:row>
      <xdr:rowOff>274320</xdr:rowOff>
    </xdr:to>
    <xdr:cxnSp macro="">
      <xdr:nvCxnSpPr>
        <xdr:cNvPr id="11" name="Straight Arrow Connector 10"/>
        <xdr:cNvCxnSpPr/>
      </xdr:nvCxnSpPr>
      <xdr:spPr bwMode="auto">
        <a:xfrm flipH="1" flipV="1">
          <a:off x="381762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11</xdr:col>
      <xdr:colOff>175260</xdr:colOff>
      <xdr:row>1</xdr:row>
      <xdr:rowOff>45720</xdr:rowOff>
    </xdr:from>
    <xdr:to>
      <xdr:col>11</xdr:col>
      <xdr:colOff>182880</xdr:colOff>
      <xdr:row>1</xdr:row>
      <xdr:rowOff>274320</xdr:rowOff>
    </xdr:to>
    <xdr:cxnSp macro="">
      <xdr:nvCxnSpPr>
        <xdr:cNvPr id="12" name="Straight Arrow Connector 11"/>
        <xdr:cNvCxnSpPr/>
      </xdr:nvCxnSpPr>
      <xdr:spPr bwMode="auto">
        <a:xfrm flipH="1" flipV="1">
          <a:off x="414528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12</xdr:col>
      <xdr:colOff>175260</xdr:colOff>
      <xdr:row>1</xdr:row>
      <xdr:rowOff>45720</xdr:rowOff>
    </xdr:from>
    <xdr:to>
      <xdr:col>12</xdr:col>
      <xdr:colOff>182880</xdr:colOff>
      <xdr:row>1</xdr:row>
      <xdr:rowOff>274320</xdr:rowOff>
    </xdr:to>
    <xdr:cxnSp macro="">
      <xdr:nvCxnSpPr>
        <xdr:cNvPr id="13" name="Straight Arrow Connector 12"/>
        <xdr:cNvCxnSpPr/>
      </xdr:nvCxnSpPr>
      <xdr:spPr bwMode="auto">
        <a:xfrm flipH="1" flipV="1">
          <a:off x="447294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13</xdr:col>
      <xdr:colOff>175260</xdr:colOff>
      <xdr:row>1</xdr:row>
      <xdr:rowOff>45720</xdr:rowOff>
    </xdr:from>
    <xdr:to>
      <xdr:col>13</xdr:col>
      <xdr:colOff>182880</xdr:colOff>
      <xdr:row>1</xdr:row>
      <xdr:rowOff>274320</xdr:rowOff>
    </xdr:to>
    <xdr:cxnSp macro="">
      <xdr:nvCxnSpPr>
        <xdr:cNvPr id="14" name="Straight Arrow Connector 13"/>
        <xdr:cNvCxnSpPr/>
      </xdr:nvCxnSpPr>
      <xdr:spPr bwMode="auto">
        <a:xfrm flipH="1" flipV="1">
          <a:off x="480060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14</xdr:col>
      <xdr:colOff>175260</xdr:colOff>
      <xdr:row>1</xdr:row>
      <xdr:rowOff>45720</xdr:rowOff>
    </xdr:from>
    <xdr:to>
      <xdr:col>14</xdr:col>
      <xdr:colOff>182880</xdr:colOff>
      <xdr:row>1</xdr:row>
      <xdr:rowOff>274320</xdr:rowOff>
    </xdr:to>
    <xdr:cxnSp macro="">
      <xdr:nvCxnSpPr>
        <xdr:cNvPr id="15" name="Straight Arrow Connector 14"/>
        <xdr:cNvCxnSpPr/>
      </xdr:nvCxnSpPr>
      <xdr:spPr bwMode="auto">
        <a:xfrm flipH="1" flipV="1">
          <a:off x="512826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15</xdr:col>
      <xdr:colOff>175260</xdr:colOff>
      <xdr:row>1</xdr:row>
      <xdr:rowOff>45720</xdr:rowOff>
    </xdr:from>
    <xdr:to>
      <xdr:col>15</xdr:col>
      <xdr:colOff>182880</xdr:colOff>
      <xdr:row>1</xdr:row>
      <xdr:rowOff>274320</xdr:rowOff>
    </xdr:to>
    <xdr:cxnSp macro="">
      <xdr:nvCxnSpPr>
        <xdr:cNvPr id="16" name="Straight Arrow Connector 15"/>
        <xdr:cNvCxnSpPr/>
      </xdr:nvCxnSpPr>
      <xdr:spPr bwMode="auto">
        <a:xfrm flipH="1" flipV="1">
          <a:off x="545592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16</xdr:col>
      <xdr:colOff>175260</xdr:colOff>
      <xdr:row>1</xdr:row>
      <xdr:rowOff>45720</xdr:rowOff>
    </xdr:from>
    <xdr:to>
      <xdr:col>16</xdr:col>
      <xdr:colOff>182880</xdr:colOff>
      <xdr:row>1</xdr:row>
      <xdr:rowOff>274320</xdr:rowOff>
    </xdr:to>
    <xdr:cxnSp macro="">
      <xdr:nvCxnSpPr>
        <xdr:cNvPr id="17" name="Straight Arrow Connector 16"/>
        <xdr:cNvCxnSpPr/>
      </xdr:nvCxnSpPr>
      <xdr:spPr bwMode="auto">
        <a:xfrm flipH="1" flipV="1">
          <a:off x="578358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17</xdr:col>
      <xdr:colOff>175260</xdr:colOff>
      <xdr:row>1</xdr:row>
      <xdr:rowOff>45720</xdr:rowOff>
    </xdr:from>
    <xdr:to>
      <xdr:col>17</xdr:col>
      <xdr:colOff>182880</xdr:colOff>
      <xdr:row>1</xdr:row>
      <xdr:rowOff>274320</xdr:rowOff>
    </xdr:to>
    <xdr:cxnSp macro="">
      <xdr:nvCxnSpPr>
        <xdr:cNvPr id="18" name="Straight Arrow Connector 17"/>
        <xdr:cNvCxnSpPr/>
      </xdr:nvCxnSpPr>
      <xdr:spPr bwMode="auto">
        <a:xfrm flipH="1" flipV="1">
          <a:off x="611124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18</xdr:col>
      <xdr:colOff>175260</xdr:colOff>
      <xdr:row>1</xdr:row>
      <xdr:rowOff>45720</xdr:rowOff>
    </xdr:from>
    <xdr:to>
      <xdr:col>18</xdr:col>
      <xdr:colOff>182880</xdr:colOff>
      <xdr:row>1</xdr:row>
      <xdr:rowOff>274320</xdr:rowOff>
    </xdr:to>
    <xdr:cxnSp macro="">
      <xdr:nvCxnSpPr>
        <xdr:cNvPr id="19" name="Straight Arrow Connector 18"/>
        <xdr:cNvCxnSpPr/>
      </xdr:nvCxnSpPr>
      <xdr:spPr bwMode="auto">
        <a:xfrm flipH="1" flipV="1">
          <a:off x="643890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19</xdr:col>
      <xdr:colOff>175260</xdr:colOff>
      <xdr:row>1</xdr:row>
      <xdr:rowOff>45720</xdr:rowOff>
    </xdr:from>
    <xdr:to>
      <xdr:col>19</xdr:col>
      <xdr:colOff>182880</xdr:colOff>
      <xdr:row>1</xdr:row>
      <xdr:rowOff>274320</xdr:rowOff>
    </xdr:to>
    <xdr:cxnSp macro="">
      <xdr:nvCxnSpPr>
        <xdr:cNvPr id="20" name="Straight Arrow Connector 19"/>
        <xdr:cNvCxnSpPr/>
      </xdr:nvCxnSpPr>
      <xdr:spPr bwMode="auto">
        <a:xfrm flipH="1" flipV="1">
          <a:off x="676656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20</xdr:col>
      <xdr:colOff>175260</xdr:colOff>
      <xdr:row>1</xdr:row>
      <xdr:rowOff>45720</xdr:rowOff>
    </xdr:from>
    <xdr:to>
      <xdr:col>20</xdr:col>
      <xdr:colOff>182880</xdr:colOff>
      <xdr:row>1</xdr:row>
      <xdr:rowOff>274320</xdr:rowOff>
    </xdr:to>
    <xdr:cxnSp macro="">
      <xdr:nvCxnSpPr>
        <xdr:cNvPr id="21" name="Straight Arrow Connector 20"/>
        <xdr:cNvCxnSpPr/>
      </xdr:nvCxnSpPr>
      <xdr:spPr bwMode="auto">
        <a:xfrm flipH="1" flipV="1">
          <a:off x="709422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21</xdr:col>
      <xdr:colOff>160020</xdr:colOff>
      <xdr:row>1</xdr:row>
      <xdr:rowOff>53340</xdr:rowOff>
    </xdr:from>
    <xdr:to>
      <xdr:col>21</xdr:col>
      <xdr:colOff>167640</xdr:colOff>
      <xdr:row>1</xdr:row>
      <xdr:rowOff>281940</xdr:rowOff>
    </xdr:to>
    <xdr:cxnSp macro="">
      <xdr:nvCxnSpPr>
        <xdr:cNvPr id="22" name="Straight Arrow Connector 21"/>
        <xdr:cNvCxnSpPr/>
      </xdr:nvCxnSpPr>
      <xdr:spPr bwMode="auto">
        <a:xfrm flipH="1" flipV="1">
          <a:off x="7406640" y="5334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22</xdr:col>
      <xdr:colOff>175260</xdr:colOff>
      <xdr:row>1</xdr:row>
      <xdr:rowOff>45720</xdr:rowOff>
    </xdr:from>
    <xdr:to>
      <xdr:col>22</xdr:col>
      <xdr:colOff>182880</xdr:colOff>
      <xdr:row>1</xdr:row>
      <xdr:rowOff>274320</xdr:rowOff>
    </xdr:to>
    <xdr:cxnSp macro="">
      <xdr:nvCxnSpPr>
        <xdr:cNvPr id="23" name="Straight Arrow Connector 22"/>
        <xdr:cNvCxnSpPr/>
      </xdr:nvCxnSpPr>
      <xdr:spPr bwMode="auto">
        <a:xfrm flipH="1" flipV="1">
          <a:off x="774954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23</xdr:col>
      <xdr:colOff>175260</xdr:colOff>
      <xdr:row>1</xdr:row>
      <xdr:rowOff>45720</xdr:rowOff>
    </xdr:from>
    <xdr:to>
      <xdr:col>23</xdr:col>
      <xdr:colOff>182880</xdr:colOff>
      <xdr:row>1</xdr:row>
      <xdr:rowOff>274320</xdr:rowOff>
    </xdr:to>
    <xdr:cxnSp macro="">
      <xdr:nvCxnSpPr>
        <xdr:cNvPr id="24" name="Straight Arrow Connector 23"/>
        <xdr:cNvCxnSpPr/>
      </xdr:nvCxnSpPr>
      <xdr:spPr bwMode="auto">
        <a:xfrm flipH="1" flipV="1">
          <a:off x="807720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25</xdr:col>
      <xdr:colOff>175260</xdr:colOff>
      <xdr:row>1</xdr:row>
      <xdr:rowOff>45720</xdr:rowOff>
    </xdr:from>
    <xdr:to>
      <xdr:col>25</xdr:col>
      <xdr:colOff>182880</xdr:colOff>
      <xdr:row>1</xdr:row>
      <xdr:rowOff>274320</xdr:rowOff>
    </xdr:to>
    <xdr:cxnSp macro="">
      <xdr:nvCxnSpPr>
        <xdr:cNvPr id="25" name="Straight Arrow Connector 24"/>
        <xdr:cNvCxnSpPr/>
      </xdr:nvCxnSpPr>
      <xdr:spPr bwMode="auto">
        <a:xfrm flipH="1" flipV="1">
          <a:off x="840486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26</xdr:col>
      <xdr:colOff>175260</xdr:colOff>
      <xdr:row>1</xdr:row>
      <xdr:rowOff>45720</xdr:rowOff>
    </xdr:from>
    <xdr:to>
      <xdr:col>26</xdr:col>
      <xdr:colOff>182880</xdr:colOff>
      <xdr:row>1</xdr:row>
      <xdr:rowOff>274320</xdr:rowOff>
    </xdr:to>
    <xdr:cxnSp macro="">
      <xdr:nvCxnSpPr>
        <xdr:cNvPr id="26" name="Straight Arrow Connector 25"/>
        <xdr:cNvCxnSpPr/>
      </xdr:nvCxnSpPr>
      <xdr:spPr bwMode="auto">
        <a:xfrm flipH="1" flipV="1">
          <a:off x="873252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27</xdr:col>
      <xdr:colOff>175260</xdr:colOff>
      <xdr:row>1</xdr:row>
      <xdr:rowOff>45720</xdr:rowOff>
    </xdr:from>
    <xdr:to>
      <xdr:col>27</xdr:col>
      <xdr:colOff>182880</xdr:colOff>
      <xdr:row>1</xdr:row>
      <xdr:rowOff>274320</xdr:rowOff>
    </xdr:to>
    <xdr:cxnSp macro="">
      <xdr:nvCxnSpPr>
        <xdr:cNvPr id="27" name="Straight Arrow Connector 26"/>
        <xdr:cNvCxnSpPr/>
      </xdr:nvCxnSpPr>
      <xdr:spPr bwMode="auto">
        <a:xfrm flipH="1" flipV="1">
          <a:off x="906018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28</xdr:col>
      <xdr:colOff>175260</xdr:colOff>
      <xdr:row>1</xdr:row>
      <xdr:rowOff>45720</xdr:rowOff>
    </xdr:from>
    <xdr:to>
      <xdr:col>28</xdr:col>
      <xdr:colOff>182880</xdr:colOff>
      <xdr:row>1</xdr:row>
      <xdr:rowOff>274320</xdr:rowOff>
    </xdr:to>
    <xdr:cxnSp macro="">
      <xdr:nvCxnSpPr>
        <xdr:cNvPr id="28" name="Straight Arrow Connector 27"/>
        <xdr:cNvCxnSpPr/>
      </xdr:nvCxnSpPr>
      <xdr:spPr bwMode="auto">
        <a:xfrm flipH="1" flipV="1">
          <a:off x="938784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0</xdr:col>
      <xdr:colOff>152400</xdr:colOff>
      <xdr:row>1</xdr:row>
      <xdr:rowOff>38100</xdr:rowOff>
    </xdr:from>
    <xdr:to>
      <xdr:col>0</xdr:col>
      <xdr:colOff>464820</xdr:colOff>
      <xdr:row>1</xdr:row>
      <xdr:rowOff>266700</xdr:rowOff>
    </xdr:to>
    <xdr:sp macro="" textlink="">
      <xdr:nvSpPr>
        <xdr:cNvPr id="29" name="Down Arrow 28"/>
        <xdr:cNvSpPr/>
      </xdr:nvSpPr>
      <xdr:spPr bwMode="auto">
        <a:xfrm>
          <a:off x="152400" y="38100"/>
          <a:ext cx="312420" cy="228600"/>
        </a:xfrm>
        <a:prstGeom prst="downArrow">
          <a:avLst/>
        </a:prstGeom>
        <a:solidFill>
          <a:schemeClr val="accent2"/>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4</xdr:col>
      <xdr:colOff>175260</xdr:colOff>
      <xdr:row>1</xdr:row>
      <xdr:rowOff>45720</xdr:rowOff>
    </xdr:from>
    <xdr:to>
      <xdr:col>4</xdr:col>
      <xdr:colOff>182880</xdr:colOff>
      <xdr:row>1</xdr:row>
      <xdr:rowOff>274320</xdr:rowOff>
    </xdr:to>
    <xdr:cxnSp macro="">
      <xdr:nvCxnSpPr>
        <xdr:cNvPr id="30" name="Straight Arrow Connector 29"/>
        <xdr:cNvCxnSpPr/>
      </xdr:nvCxnSpPr>
      <xdr:spPr bwMode="auto">
        <a:xfrm flipH="1" flipV="1">
          <a:off x="176784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8</xdr:col>
      <xdr:colOff>175260</xdr:colOff>
      <xdr:row>10</xdr:row>
      <xdr:rowOff>45720</xdr:rowOff>
    </xdr:from>
    <xdr:to>
      <xdr:col>8</xdr:col>
      <xdr:colOff>182880</xdr:colOff>
      <xdr:row>10</xdr:row>
      <xdr:rowOff>274320</xdr:rowOff>
    </xdr:to>
    <xdr:cxnSp macro="">
      <xdr:nvCxnSpPr>
        <xdr:cNvPr id="37" name="Straight Arrow Connector 36"/>
        <xdr:cNvCxnSpPr/>
      </xdr:nvCxnSpPr>
      <xdr:spPr bwMode="auto">
        <a:xfrm flipH="1" flipV="1">
          <a:off x="307848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9</xdr:col>
      <xdr:colOff>175260</xdr:colOff>
      <xdr:row>10</xdr:row>
      <xdr:rowOff>45720</xdr:rowOff>
    </xdr:from>
    <xdr:to>
      <xdr:col>9</xdr:col>
      <xdr:colOff>182880</xdr:colOff>
      <xdr:row>10</xdr:row>
      <xdr:rowOff>274320</xdr:rowOff>
    </xdr:to>
    <xdr:cxnSp macro="">
      <xdr:nvCxnSpPr>
        <xdr:cNvPr id="38" name="Straight Arrow Connector 37"/>
        <xdr:cNvCxnSpPr/>
      </xdr:nvCxnSpPr>
      <xdr:spPr bwMode="auto">
        <a:xfrm flipH="1" flipV="1">
          <a:off x="340614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10</xdr:col>
      <xdr:colOff>175260</xdr:colOff>
      <xdr:row>10</xdr:row>
      <xdr:rowOff>45720</xdr:rowOff>
    </xdr:from>
    <xdr:to>
      <xdr:col>10</xdr:col>
      <xdr:colOff>182880</xdr:colOff>
      <xdr:row>10</xdr:row>
      <xdr:rowOff>274320</xdr:rowOff>
    </xdr:to>
    <xdr:cxnSp macro="">
      <xdr:nvCxnSpPr>
        <xdr:cNvPr id="39" name="Straight Arrow Connector 38"/>
        <xdr:cNvCxnSpPr/>
      </xdr:nvCxnSpPr>
      <xdr:spPr bwMode="auto">
        <a:xfrm flipH="1" flipV="1">
          <a:off x="373380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11</xdr:col>
      <xdr:colOff>175260</xdr:colOff>
      <xdr:row>10</xdr:row>
      <xdr:rowOff>45720</xdr:rowOff>
    </xdr:from>
    <xdr:to>
      <xdr:col>11</xdr:col>
      <xdr:colOff>182880</xdr:colOff>
      <xdr:row>10</xdr:row>
      <xdr:rowOff>274320</xdr:rowOff>
    </xdr:to>
    <xdr:cxnSp macro="">
      <xdr:nvCxnSpPr>
        <xdr:cNvPr id="40" name="Straight Arrow Connector 39"/>
        <xdr:cNvCxnSpPr/>
      </xdr:nvCxnSpPr>
      <xdr:spPr bwMode="auto">
        <a:xfrm flipH="1" flipV="1">
          <a:off x="406146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12</xdr:col>
      <xdr:colOff>175260</xdr:colOff>
      <xdr:row>10</xdr:row>
      <xdr:rowOff>45720</xdr:rowOff>
    </xdr:from>
    <xdr:to>
      <xdr:col>12</xdr:col>
      <xdr:colOff>182880</xdr:colOff>
      <xdr:row>10</xdr:row>
      <xdr:rowOff>274320</xdr:rowOff>
    </xdr:to>
    <xdr:cxnSp macro="">
      <xdr:nvCxnSpPr>
        <xdr:cNvPr id="41" name="Straight Arrow Connector 40"/>
        <xdr:cNvCxnSpPr/>
      </xdr:nvCxnSpPr>
      <xdr:spPr bwMode="auto">
        <a:xfrm flipH="1" flipV="1">
          <a:off x="438912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13</xdr:col>
      <xdr:colOff>175260</xdr:colOff>
      <xdr:row>10</xdr:row>
      <xdr:rowOff>45720</xdr:rowOff>
    </xdr:from>
    <xdr:to>
      <xdr:col>13</xdr:col>
      <xdr:colOff>182880</xdr:colOff>
      <xdr:row>10</xdr:row>
      <xdr:rowOff>274320</xdr:rowOff>
    </xdr:to>
    <xdr:cxnSp macro="">
      <xdr:nvCxnSpPr>
        <xdr:cNvPr id="42" name="Straight Arrow Connector 41"/>
        <xdr:cNvCxnSpPr/>
      </xdr:nvCxnSpPr>
      <xdr:spPr bwMode="auto">
        <a:xfrm flipH="1" flipV="1">
          <a:off x="471678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14</xdr:col>
      <xdr:colOff>175260</xdr:colOff>
      <xdr:row>10</xdr:row>
      <xdr:rowOff>45720</xdr:rowOff>
    </xdr:from>
    <xdr:to>
      <xdr:col>14</xdr:col>
      <xdr:colOff>182880</xdr:colOff>
      <xdr:row>10</xdr:row>
      <xdr:rowOff>274320</xdr:rowOff>
    </xdr:to>
    <xdr:cxnSp macro="">
      <xdr:nvCxnSpPr>
        <xdr:cNvPr id="43" name="Straight Arrow Connector 42"/>
        <xdr:cNvCxnSpPr/>
      </xdr:nvCxnSpPr>
      <xdr:spPr bwMode="auto">
        <a:xfrm flipH="1" flipV="1">
          <a:off x="504444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15</xdr:col>
      <xdr:colOff>175260</xdr:colOff>
      <xdr:row>10</xdr:row>
      <xdr:rowOff>45720</xdr:rowOff>
    </xdr:from>
    <xdr:to>
      <xdr:col>15</xdr:col>
      <xdr:colOff>182880</xdr:colOff>
      <xdr:row>10</xdr:row>
      <xdr:rowOff>274320</xdr:rowOff>
    </xdr:to>
    <xdr:cxnSp macro="">
      <xdr:nvCxnSpPr>
        <xdr:cNvPr id="44" name="Straight Arrow Connector 43"/>
        <xdr:cNvCxnSpPr/>
      </xdr:nvCxnSpPr>
      <xdr:spPr bwMode="auto">
        <a:xfrm flipH="1" flipV="1">
          <a:off x="537210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16</xdr:col>
      <xdr:colOff>175260</xdr:colOff>
      <xdr:row>10</xdr:row>
      <xdr:rowOff>45720</xdr:rowOff>
    </xdr:from>
    <xdr:to>
      <xdr:col>16</xdr:col>
      <xdr:colOff>182880</xdr:colOff>
      <xdr:row>10</xdr:row>
      <xdr:rowOff>274320</xdr:rowOff>
    </xdr:to>
    <xdr:cxnSp macro="">
      <xdr:nvCxnSpPr>
        <xdr:cNvPr id="45" name="Straight Arrow Connector 44"/>
        <xdr:cNvCxnSpPr/>
      </xdr:nvCxnSpPr>
      <xdr:spPr bwMode="auto">
        <a:xfrm flipH="1" flipV="1">
          <a:off x="569976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17</xdr:col>
      <xdr:colOff>175260</xdr:colOff>
      <xdr:row>10</xdr:row>
      <xdr:rowOff>45720</xdr:rowOff>
    </xdr:from>
    <xdr:to>
      <xdr:col>17</xdr:col>
      <xdr:colOff>182880</xdr:colOff>
      <xdr:row>10</xdr:row>
      <xdr:rowOff>274320</xdr:rowOff>
    </xdr:to>
    <xdr:cxnSp macro="">
      <xdr:nvCxnSpPr>
        <xdr:cNvPr id="46" name="Straight Arrow Connector 45"/>
        <xdr:cNvCxnSpPr/>
      </xdr:nvCxnSpPr>
      <xdr:spPr bwMode="auto">
        <a:xfrm flipH="1" flipV="1">
          <a:off x="602742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18</xdr:col>
      <xdr:colOff>175260</xdr:colOff>
      <xdr:row>10</xdr:row>
      <xdr:rowOff>45720</xdr:rowOff>
    </xdr:from>
    <xdr:to>
      <xdr:col>18</xdr:col>
      <xdr:colOff>182880</xdr:colOff>
      <xdr:row>10</xdr:row>
      <xdr:rowOff>274320</xdr:rowOff>
    </xdr:to>
    <xdr:cxnSp macro="">
      <xdr:nvCxnSpPr>
        <xdr:cNvPr id="47" name="Straight Arrow Connector 46"/>
        <xdr:cNvCxnSpPr/>
      </xdr:nvCxnSpPr>
      <xdr:spPr bwMode="auto">
        <a:xfrm flipH="1" flipV="1">
          <a:off x="635508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19</xdr:col>
      <xdr:colOff>175260</xdr:colOff>
      <xdr:row>10</xdr:row>
      <xdr:rowOff>45720</xdr:rowOff>
    </xdr:from>
    <xdr:to>
      <xdr:col>19</xdr:col>
      <xdr:colOff>182880</xdr:colOff>
      <xdr:row>10</xdr:row>
      <xdr:rowOff>274320</xdr:rowOff>
    </xdr:to>
    <xdr:cxnSp macro="">
      <xdr:nvCxnSpPr>
        <xdr:cNvPr id="48" name="Straight Arrow Connector 47"/>
        <xdr:cNvCxnSpPr/>
      </xdr:nvCxnSpPr>
      <xdr:spPr bwMode="auto">
        <a:xfrm flipH="1" flipV="1">
          <a:off x="668274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20</xdr:col>
      <xdr:colOff>175260</xdr:colOff>
      <xdr:row>10</xdr:row>
      <xdr:rowOff>45720</xdr:rowOff>
    </xdr:from>
    <xdr:to>
      <xdr:col>20</xdr:col>
      <xdr:colOff>182880</xdr:colOff>
      <xdr:row>10</xdr:row>
      <xdr:rowOff>274320</xdr:rowOff>
    </xdr:to>
    <xdr:cxnSp macro="">
      <xdr:nvCxnSpPr>
        <xdr:cNvPr id="49" name="Straight Arrow Connector 48"/>
        <xdr:cNvCxnSpPr/>
      </xdr:nvCxnSpPr>
      <xdr:spPr bwMode="auto">
        <a:xfrm flipH="1" flipV="1">
          <a:off x="701040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21</xdr:col>
      <xdr:colOff>160020</xdr:colOff>
      <xdr:row>10</xdr:row>
      <xdr:rowOff>53340</xdr:rowOff>
    </xdr:from>
    <xdr:to>
      <xdr:col>21</xdr:col>
      <xdr:colOff>167640</xdr:colOff>
      <xdr:row>10</xdr:row>
      <xdr:rowOff>281940</xdr:rowOff>
    </xdr:to>
    <xdr:cxnSp macro="">
      <xdr:nvCxnSpPr>
        <xdr:cNvPr id="50" name="Straight Arrow Connector 49"/>
        <xdr:cNvCxnSpPr/>
      </xdr:nvCxnSpPr>
      <xdr:spPr bwMode="auto">
        <a:xfrm flipH="1" flipV="1">
          <a:off x="7322820" y="5334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22</xdr:col>
      <xdr:colOff>175260</xdr:colOff>
      <xdr:row>10</xdr:row>
      <xdr:rowOff>45720</xdr:rowOff>
    </xdr:from>
    <xdr:to>
      <xdr:col>22</xdr:col>
      <xdr:colOff>182880</xdr:colOff>
      <xdr:row>10</xdr:row>
      <xdr:rowOff>274320</xdr:rowOff>
    </xdr:to>
    <xdr:cxnSp macro="">
      <xdr:nvCxnSpPr>
        <xdr:cNvPr id="51" name="Straight Arrow Connector 50"/>
        <xdr:cNvCxnSpPr/>
      </xdr:nvCxnSpPr>
      <xdr:spPr bwMode="auto">
        <a:xfrm flipH="1" flipV="1">
          <a:off x="766572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23</xdr:col>
      <xdr:colOff>175260</xdr:colOff>
      <xdr:row>10</xdr:row>
      <xdr:rowOff>45720</xdr:rowOff>
    </xdr:from>
    <xdr:to>
      <xdr:col>23</xdr:col>
      <xdr:colOff>182880</xdr:colOff>
      <xdr:row>10</xdr:row>
      <xdr:rowOff>274320</xdr:rowOff>
    </xdr:to>
    <xdr:cxnSp macro="">
      <xdr:nvCxnSpPr>
        <xdr:cNvPr id="52" name="Straight Arrow Connector 51"/>
        <xdr:cNvCxnSpPr/>
      </xdr:nvCxnSpPr>
      <xdr:spPr bwMode="auto">
        <a:xfrm flipH="1" flipV="1">
          <a:off x="799338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25</xdr:col>
      <xdr:colOff>175260</xdr:colOff>
      <xdr:row>10</xdr:row>
      <xdr:rowOff>45720</xdr:rowOff>
    </xdr:from>
    <xdr:to>
      <xdr:col>25</xdr:col>
      <xdr:colOff>182880</xdr:colOff>
      <xdr:row>10</xdr:row>
      <xdr:rowOff>274320</xdr:rowOff>
    </xdr:to>
    <xdr:cxnSp macro="">
      <xdr:nvCxnSpPr>
        <xdr:cNvPr id="53" name="Straight Arrow Connector 52"/>
        <xdr:cNvCxnSpPr/>
      </xdr:nvCxnSpPr>
      <xdr:spPr bwMode="auto">
        <a:xfrm flipH="1" flipV="1">
          <a:off x="838200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26</xdr:col>
      <xdr:colOff>175260</xdr:colOff>
      <xdr:row>10</xdr:row>
      <xdr:rowOff>45720</xdr:rowOff>
    </xdr:from>
    <xdr:to>
      <xdr:col>26</xdr:col>
      <xdr:colOff>182880</xdr:colOff>
      <xdr:row>10</xdr:row>
      <xdr:rowOff>274320</xdr:rowOff>
    </xdr:to>
    <xdr:cxnSp macro="">
      <xdr:nvCxnSpPr>
        <xdr:cNvPr id="54" name="Straight Arrow Connector 53"/>
        <xdr:cNvCxnSpPr/>
      </xdr:nvCxnSpPr>
      <xdr:spPr bwMode="auto">
        <a:xfrm flipH="1" flipV="1">
          <a:off x="870966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27</xdr:col>
      <xdr:colOff>175260</xdr:colOff>
      <xdr:row>10</xdr:row>
      <xdr:rowOff>45720</xdr:rowOff>
    </xdr:from>
    <xdr:to>
      <xdr:col>27</xdr:col>
      <xdr:colOff>182880</xdr:colOff>
      <xdr:row>10</xdr:row>
      <xdr:rowOff>274320</xdr:rowOff>
    </xdr:to>
    <xdr:cxnSp macro="">
      <xdr:nvCxnSpPr>
        <xdr:cNvPr id="55" name="Straight Arrow Connector 54"/>
        <xdr:cNvCxnSpPr/>
      </xdr:nvCxnSpPr>
      <xdr:spPr bwMode="auto">
        <a:xfrm flipH="1" flipV="1">
          <a:off x="903732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28</xdr:col>
      <xdr:colOff>175260</xdr:colOff>
      <xdr:row>10</xdr:row>
      <xdr:rowOff>45720</xdr:rowOff>
    </xdr:from>
    <xdr:to>
      <xdr:col>28</xdr:col>
      <xdr:colOff>182880</xdr:colOff>
      <xdr:row>10</xdr:row>
      <xdr:rowOff>274320</xdr:rowOff>
    </xdr:to>
    <xdr:cxnSp macro="">
      <xdr:nvCxnSpPr>
        <xdr:cNvPr id="56" name="Straight Arrow Connector 55"/>
        <xdr:cNvCxnSpPr/>
      </xdr:nvCxnSpPr>
      <xdr:spPr bwMode="auto">
        <a:xfrm flipH="1" flipV="1">
          <a:off x="9364980" y="45720"/>
          <a:ext cx="762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0</xdr:col>
      <xdr:colOff>152400</xdr:colOff>
      <xdr:row>10</xdr:row>
      <xdr:rowOff>38100</xdr:rowOff>
    </xdr:from>
    <xdr:to>
      <xdr:col>0</xdr:col>
      <xdr:colOff>464820</xdr:colOff>
      <xdr:row>10</xdr:row>
      <xdr:rowOff>266700</xdr:rowOff>
    </xdr:to>
    <xdr:sp macro="" textlink="">
      <xdr:nvSpPr>
        <xdr:cNvPr id="57" name="Down Arrow 56"/>
        <xdr:cNvSpPr/>
      </xdr:nvSpPr>
      <xdr:spPr bwMode="auto">
        <a:xfrm>
          <a:off x="152400" y="38100"/>
          <a:ext cx="312420" cy="228600"/>
        </a:xfrm>
        <a:prstGeom prst="downArrow">
          <a:avLst/>
        </a:prstGeom>
        <a:solidFill>
          <a:schemeClr val="accent2"/>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1</xdr:col>
      <xdr:colOff>175260</xdr:colOff>
      <xdr:row>10</xdr:row>
      <xdr:rowOff>45720</xdr:rowOff>
    </xdr:from>
    <xdr:to>
      <xdr:col>1</xdr:col>
      <xdr:colOff>190500</xdr:colOff>
      <xdr:row>10</xdr:row>
      <xdr:rowOff>274320</xdr:rowOff>
    </xdr:to>
    <xdr:cxnSp macro="">
      <xdr:nvCxnSpPr>
        <xdr:cNvPr id="59" name="Straight Arrow Connector 58"/>
        <xdr:cNvCxnSpPr/>
      </xdr:nvCxnSpPr>
      <xdr:spPr bwMode="auto">
        <a:xfrm>
          <a:off x="7421880" y="3368040"/>
          <a:ext cx="1524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2</xdr:col>
      <xdr:colOff>175260</xdr:colOff>
      <xdr:row>10</xdr:row>
      <xdr:rowOff>45720</xdr:rowOff>
    </xdr:from>
    <xdr:to>
      <xdr:col>2</xdr:col>
      <xdr:colOff>190500</xdr:colOff>
      <xdr:row>10</xdr:row>
      <xdr:rowOff>274320</xdr:rowOff>
    </xdr:to>
    <xdr:cxnSp macro="">
      <xdr:nvCxnSpPr>
        <xdr:cNvPr id="60" name="Straight Arrow Connector 59"/>
        <xdr:cNvCxnSpPr/>
      </xdr:nvCxnSpPr>
      <xdr:spPr bwMode="auto">
        <a:xfrm>
          <a:off x="7749540" y="3368040"/>
          <a:ext cx="1524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3</xdr:col>
      <xdr:colOff>175260</xdr:colOff>
      <xdr:row>10</xdr:row>
      <xdr:rowOff>45720</xdr:rowOff>
    </xdr:from>
    <xdr:to>
      <xdr:col>3</xdr:col>
      <xdr:colOff>190500</xdr:colOff>
      <xdr:row>10</xdr:row>
      <xdr:rowOff>274320</xdr:rowOff>
    </xdr:to>
    <xdr:cxnSp macro="">
      <xdr:nvCxnSpPr>
        <xdr:cNvPr id="61" name="Straight Arrow Connector 60"/>
        <xdr:cNvCxnSpPr/>
      </xdr:nvCxnSpPr>
      <xdr:spPr bwMode="auto">
        <a:xfrm>
          <a:off x="8077200" y="3368040"/>
          <a:ext cx="1524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4</xdr:col>
      <xdr:colOff>175260</xdr:colOff>
      <xdr:row>10</xdr:row>
      <xdr:rowOff>45720</xdr:rowOff>
    </xdr:from>
    <xdr:to>
      <xdr:col>4</xdr:col>
      <xdr:colOff>190500</xdr:colOff>
      <xdr:row>10</xdr:row>
      <xdr:rowOff>274320</xdr:rowOff>
    </xdr:to>
    <xdr:cxnSp macro="">
      <xdr:nvCxnSpPr>
        <xdr:cNvPr id="62" name="Straight Arrow Connector 61"/>
        <xdr:cNvCxnSpPr/>
      </xdr:nvCxnSpPr>
      <xdr:spPr bwMode="auto">
        <a:xfrm>
          <a:off x="8404860" y="3368040"/>
          <a:ext cx="1524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5</xdr:col>
      <xdr:colOff>175260</xdr:colOff>
      <xdr:row>10</xdr:row>
      <xdr:rowOff>45720</xdr:rowOff>
    </xdr:from>
    <xdr:to>
      <xdr:col>5</xdr:col>
      <xdr:colOff>190500</xdr:colOff>
      <xdr:row>10</xdr:row>
      <xdr:rowOff>274320</xdr:rowOff>
    </xdr:to>
    <xdr:cxnSp macro="">
      <xdr:nvCxnSpPr>
        <xdr:cNvPr id="63" name="Straight Arrow Connector 62"/>
        <xdr:cNvCxnSpPr/>
      </xdr:nvCxnSpPr>
      <xdr:spPr bwMode="auto">
        <a:xfrm>
          <a:off x="8732520" y="3368040"/>
          <a:ext cx="1524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6</xdr:col>
      <xdr:colOff>175260</xdr:colOff>
      <xdr:row>10</xdr:row>
      <xdr:rowOff>45720</xdr:rowOff>
    </xdr:from>
    <xdr:to>
      <xdr:col>6</xdr:col>
      <xdr:colOff>190500</xdr:colOff>
      <xdr:row>10</xdr:row>
      <xdr:rowOff>274320</xdr:rowOff>
    </xdr:to>
    <xdr:cxnSp macro="">
      <xdr:nvCxnSpPr>
        <xdr:cNvPr id="64" name="Straight Arrow Connector 63"/>
        <xdr:cNvCxnSpPr/>
      </xdr:nvCxnSpPr>
      <xdr:spPr bwMode="auto">
        <a:xfrm>
          <a:off x="9060180" y="3368040"/>
          <a:ext cx="1524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twoCellAnchor>
    <xdr:from>
      <xdr:col>7</xdr:col>
      <xdr:colOff>175260</xdr:colOff>
      <xdr:row>10</xdr:row>
      <xdr:rowOff>45720</xdr:rowOff>
    </xdr:from>
    <xdr:to>
      <xdr:col>7</xdr:col>
      <xdr:colOff>190500</xdr:colOff>
      <xdr:row>10</xdr:row>
      <xdr:rowOff>274320</xdr:rowOff>
    </xdr:to>
    <xdr:cxnSp macro="">
      <xdr:nvCxnSpPr>
        <xdr:cNvPr id="65" name="Straight Arrow Connector 64"/>
        <xdr:cNvCxnSpPr/>
      </xdr:nvCxnSpPr>
      <xdr:spPr bwMode="auto">
        <a:xfrm>
          <a:off x="9387840" y="3368040"/>
          <a:ext cx="15240" cy="228600"/>
        </a:xfrm>
        <a:prstGeom prst="straightConnector1">
          <a:avLst/>
        </a:prstGeom>
        <a:solidFill>
          <a:srgbClr val="FFFFFF"/>
        </a:solidFill>
        <a:ln w="22225" cap="flat" cmpd="sng" algn="ctr">
          <a:solidFill>
            <a:srgbClr val="C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32"/>
  <sheetViews>
    <sheetView workbookViewId="0">
      <selection activeCell="A2" sqref="A2:XFD2"/>
    </sheetView>
  </sheetViews>
  <sheetFormatPr defaultRowHeight="12.75" x14ac:dyDescent="0.2"/>
  <sheetData>
    <row r="1" spans="1:13" x14ac:dyDescent="0.2">
      <c r="B1" s="342" t="s">
        <v>153</v>
      </c>
      <c r="C1" s="342"/>
      <c r="D1" s="342"/>
      <c r="E1" s="342"/>
      <c r="F1" s="342"/>
      <c r="G1" s="342"/>
    </row>
    <row r="2" spans="1:13" x14ac:dyDescent="0.2">
      <c r="B2" s="4"/>
      <c r="C2" s="4"/>
      <c r="D2" s="4"/>
      <c r="E2" s="4"/>
      <c r="F2" s="4"/>
      <c r="G2" s="4"/>
    </row>
    <row r="3" spans="1:13" x14ac:dyDescent="0.2">
      <c r="A3" s="5" t="s">
        <v>154</v>
      </c>
    </row>
    <row r="4" spans="1:13" x14ac:dyDescent="0.2">
      <c r="A4" s="5" t="s">
        <v>176</v>
      </c>
    </row>
    <row r="5" spans="1:13" x14ac:dyDescent="0.2">
      <c r="A5" s="5"/>
    </row>
    <row r="6" spans="1:13" x14ac:dyDescent="0.2">
      <c r="A6" s="5" t="s">
        <v>164</v>
      </c>
    </row>
    <row r="7" spans="1:13" x14ac:dyDescent="0.2">
      <c r="A7" s="5" t="s">
        <v>168</v>
      </c>
    </row>
    <row r="8" spans="1:13" x14ac:dyDescent="0.2">
      <c r="A8" s="5" t="s">
        <v>155</v>
      </c>
    </row>
    <row r="10" spans="1:13" x14ac:dyDescent="0.2">
      <c r="A10" s="5" t="s">
        <v>156</v>
      </c>
      <c r="M10" s="5" t="s">
        <v>157</v>
      </c>
    </row>
    <row r="12" spans="1:13" x14ac:dyDescent="0.2">
      <c r="A12" s="5" t="s">
        <v>158</v>
      </c>
    </row>
    <row r="13" spans="1:13" x14ac:dyDescent="0.2">
      <c r="A13" s="5" t="s">
        <v>159</v>
      </c>
      <c r="D13" s="5" t="s">
        <v>163</v>
      </c>
    </row>
    <row r="14" spans="1:13" x14ac:dyDescent="0.2">
      <c r="A14" s="5" t="s">
        <v>160</v>
      </c>
    </row>
    <row r="15" spans="1:13" x14ac:dyDescent="0.2">
      <c r="A15" s="5" t="s">
        <v>161</v>
      </c>
    </row>
    <row r="16" spans="1:13" x14ac:dyDescent="0.2">
      <c r="A16" s="5" t="s">
        <v>162</v>
      </c>
    </row>
    <row r="18" spans="1:1" x14ac:dyDescent="0.2">
      <c r="A18" s="5" t="s">
        <v>169</v>
      </c>
    </row>
    <row r="20" spans="1:1" x14ac:dyDescent="0.2">
      <c r="A20" s="5" t="s">
        <v>165</v>
      </c>
    </row>
    <row r="21" spans="1:1" x14ac:dyDescent="0.2">
      <c r="A21" s="5" t="s">
        <v>167</v>
      </c>
    </row>
    <row r="22" spans="1:1" x14ac:dyDescent="0.2">
      <c r="A22" s="5" t="s">
        <v>170</v>
      </c>
    </row>
    <row r="23" spans="1:1" x14ac:dyDescent="0.2">
      <c r="A23" s="5" t="s">
        <v>171</v>
      </c>
    </row>
    <row r="24" spans="1:1" x14ac:dyDescent="0.2">
      <c r="A24" s="5"/>
    </row>
    <row r="25" spans="1:1" x14ac:dyDescent="0.2">
      <c r="A25" s="5" t="s">
        <v>172</v>
      </c>
    </row>
    <row r="26" spans="1:1" x14ac:dyDescent="0.2">
      <c r="A26" s="5" t="s">
        <v>173</v>
      </c>
    </row>
    <row r="27" spans="1:1" x14ac:dyDescent="0.2">
      <c r="A27" s="5"/>
    </row>
    <row r="28" spans="1:1" x14ac:dyDescent="0.2">
      <c r="A28" s="5" t="s">
        <v>175</v>
      </c>
    </row>
    <row r="29" spans="1:1" x14ac:dyDescent="0.2">
      <c r="A29" s="5"/>
    </row>
    <row r="30" spans="1:1" x14ac:dyDescent="0.2">
      <c r="A30" s="5" t="s">
        <v>174</v>
      </c>
    </row>
    <row r="31" spans="1:1" x14ac:dyDescent="0.2">
      <c r="A31" s="5"/>
    </row>
    <row r="32" spans="1:1" x14ac:dyDescent="0.2">
      <c r="A32" s="5" t="s">
        <v>166</v>
      </c>
    </row>
  </sheetData>
  <mergeCells count="1">
    <mergeCell ref="B1:G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pageSetUpPr fitToPage="1"/>
  </sheetPr>
  <dimension ref="A1:AF85"/>
  <sheetViews>
    <sheetView zoomScaleNormal="100" zoomScaleSheetLayoutView="75" workbookViewId="0">
      <selection activeCell="P86" sqref="P86"/>
    </sheetView>
  </sheetViews>
  <sheetFormatPr defaultColWidth="6.140625" defaultRowHeight="8.4499999999999993" customHeight="1" x14ac:dyDescent="0.15"/>
  <cols>
    <col min="1" max="1" width="6.28515625" style="1" customWidth="1"/>
    <col min="2" max="3" width="6.7109375" style="1" customWidth="1"/>
    <col min="4" max="4" width="7.140625" style="1" customWidth="1"/>
    <col min="5" max="5" width="6.7109375" style="1" customWidth="1"/>
    <col min="6" max="6" width="7" style="1" customWidth="1"/>
    <col min="7" max="12" width="6.7109375" style="1" customWidth="1"/>
    <col min="13" max="13" width="7.140625" style="1" customWidth="1"/>
    <col min="14" max="15" width="6.7109375" style="1" customWidth="1"/>
    <col min="16" max="16" width="7" style="1" customWidth="1"/>
    <col min="17" max="20" width="6.7109375" style="1" customWidth="1"/>
    <col min="21" max="21" width="6.7109375" style="8" customWidth="1"/>
    <col min="22" max="29" width="6.7109375" style="1" customWidth="1"/>
    <col min="30" max="30" width="6.140625" style="1"/>
    <col min="31" max="31" width="12.42578125" style="1" customWidth="1"/>
    <col min="32" max="32" width="12.5703125" style="1" customWidth="1"/>
    <col min="33" max="256" width="6.140625" style="1"/>
    <col min="257" max="257" width="6.28515625" style="1" customWidth="1"/>
    <col min="258" max="285" width="6.7109375" style="1" customWidth="1"/>
    <col min="286" max="512" width="6.140625" style="1"/>
    <col min="513" max="513" width="6.28515625" style="1" customWidth="1"/>
    <col min="514" max="541" width="6.7109375" style="1" customWidth="1"/>
    <col min="542" max="768" width="6.140625" style="1"/>
    <col min="769" max="769" width="6.28515625" style="1" customWidth="1"/>
    <col min="770" max="797" width="6.7109375" style="1" customWidth="1"/>
    <col min="798" max="1024" width="6.140625" style="1"/>
    <col min="1025" max="1025" width="6.28515625" style="1" customWidth="1"/>
    <col min="1026" max="1053" width="6.7109375" style="1" customWidth="1"/>
    <col min="1054" max="1280" width="6.140625" style="1"/>
    <col min="1281" max="1281" width="6.28515625" style="1" customWidth="1"/>
    <col min="1282" max="1309" width="6.7109375" style="1" customWidth="1"/>
    <col min="1310" max="1536" width="6.140625" style="1"/>
    <col min="1537" max="1537" width="6.28515625" style="1" customWidth="1"/>
    <col min="1538" max="1565" width="6.7109375" style="1" customWidth="1"/>
    <col min="1566" max="1792" width="6.140625" style="1"/>
    <col min="1793" max="1793" width="6.28515625" style="1" customWidth="1"/>
    <col min="1794" max="1821" width="6.7109375" style="1" customWidth="1"/>
    <col min="1822" max="2048" width="6.140625" style="1"/>
    <col min="2049" max="2049" width="6.28515625" style="1" customWidth="1"/>
    <col min="2050" max="2077" width="6.7109375" style="1" customWidth="1"/>
    <col min="2078" max="2304" width="6.140625" style="1"/>
    <col min="2305" max="2305" width="6.28515625" style="1" customWidth="1"/>
    <col min="2306" max="2333" width="6.7109375" style="1" customWidth="1"/>
    <col min="2334" max="2560" width="6.140625" style="1"/>
    <col min="2561" max="2561" width="6.28515625" style="1" customWidth="1"/>
    <col min="2562" max="2589" width="6.7109375" style="1" customWidth="1"/>
    <col min="2590" max="2816" width="6.140625" style="1"/>
    <col min="2817" max="2817" width="6.28515625" style="1" customWidth="1"/>
    <col min="2818" max="2845" width="6.7109375" style="1" customWidth="1"/>
    <col min="2846" max="3072" width="6.140625" style="1"/>
    <col min="3073" max="3073" width="6.28515625" style="1" customWidth="1"/>
    <col min="3074" max="3101" width="6.7109375" style="1" customWidth="1"/>
    <col min="3102" max="3328" width="6.140625" style="1"/>
    <col min="3329" max="3329" width="6.28515625" style="1" customWidth="1"/>
    <col min="3330" max="3357" width="6.7109375" style="1" customWidth="1"/>
    <col min="3358" max="3584" width="6.140625" style="1"/>
    <col min="3585" max="3585" width="6.28515625" style="1" customWidth="1"/>
    <col min="3586" max="3613" width="6.7109375" style="1" customWidth="1"/>
    <col min="3614" max="3840" width="6.140625" style="1"/>
    <col min="3841" max="3841" width="6.28515625" style="1" customWidth="1"/>
    <col min="3842" max="3869" width="6.7109375" style="1" customWidth="1"/>
    <col min="3870" max="4096" width="6.140625" style="1"/>
    <col min="4097" max="4097" width="6.28515625" style="1" customWidth="1"/>
    <col min="4098" max="4125" width="6.7109375" style="1" customWidth="1"/>
    <col min="4126" max="4352" width="6.140625" style="1"/>
    <col min="4353" max="4353" width="6.28515625" style="1" customWidth="1"/>
    <col min="4354" max="4381" width="6.7109375" style="1" customWidth="1"/>
    <col min="4382" max="4608" width="6.140625" style="1"/>
    <col min="4609" max="4609" width="6.28515625" style="1" customWidth="1"/>
    <col min="4610" max="4637" width="6.7109375" style="1" customWidth="1"/>
    <col min="4638" max="4864" width="6.140625" style="1"/>
    <col min="4865" max="4865" width="6.28515625" style="1" customWidth="1"/>
    <col min="4866" max="4893" width="6.7109375" style="1" customWidth="1"/>
    <col min="4894" max="5120" width="6.140625" style="1"/>
    <col min="5121" max="5121" width="6.28515625" style="1" customWidth="1"/>
    <col min="5122" max="5149" width="6.7109375" style="1" customWidth="1"/>
    <col min="5150" max="5376" width="6.140625" style="1"/>
    <col min="5377" max="5377" width="6.28515625" style="1" customWidth="1"/>
    <col min="5378" max="5405" width="6.7109375" style="1" customWidth="1"/>
    <col min="5406" max="5632" width="6.140625" style="1"/>
    <col min="5633" max="5633" width="6.28515625" style="1" customWidth="1"/>
    <col min="5634" max="5661" width="6.7109375" style="1" customWidth="1"/>
    <col min="5662" max="5888" width="6.140625" style="1"/>
    <col min="5889" max="5889" width="6.28515625" style="1" customWidth="1"/>
    <col min="5890" max="5917" width="6.7109375" style="1" customWidth="1"/>
    <col min="5918" max="6144" width="6.140625" style="1"/>
    <col min="6145" max="6145" width="6.28515625" style="1" customWidth="1"/>
    <col min="6146" max="6173" width="6.7109375" style="1" customWidth="1"/>
    <col min="6174" max="6400" width="6.140625" style="1"/>
    <col min="6401" max="6401" width="6.28515625" style="1" customWidth="1"/>
    <col min="6402" max="6429" width="6.7109375" style="1" customWidth="1"/>
    <col min="6430" max="6656" width="6.140625" style="1"/>
    <col min="6657" max="6657" width="6.28515625" style="1" customWidth="1"/>
    <col min="6658" max="6685" width="6.7109375" style="1" customWidth="1"/>
    <col min="6686" max="6912" width="6.140625" style="1"/>
    <col min="6913" max="6913" width="6.28515625" style="1" customWidth="1"/>
    <col min="6914" max="6941" width="6.7109375" style="1" customWidth="1"/>
    <col min="6942" max="7168" width="6.140625" style="1"/>
    <col min="7169" max="7169" width="6.28515625" style="1" customWidth="1"/>
    <col min="7170" max="7197" width="6.7109375" style="1" customWidth="1"/>
    <col min="7198" max="7424" width="6.140625" style="1"/>
    <col min="7425" max="7425" width="6.28515625" style="1" customWidth="1"/>
    <col min="7426" max="7453" width="6.7109375" style="1" customWidth="1"/>
    <col min="7454" max="7680" width="6.140625" style="1"/>
    <col min="7681" max="7681" width="6.28515625" style="1" customWidth="1"/>
    <col min="7682" max="7709" width="6.7109375" style="1" customWidth="1"/>
    <col min="7710" max="7936" width="6.140625" style="1"/>
    <col min="7937" max="7937" width="6.28515625" style="1" customWidth="1"/>
    <col min="7938" max="7965" width="6.7109375" style="1" customWidth="1"/>
    <col min="7966" max="8192" width="6.140625" style="1"/>
    <col min="8193" max="8193" width="6.28515625" style="1" customWidth="1"/>
    <col min="8194" max="8221" width="6.7109375" style="1" customWidth="1"/>
    <col min="8222" max="8448" width="6.140625" style="1"/>
    <col min="8449" max="8449" width="6.28515625" style="1" customWidth="1"/>
    <col min="8450" max="8477" width="6.7109375" style="1" customWidth="1"/>
    <col min="8478" max="8704" width="6.140625" style="1"/>
    <col min="8705" max="8705" width="6.28515625" style="1" customWidth="1"/>
    <col min="8706" max="8733" width="6.7109375" style="1" customWidth="1"/>
    <col min="8734" max="8960" width="6.140625" style="1"/>
    <col min="8961" max="8961" width="6.28515625" style="1" customWidth="1"/>
    <col min="8962" max="8989" width="6.7109375" style="1" customWidth="1"/>
    <col min="8990" max="9216" width="6.140625" style="1"/>
    <col min="9217" max="9217" width="6.28515625" style="1" customWidth="1"/>
    <col min="9218" max="9245" width="6.7109375" style="1" customWidth="1"/>
    <col min="9246" max="9472" width="6.140625" style="1"/>
    <col min="9473" max="9473" width="6.28515625" style="1" customWidth="1"/>
    <col min="9474" max="9501" width="6.7109375" style="1" customWidth="1"/>
    <col min="9502" max="9728" width="6.140625" style="1"/>
    <col min="9729" max="9729" width="6.28515625" style="1" customWidth="1"/>
    <col min="9730" max="9757" width="6.7109375" style="1" customWidth="1"/>
    <col min="9758" max="9984" width="6.140625" style="1"/>
    <col min="9985" max="9985" width="6.28515625" style="1" customWidth="1"/>
    <col min="9986" max="10013" width="6.7109375" style="1" customWidth="1"/>
    <col min="10014" max="10240" width="6.140625" style="1"/>
    <col min="10241" max="10241" width="6.28515625" style="1" customWidth="1"/>
    <col min="10242" max="10269" width="6.7109375" style="1" customWidth="1"/>
    <col min="10270" max="10496" width="6.140625" style="1"/>
    <col min="10497" max="10497" width="6.28515625" style="1" customWidth="1"/>
    <col min="10498" max="10525" width="6.7109375" style="1" customWidth="1"/>
    <col min="10526" max="10752" width="6.140625" style="1"/>
    <col min="10753" max="10753" width="6.28515625" style="1" customWidth="1"/>
    <col min="10754" max="10781" width="6.7109375" style="1" customWidth="1"/>
    <col min="10782" max="11008" width="6.140625" style="1"/>
    <col min="11009" max="11009" width="6.28515625" style="1" customWidth="1"/>
    <col min="11010" max="11037" width="6.7109375" style="1" customWidth="1"/>
    <col min="11038" max="11264" width="6.140625" style="1"/>
    <col min="11265" max="11265" width="6.28515625" style="1" customWidth="1"/>
    <col min="11266" max="11293" width="6.7109375" style="1" customWidth="1"/>
    <col min="11294" max="11520" width="6.140625" style="1"/>
    <col min="11521" max="11521" width="6.28515625" style="1" customWidth="1"/>
    <col min="11522" max="11549" width="6.7109375" style="1" customWidth="1"/>
    <col min="11550" max="11776" width="6.140625" style="1"/>
    <col min="11777" max="11777" width="6.28515625" style="1" customWidth="1"/>
    <col min="11778" max="11805" width="6.7109375" style="1" customWidth="1"/>
    <col min="11806" max="12032" width="6.140625" style="1"/>
    <col min="12033" max="12033" width="6.28515625" style="1" customWidth="1"/>
    <col min="12034" max="12061" width="6.7109375" style="1" customWidth="1"/>
    <col min="12062" max="12288" width="6.140625" style="1"/>
    <col min="12289" max="12289" width="6.28515625" style="1" customWidth="1"/>
    <col min="12290" max="12317" width="6.7109375" style="1" customWidth="1"/>
    <col min="12318" max="12544" width="6.140625" style="1"/>
    <col min="12545" max="12545" width="6.28515625" style="1" customWidth="1"/>
    <col min="12546" max="12573" width="6.7109375" style="1" customWidth="1"/>
    <col min="12574" max="12800" width="6.140625" style="1"/>
    <col min="12801" max="12801" width="6.28515625" style="1" customWidth="1"/>
    <col min="12802" max="12829" width="6.7109375" style="1" customWidth="1"/>
    <col min="12830" max="13056" width="6.140625" style="1"/>
    <col min="13057" max="13057" width="6.28515625" style="1" customWidth="1"/>
    <col min="13058" max="13085" width="6.7109375" style="1" customWidth="1"/>
    <col min="13086" max="13312" width="6.140625" style="1"/>
    <col min="13313" max="13313" width="6.28515625" style="1" customWidth="1"/>
    <col min="13314" max="13341" width="6.7109375" style="1" customWidth="1"/>
    <col min="13342" max="13568" width="6.140625" style="1"/>
    <col min="13569" max="13569" width="6.28515625" style="1" customWidth="1"/>
    <col min="13570" max="13597" width="6.7109375" style="1" customWidth="1"/>
    <col min="13598" max="13824" width="6.140625" style="1"/>
    <col min="13825" max="13825" width="6.28515625" style="1" customWidth="1"/>
    <col min="13826" max="13853" width="6.7109375" style="1" customWidth="1"/>
    <col min="13854" max="14080" width="6.140625" style="1"/>
    <col min="14081" max="14081" width="6.28515625" style="1" customWidth="1"/>
    <col min="14082" max="14109" width="6.7109375" style="1" customWidth="1"/>
    <col min="14110" max="14336" width="6.140625" style="1"/>
    <col min="14337" max="14337" width="6.28515625" style="1" customWidth="1"/>
    <col min="14338" max="14365" width="6.7109375" style="1" customWidth="1"/>
    <col min="14366" max="14592" width="6.140625" style="1"/>
    <col min="14593" max="14593" width="6.28515625" style="1" customWidth="1"/>
    <col min="14594" max="14621" width="6.7109375" style="1" customWidth="1"/>
    <col min="14622" max="14848" width="6.140625" style="1"/>
    <col min="14849" max="14849" width="6.28515625" style="1" customWidth="1"/>
    <col min="14850" max="14877" width="6.7109375" style="1" customWidth="1"/>
    <col min="14878" max="15104" width="6.140625" style="1"/>
    <col min="15105" max="15105" width="6.28515625" style="1" customWidth="1"/>
    <col min="15106" max="15133" width="6.7109375" style="1" customWidth="1"/>
    <col min="15134" max="15360" width="6.140625" style="1"/>
    <col min="15361" max="15361" width="6.28515625" style="1" customWidth="1"/>
    <col min="15362" max="15389" width="6.7109375" style="1" customWidth="1"/>
    <col min="15390" max="15616" width="6.140625" style="1"/>
    <col min="15617" max="15617" width="6.28515625" style="1" customWidth="1"/>
    <col min="15618" max="15645" width="6.7109375" style="1" customWidth="1"/>
    <col min="15646" max="15872" width="6.140625" style="1"/>
    <col min="15873" max="15873" width="6.28515625" style="1" customWidth="1"/>
    <col min="15874" max="15901" width="6.7109375" style="1" customWidth="1"/>
    <col min="15902" max="16128" width="6.140625" style="1"/>
    <col min="16129" max="16129" width="6.28515625" style="1" customWidth="1"/>
    <col min="16130" max="16157" width="6.7109375" style="1" customWidth="1"/>
    <col min="16158" max="16384" width="6.140625" style="1"/>
  </cols>
  <sheetData>
    <row r="1" spans="1:32" ht="16.5" customHeight="1" x14ac:dyDescent="0.25">
      <c r="K1" s="6"/>
      <c r="N1"/>
      <c r="V1" s="26"/>
      <c r="W1" s="25"/>
      <c r="X1" s="22"/>
      <c r="Y1" s="23"/>
      <c r="Z1" s="23"/>
      <c r="AA1" s="22"/>
      <c r="AB1" s="22"/>
      <c r="AC1" s="24"/>
      <c r="AE1" s="358" t="s">
        <v>91</v>
      </c>
      <c r="AF1" s="358"/>
    </row>
    <row r="2" spans="1:32" ht="9.75" customHeight="1" x14ac:dyDescent="0.25">
      <c r="B2" s="44">
        <v>20</v>
      </c>
      <c r="C2" s="44">
        <v>19</v>
      </c>
      <c r="D2" s="44">
        <v>18</v>
      </c>
      <c r="E2" s="44">
        <v>17</v>
      </c>
      <c r="F2" s="44">
        <v>16</v>
      </c>
      <c r="G2" s="44">
        <v>15</v>
      </c>
      <c r="H2" s="45">
        <v>14</v>
      </c>
      <c r="I2" s="45">
        <v>13</v>
      </c>
      <c r="J2" s="45">
        <v>12</v>
      </c>
      <c r="K2" s="45">
        <v>11</v>
      </c>
      <c r="L2" s="45">
        <v>10</v>
      </c>
      <c r="M2" s="45">
        <v>9</v>
      </c>
      <c r="N2" s="45">
        <v>8</v>
      </c>
      <c r="O2" s="45">
        <v>7</v>
      </c>
      <c r="P2" s="46">
        <v>6</v>
      </c>
      <c r="Q2" s="46">
        <v>5</v>
      </c>
      <c r="R2" s="46">
        <v>4</v>
      </c>
      <c r="S2" s="46">
        <v>3</v>
      </c>
      <c r="T2" s="46">
        <v>2</v>
      </c>
      <c r="U2" s="46">
        <v>1</v>
      </c>
      <c r="V2" s="26"/>
      <c r="W2" s="368" t="s">
        <v>3</v>
      </c>
      <c r="X2" s="369"/>
      <c r="Y2" s="369"/>
      <c r="Z2" s="369"/>
      <c r="AA2" s="369"/>
      <c r="AB2" s="369"/>
      <c r="AC2" s="370"/>
      <c r="AE2" s="359" t="s">
        <v>69</v>
      </c>
      <c r="AF2" s="359" t="s">
        <v>70</v>
      </c>
    </row>
    <row r="3" spans="1:32" ht="9.75" customHeight="1" thickBot="1" x14ac:dyDescent="0.2">
      <c r="B3" s="363"/>
      <c r="C3" s="363"/>
      <c r="D3" s="363"/>
      <c r="E3" s="363"/>
      <c r="F3" s="363"/>
      <c r="G3" s="363"/>
      <c r="H3" s="363"/>
      <c r="I3" s="363"/>
      <c r="J3" s="363"/>
      <c r="K3" s="363"/>
      <c r="L3" s="363"/>
      <c r="M3" s="363"/>
      <c r="N3" s="363"/>
      <c r="O3" s="363"/>
      <c r="P3" s="363"/>
      <c r="Q3" s="363"/>
      <c r="R3" s="363"/>
      <c r="S3" s="363"/>
      <c r="T3" s="363"/>
      <c r="U3" s="363"/>
      <c r="V3" s="26"/>
      <c r="W3" s="47">
        <v>48</v>
      </c>
      <c r="X3" s="44">
        <v>49</v>
      </c>
      <c r="Y3" s="44">
        <v>50</v>
      </c>
      <c r="Z3" s="44">
        <v>51</v>
      </c>
      <c r="AA3" s="44">
        <v>52</v>
      </c>
      <c r="AB3" s="44">
        <v>53</v>
      </c>
      <c r="AC3" s="48">
        <v>54</v>
      </c>
      <c r="AD3" s="6"/>
      <c r="AE3" s="359"/>
      <c r="AF3" s="359"/>
    </row>
    <row r="4" spans="1:32" ht="9" customHeight="1" x14ac:dyDescent="0.2">
      <c r="B4" s="364"/>
      <c r="C4" s="364"/>
      <c r="D4" s="364"/>
      <c r="E4" s="364"/>
      <c r="F4" s="364"/>
      <c r="G4" s="364"/>
      <c r="H4" s="364"/>
      <c r="I4" s="364"/>
      <c r="J4" s="364"/>
      <c r="K4" s="364"/>
      <c r="L4" s="364"/>
      <c r="M4" s="364"/>
      <c r="N4" s="364"/>
      <c r="O4" s="364"/>
      <c r="P4" s="364"/>
      <c r="Q4" s="364"/>
      <c r="R4" s="364"/>
      <c r="S4" s="364"/>
      <c r="T4" s="364"/>
      <c r="U4" s="364"/>
      <c r="V4" s="26"/>
      <c r="W4" s="402"/>
      <c r="X4" s="367"/>
      <c r="Y4" s="367"/>
      <c r="Z4" s="367"/>
      <c r="AA4" s="367"/>
      <c r="AB4" s="367"/>
      <c r="AC4" s="410"/>
      <c r="AD4" s="11"/>
      <c r="AE4" s="346" t="e">
        <f>Open!#REF!</f>
        <v>#REF!</v>
      </c>
      <c r="AF4" s="346" t="e">
        <f>Open!#REF!</f>
        <v>#REF!</v>
      </c>
    </row>
    <row r="5" spans="1:32" ht="9.75" customHeight="1" x14ac:dyDescent="0.2">
      <c r="B5" s="364"/>
      <c r="C5" s="364"/>
      <c r="D5" s="364"/>
      <c r="E5" s="364"/>
      <c r="F5" s="364"/>
      <c r="G5" s="364"/>
      <c r="H5" s="364"/>
      <c r="I5" s="364"/>
      <c r="J5" s="364"/>
      <c r="K5" s="364"/>
      <c r="L5" s="364"/>
      <c r="M5" s="364"/>
      <c r="N5" s="364"/>
      <c r="O5" s="364"/>
      <c r="P5" s="364"/>
      <c r="Q5" s="364"/>
      <c r="R5" s="364"/>
      <c r="S5" s="364"/>
      <c r="T5" s="364"/>
      <c r="U5" s="364"/>
      <c r="V5" s="26"/>
      <c r="W5" s="374"/>
      <c r="X5" s="356"/>
      <c r="Y5" s="356"/>
      <c r="Z5" s="356"/>
      <c r="AA5" s="356"/>
      <c r="AB5" s="356"/>
      <c r="AC5" s="411"/>
      <c r="AD5" s="11"/>
      <c r="AE5" s="346"/>
      <c r="AF5" s="346"/>
    </row>
    <row r="6" spans="1:32" ht="9.75" customHeight="1" x14ac:dyDescent="0.2">
      <c r="B6" s="364"/>
      <c r="C6" s="364"/>
      <c r="D6" s="364"/>
      <c r="E6" s="364"/>
      <c r="F6" s="364"/>
      <c r="G6" s="364"/>
      <c r="H6" s="364"/>
      <c r="I6" s="364"/>
      <c r="J6" s="364"/>
      <c r="K6" s="364"/>
      <c r="L6" s="364"/>
      <c r="M6" s="364"/>
      <c r="N6" s="364"/>
      <c r="O6" s="364"/>
      <c r="P6" s="364"/>
      <c r="Q6" s="364"/>
      <c r="R6" s="364"/>
      <c r="S6" s="364"/>
      <c r="T6" s="364"/>
      <c r="U6" s="364"/>
      <c r="V6" s="26"/>
      <c r="W6" s="374"/>
      <c r="X6" s="356"/>
      <c r="Y6" s="356"/>
      <c r="Z6" s="356"/>
      <c r="AA6" s="356"/>
      <c r="AB6" s="356"/>
      <c r="AC6" s="411"/>
      <c r="AD6" s="11"/>
      <c r="AE6" s="346" t="e">
        <f>Open!#REF!</f>
        <v>#REF!</v>
      </c>
      <c r="AF6" s="346" t="e">
        <f>Open!#REF!</f>
        <v>#REF!</v>
      </c>
    </row>
    <row r="7" spans="1:32" ht="9" customHeight="1" x14ac:dyDescent="0.2">
      <c r="B7" s="365"/>
      <c r="C7" s="364"/>
      <c r="D7" s="364"/>
      <c r="E7" s="365"/>
      <c r="F7" s="364"/>
      <c r="G7" s="364"/>
      <c r="H7" s="364"/>
      <c r="I7" s="364"/>
      <c r="J7" s="364"/>
      <c r="K7" s="364"/>
      <c r="L7" s="364"/>
      <c r="M7" s="364"/>
      <c r="N7" s="364"/>
      <c r="O7" s="364"/>
      <c r="P7" s="364"/>
      <c r="Q7" s="365"/>
      <c r="R7" s="365"/>
      <c r="S7" s="365"/>
      <c r="T7" s="365"/>
      <c r="U7" s="365"/>
      <c r="V7" s="26"/>
      <c r="W7" s="374"/>
      <c r="X7" s="356"/>
      <c r="Y7" s="356"/>
      <c r="Z7" s="356"/>
      <c r="AA7" s="356"/>
      <c r="AB7" s="356"/>
      <c r="AC7" s="411"/>
      <c r="AD7" s="11"/>
      <c r="AE7" s="346"/>
      <c r="AF7" s="346"/>
    </row>
    <row r="8" spans="1:32" ht="9.75" customHeight="1" x14ac:dyDescent="0.2">
      <c r="B8" s="360"/>
      <c r="C8" s="363"/>
      <c r="D8" s="363"/>
      <c r="E8" s="397"/>
      <c r="F8" s="364"/>
      <c r="G8" s="364"/>
      <c r="H8" s="364"/>
      <c r="I8" s="364"/>
      <c r="J8" s="364"/>
      <c r="K8" s="364"/>
      <c r="L8" s="364"/>
      <c r="M8" s="364"/>
      <c r="N8" s="364"/>
      <c r="O8" s="364"/>
      <c r="P8" s="364"/>
      <c r="Q8" s="363"/>
      <c r="R8" s="363"/>
      <c r="S8" s="363"/>
      <c r="T8" s="363"/>
      <c r="U8" s="363"/>
      <c r="V8" s="42"/>
      <c r="W8" s="375"/>
      <c r="X8" s="357"/>
      <c r="Y8" s="357"/>
      <c r="Z8" s="357"/>
      <c r="AA8" s="357"/>
      <c r="AB8" s="357"/>
      <c r="AC8" s="412"/>
      <c r="AD8" s="11"/>
      <c r="AE8" s="346" t="str">
        <f>Open!S57</f>
        <v>APC Runs</v>
      </c>
      <c r="AF8" s="346">
        <f>Open!T57</f>
        <v>0</v>
      </c>
    </row>
    <row r="9" spans="1:32" ht="9" customHeight="1" x14ac:dyDescent="0.2">
      <c r="B9" s="361"/>
      <c r="C9" s="364"/>
      <c r="D9" s="364"/>
      <c r="E9" s="398"/>
      <c r="F9" s="364"/>
      <c r="G9" s="364"/>
      <c r="H9" s="364"/>
      <c r="I9" s="364"/>
      <c r="J9" s="364"/>
      <c r="K9" s="364"/>
      <c r="L9" s="364"/>
      <c r="M9" s="364"/>
      <c r="N9" s="364"/>
      <c r="O9" s="364"/>
      <c r="P9" s="364"/>
      <c r="Q9" s="364"/>
      <c r="R9" s="364"/>
      <c r="S9" s="364"/>
      <c r="T9" s="364"/>
      <c r="U9" s="364"/>
      <c r="V9" s="26"/>
      <c r="W9" s="376"/>
      <c r="X9" s="355"/>
      <c r="Y9" s="355"/>
      <c r="Z9" s="355"/>
      <c r="AA9" s="355"/>
      <c r="AB9" s="355"/>
      <c r="AC9" s="413"/>
      <c r="AD9" s="11"/>
      <c r="AE9" s="346"/>
      <c r="AF9" s="346"/>
    </row>
    <row r="10" spans="1:32" ht="9" customHeight="1" x14ac:dyDescent="0.2">
      <c r="B10" s="361"/>
      <c r="C10" s="364"/>
      <c r="D10" s="364"/>
      <c r="E10" s="398"/>
      <c r="F10" s="365"/>
      <c r="G10" s="365"/>
      <c r="H10" s="365"/>
      <c r="I10" s="365"/>
      <c r="J10" s="365"/>
      <c r="K10" s="365"/>
      <c r="L10" s="365"/>
      <c r="M10" s="365"/>
      <c r="N10" s="365"/>
      <c r="O10" s="365"/>
      <c r="P10" s="365"/>
      <c r="Q10" s="364"/>
      <c r="R10" s="364"/>
      <c r="S10" s="364"/>
      <c r="T10" s="364"/>
      <c r="U10" s="364"/>
      <c r="V10" s="26"/>
      <c r="W10" s="374"/>
      <c r="X10" s="356"/>
      <c r="Y10" s="356"/>
      <c r="Z10" s="356"/>
      <c r="AA10" s="356"/>
      <c r="AB10" s="356"/>
      <c r="AC10" s="411"/>
      <c r="AD10" s="11"/>
      <c r="AE10" s="346" t="e">
        <f>Open!#REF!</f>
        <v>#REF!</v>
      </c>
      <c r="AF10" s="346" t="e">
        <f>Open!#REF!</f>
        <v>#REF!</v>
      </c>
    </row>
    <row r="11" spans="1:32" ht="8.4499999999999993" customHeight="1" x14ac:dyDescent="0.2">
      <c r="B11" s="361"/>
      <c r="C11" s="364"/>
      <c r="D11" s="364"/>
      <c r="E11" s="398"/>
      <c r="F11" s="400"/>
      <c r="G11" s="400"/>
      <c r="H11" s="400"/>
      <c r="I11" s="400"/>
      <c r="J11" s="400"/>
      <c r="K11" s="400"/>
      <c r="L11" s="400"/>
      <c r="M11" s="400"/>
      <c r="N11" s="400"/>
      <c r="O11" s="400"/>
      <c r="P11" s="400"/>
      <c r="Q11" s="364"/>
      <c r="R11" s="364"/>
      <c r="S11" s="364"/>
      <c r="T11" s="364"/>
      <c r="U11" s="364"/>
      <c r="V11" s="26"/>
      <c r="W11" s="374"/>
      <c r="X11" s="356"/>
      <c r="Y11" s="356"/>
      <c r="Z11" s="356"/>
      <c r="AA11" s="356"/>
      <c r="AB11" s="356"/>
      <c r="AC11" s="411"/>
      <c r="AD11" s="11"/>
      <c r="AE11" s="346"/>
      <c r="AF11" s="346"/>
    </row>
    <row r="12" spans="1:32" ht="8.25" customHeight="1" x14ac:dyDescent="0.2">
      <c r="B12" s="362"/>
      <c r="C12" s="365"/>
      <c r="D12" s="365"/>
      <c r="E12" s="399"/>
      <c r="F12" s="401"/>
      <c r="G12" s="401"/>
      <c r="H12" s="401"/>
      <c r="I12" s="401"/>
      <c r="J12" s="401"/>
      <c r="K12" s="401"/>
      <c r="L12" s="401"/>
      <c r="M12" s="401"/>
      <c r="N12" s="401"/>
      <c r="O12" s="401"/>
      <c r="P12" s="401"/>
      <c r="Q12" s="365"/>
      <c r="R12" s="365"/>
      <c r="S12" s="365"/>
      <c r="T12" s="365"/>
      <c r="U12" s="365"/>
      <c r="V12" s="26"/>
      <c r="W12" s="374"/>
      <c r="X12" s="356"/>
      <c r="Y12" s="356"/>
      <c r="Z12" s="356"/>
      <c r="AA12" s="356"/>
      <c r="AB12" s="356"/>
      <c r="AC12" s="411"/>
      <c r="AD12" s="11"/>
      <c r="AE12" s="346">
        <f>Open!S59</f>
        <v>0</v>
      </c>
      <c r="AF12" s="346">
        <f>Open!T59</f>
        <v>0</v>
      </c>
    </row>
    <row r="13" spans="1:32" ht="8.25" customHeight="1" x14ac:dyDescent="0.2">
      <c r="B13" s="360"/>
      <c r="C13" s="363"/>
      <c r="D13" s="363"/>
      <c r="E13" s="397"/>
      <c r="F13" s="404"/>
      <c r="G13" s="404"/>
      <c r="H13" s="404"/>
      <c r="I13" s="404"/>
      <c r="J13" s="404"/>
      <c r="K13" s="404"/>
      <c r="L13" s="404"/>
      <c r="M13" s="404"/>
      <c r="N13" s="404"/>
      <c r="O13" s="404"/>
      <c r="P13" s="404"/>
      <c r="Q13" s="363"/>
      <c r="R13" s="363"/>
      <c r="S13" s="363"/>
      <c r="T13" s="363"/>
      <c r="U13" s="363"/>
      <c r="V13" s="26"/>
      <c r="W13" s="374"/>
      <c r="X13" s="356"/>
      <c r="Y13" s="356"/>
      <c r="Z13" s="357"/>
      <c r="AA13" s="356"/>
      <c r="AB13" s="356"/>
      <c r="AC13" s="411"/>
      <c r="AD13" s="11"/>
      <c r="AE13" s="346"/>
      <c r="AF13" s="346"/>
    </row>
    <row r="14" spans="1:32" ht="10.5" customHeight="1" x14ac:dyDescent="0.2">
      <c r="B14" s="361"/>
      <c r="C14" s="364"/>
      <c r="D14" s="364"/>
      <c r="E14" s="398"/>
      <c r="F14" s="405"/>
      <c r="G14" s="405"/>
      <c r="H14" s="405"/>
      <c r="I14" s="405"/>
      <c r="J14" s="405"/>
      <c r="K14" s="405"/>
      <c r="L14" s="405"/>
      <c r="M14" s="405"/>
      <c r="N14" s="405"/>
      <c r="O14" s="405"/>
      <c r="P14" s="405"/>
      <c r="Q14" s="364"/>
      <c r="R14" s="364"/>
      <c r="S14" s="364"/>
      <c r="T14" s="364"/>
      <c r="U14" s="364"/>
      <c r="V14" s="26"/>
      <c r="W14" s="403"/>
      <c r="X14" s="396"/>
      <c r="Y14" s="396"/>
      <c r="Z14" s="355"/>
      <c r="AA14" s="396"/>
      <c r="AB14" s="396"/>
      <c r="AC14" s="414"/>
      <c r="AD14" s="11"/>
      <c r="AE14" s="346">
        <f>Open!S60</f>
        <v>0</v>
      </c>
      <c r="AF14" s="346">
        <f>Open!T60</f>
        <v>0</v>
      </c>
    </row>
    <row r="15" spans="1:32" ht="9.75" customHeight="1" x14ac:dyDescent="0.2">
      <c r="B15" s="361"/>
      <c r="C15" s="364"/>
      <c r="D15" s="364"/>
      <c r="E15" s="398"/>
      <c r="F15" s="405"/>
      <c r="G15" s="405"/>
      <c r="H15" s="405"/>
      <c r="I15" s="405"/>
      <c r="J15" s="405"/>
      <c r="K15" s="405"/>
      <c r="L15" s="405"/>
      <c r="M15" s="405"/>
      <c r="N15" s="405"/>
      <c r="O15" s="405"/>
      <c r="P15" s="405"/>
      <c r="Q15" s="364"/>
      <c r="R15" s="364"/>
      <c r="S15" s="364"/>
      <c r="T15" s="364"/>
      <c r="U15" s="364"/>
      <c r="V15" s="26"/>
      <c r="W15" s="403"/>
      <c r="X15" s="396"/>
      <c r="Y15" s="396"/>
      <c r="Z15" s="356"/>
      <c r="AA15" s="396"/>
      <c r="AB15" s="396"/>
      <c r="AC15" s="414"/>
      <c r="AD15" s="11"/>
      <c r="AE15" s="346"/>
      <c r="AF15" s="346"/>
    </row>
    <row r="16" spans="1:32" ht="9.75" customHeight="1" x14ac:dyDescent="0.2">
      <c r="B16" s="361"/>
      <c r="C16" s="364"/>
      <c r="D16" s="364"/>
      <c r="E16" s="398"/>
      <c r="F16" s="405"/>
      <c r="G16" s="405"/>
      <c r="H16" s="405"/>
      <c r="I16" s="405"/>
      <c r="J16" s="405"/>
      <c r="K16" s="405"/>
      <c r="L16" s="405"/>
      <c r="M16" s="405"/>
      <c r="N16" s="405"/>
      <c r="O16" s="405"/>
      <c r="P16" s="405"/>
      <c r="Q16" s="364"/>
      <c r="R16" s="364"/>
      <c r="S16" s="364"/>
      <c r="T16" s="364"/>
      <c r="U16" s="364"/>
      <c r="V16" s="26"/>
      <c r="W16" s="403"/>
      <c r="X16" s="396"/>
      <c r="Y16" s="396"/>
      <c r="Z16" s="356"/>
      <c r="AA16" s="396"/>
      <c r="AB16" s="396"/>
      <c r="AC16" s="414"/>
      <c r="AD16" s="11"/>
      <c r="AE16" s="346">
        <f>Open!S61</f>
        <v>0</v>
      </c>
      <c r="AF16" s="346">
        <f>Open!T61</f>
        <v>0</v>
      </c>
    </row>
    <row r="17" spans="2:32" ht="9" customHeight="1" x14ac:dyDescent="0.2">
      <c r="B17" s="362"/>
      <c r="C17" s="365"/>
      <c r="D17" s="365"/>
      <c r="E17" s="399"/>
      <c r="F17" s="405"/>
      <c r="G17" s="405"/>
      <c r="H17" s="405"/>
      <c r="I17" s="405"/>
      <c r="J17" s="405"/>
      <c r="K17" s="405"/>
      <c r="L17" s="405"/>
      <c r="M17" s="405"/>
      <c r="N17" s="405"/>
      <c r="O17" s="405"/>
      <c r="P17" s="405"/>
      <c r="Q17" s="365"/>
      <c r="R17" s="365"/>
      <c r="S17" s="365"/>
      <c r="T17" s="365"/>
      <c r="U17" s="365"/>
      <c r="V17" s="26"/>
      <c r="W17" s="403"/>
      <c r="X17" s="396"/>
      <c r="Y17" s="396"/>
      <c r="Z17" s="356"/>
      <c r="AA17" s="396"/>
      <c r="AB17" s="396"/>
      <c r="AC17" s="414"/>
      <c r="AD17" s="11"/>
      <c r="AE17" s="346"/>
      <c r="AF17" s="346"/>
    </row>
    <row r="18" spans="2:32" ht="9.75" customHeight="1" x14ac:dyDescent="0.2">
      <c r="B18" s="363"/>
      <c r="C18" s="364"/>
      <c r="D18" s="364"/>
      <c r="E18" s="407"/>
      <c r="F18" s="405"/>
      <c r="G18" s="405"/>
      <c r="H18" s="405"/>
      <c r="I18" s="405"/>
      <c r="J18" s="405"/>
      <c r="K18" s="405"/>
      <c r="L18" s="405"/>
      <c r="M18" s="405"/>
      <c r="N18" s="405"/>
      <c r="O18" s="405"/>
      <c r="P18" s="405"/>
      <c r="Q18" s="363"/>
      <c r="R18" s="363"/>
      <c r="S18" s="363"/>
      <c r="T18" s="363"/>
      <c r="U18" s="363"/>
      <c r="V18" s="26"/>
      <c r="W18" s="403"/>
      <c r="X18" s="396"/>
      <c r="Y18" s="396"/>
      <c r="Z18" s="357"/>
      <c r="AA18" s="396"/>
      <c r="AB18" s="396"/>
      <c r="AC18" s="414"/>
      <c r="AD18" s="11"/>
      <c r="AE18" s="346">
        <f>Open!S62</f>
        <v>0</v>
      </c>
      <c r="AF18" s="346">
        <f>Open!T62</f>
        <v>0</v>
      </c>
    </row>
    <row r="19" spans="2:32" ht="9.75" customHeight="1" x14ac:dyDescent="0.2">
      <c r="B19" s="364"/>
      <c r="C19" s="364"/>
      <c r="D19" s="364"/>
      <c r="E19" s="408"/>
      <c r="F19" s="405"/>
      <c r="G19" s="405"/>
      <c r="H19" s="405"/>
      <c r="I19" s="405"/>
      <c r="J19" s="405"/>
      <c r="K19" s="405"/>
      <c r="L19" s="405"/>
      <c r="M19" s="405"/>
      <c r="N19" s="405"/>
      <c r="O19" s="405"/>
      <c r="P19" s="405"/>
      <c r="Q19" s="364"/>
      <c r="R19" s="364"/>
      <c r="S19" s="364"/>
      <c r="T19" s="364"/>
      <c r="U19" s="364"/>
      <c r="V19" s="26"/>
      <c r="W19" s="374"/>
      <c r="X19" s="356"/>
      <c r="Y19" s="356"/>
      <c r="Z19" s="356"/>
      <c r="AA19" s="356"/>
      <c r="AB19" s="356"/>
      <c r="AC19" s="411"/>
      <c r="AD19" s="11"/>
      <c r="AE19" s="346"/>
      <c r="AF19" s="346"/>
    </row>
    <row r="20" spans="2:32" ht="9" customHeight="1" x14ac:dyDescent="0.2">
      <c r="B20" s="364"/>
      <c r="C20" s="364"/>
      <c r="D20" s="364"/>
      <c r="E20" s="408"/>
      <c r="F20" s="406"/>
      <c r="G20" s="406"/>
      <c r="H20" s="406"/>
      <c r="I20" s="406"/>
      <c r="J20" s="406"/>
      <c r="K20" s="406"/>
      <c r="L20" s="406"/>
      <c r="M20" s="406"/>
      <c r="N20" s="406"/>
      <c r="O20" s="406"/>
      <c r="P20" s="406"/>
      <c r="Q20" s="364"/>
      <c r="R20" s="364"/>
      <c r="S20" s="364"/>
      <c r="T20" s="364"/>
      <c r="U20" s="364"/>
      <c r="V20" s="26"/>
      <c r="W20" s="374"/>
      <c r="X20" s="356"/>
      <c r="Y20" s="356"/>
      <c r="Z20" s="356"/>
      <c r="AA20" s="356"/>
      <c r="AB20" s="356"/>
      <c r="AC20" s="411"/>
      <c r="AD20" s="11"/>
      <c r="AE20" s="346" t="e">
        <f>Open!#REF!</f>
        <v>#REF!</v>
      </c>
      <c r="AF20" s="346" t="e">
        <f>Open!#REF!</f>
        <v>#REF!</v>
      </c>
    </row>
    <row r="21" spans="2:32" ht="9.75" customHeight="1" x14ac:dyDescent="0.2">
      <c r="B21" s="364"/>
      <c r="C21" s="364"/>
      <c r="D21" s="364"/>
      <c r="E21" s="408"/>
      <c r="F21" s="363"/>
      <c r="G21" s="363"/>
      <c r="H21" s="363"/>
      <c r="I21" s="363"/>
      <c r="J21" s="363"/>
      <c r="K21" s="363"/>
      <c r="L21" s="363"/>
      <c r="M21" s="363"/>
      <c r="N21" s="363"/>
      <c r="O21" s="363"/>
      <c r="P21" s="363"/>
      <c r="Q21" s="364"/>
      <c r="R21" s="364"/>
      <c r="S21" s="364"/>
      <c r="T21" s="364"/>
      <c r="U21" s="364"/>
      <c r="V21" s="26"/>
      <c r="W21" s="374"/>
      <c r="X21" s="356"/>
      <c r="Y21" s="356"/>
      <c r="Z21" s="356"/>
      <c r="AA21" s="356"/>
      <c r="AB21" s="356"/>
      <c r="AC21" s="411"/>
      <c r="AD21" s="11"/>
      <c r="AE21" s="346"/>
      <c r="AF21" s="346"/>
    </row>
    <row r="22" spans="2:32" ht="9.75" customHeight="1" x14ac:dyDescent="0.2">
      <c r="B22" s="365"/>
      <c r="C22" s="365"/>
      <c r="D22" s="365"/>
      <c r="E22" s="409"/>
      <c r="F22" s="364"/>
      <c r="G22" s="364"/>
      <c r="H22" s="364"/>
      <c r="I22" s="364"/>
      <c r="J22" s="364"/>
      <c r="K22" s="364"/>
      <c r="L22" s="364"/>
      <c r="M22" s="364"/>
      <c r="N22" s="364"/>
      <c r="O22" s="364"/>
      <c r="P22" s="364"/>
      <c r="Q22" s="365"/>
      <c r="R22" s="365"/>
      <c r="S22" s="365"/>
      <c r="T22" s="365"/>
      <c r="U22" s="365"/>
      <c r="V22" s="26"/>
      <c r="W22" s="374"/>
      <c r="X22" s="356"/>
      <c r="Y22" s="356"/>
      <c r="Z22" s="356"/>
      <c r="AA22" s="356"/>
      <c r="AB22" s="356"/>
      <c r="AC22" s="411"/>
      <c r="AD22" s="11"/>
      <c r="AE22" s="346" t="e">
        <f>Open!#REF!</f>
        <v>#REF!</v>
      </c>
      <c r="AF22" s="346" t="e">
        <f>Open!#REF!</f>
        <v>#REF!</v>
      </c>
    </row>
    <row r="23" spans="2:32" ht="9" customHeight="1" x14ac:dyDescent="0.2">
      <c r="B23" s="363"/>
      <c r="C23" s="363"/>
      <c r="D23" s="363"/>
      <c r="E23" s="407"/>
      <c r="F23" s="364"/>
      <c r="G23" s="364"/>
      <c r="H23" s="364"/>
      <c r="I23" s="364"/>
      <c r="J23" s="364"/>
      <c r="K23" s="364"/>
      <c r="L23" s="364"/>
      <c r="M23" s="364"/>
      <c r="N23" s="364"/>
      <c r="O23" s="364"/>
      <c r="P23" s="364"/>
      <c r="Q23" s="363"/>
      <c r="R23" s="363"/>
      <c r="S23" s="363"/>
      <c r="T23" s="363"/>
      <c r="U23" s="363"/>
      <c r="V23" s="26"/>
      <c r="W23" s="375"/>
      <c r="X23" s="357"/>
      <c r="Y23" s="357"/>
      <c r="Z23" s="357"/>
      <c r="AA23" s="357"/>
      <c r="AB23" s="357"/>
      <c r="AC23" s="412"/>
      <c r="AD23" s="11"/>
      <c r="AE23" s="346"/>
      <c r="AF23" s="346"/>
    </row>
    <row r="24" spans="2:32" ht="9.75" customHeight="1" x14ac:dyDescent="0.2">
      <c r="B24" s="364"/>
      <c r="C24" s="364"/>
      <c r="D24" s="364"/>
      <c r="E24" s="408"/>
      <c r="F24" s="364"/>
      <c r="G24" s="364"/>
      <c r="H24" s="364"/>
      <c r="I24" s="364"/>
      <c r="J24" s="364"/>
      <c r="K24" s="364"/>
      <c r="L24" s="364"/>
      <c r="M24" s="364"/>
      <c r="N24" s="364"/>
      <c r="O24" s="364"/>
      <c r="P24" s="364"/>
      <c r="Q24" s="364"/>
      <c r="R24" s="364"/>
      <c r="S24" s="364"/>
      <c r="T24" s="364"/>
      <c r="U24" s="364"/>
      <c r="V24" s="26"/>
      <c r="W24" s="376"/>
      <c r="X24" s="355"/>
      <c r="Y24" s="355"/>
      <c r="Z24" s="355"/>
      <c r="AA24" s="355"/>
      <c r="AB24" s="355"/>
      <c r="AC24" s="413"/>
      <c r="AD24" s="11"/>
      <c r="AE24" s="346">
        <f>Open!U57</f>
        <v>0</v>
      </c>
      <c r="AF24" s="346">
        <f>Open!V57</f>
        <v>0</v>
      </c>
    </row>
    <row r="25" spans="2:32" ht="9" customHeight="1" x14ac:dyDescent="0.2">
      <c r="B25" s="364"/>
      <c r="C25" s="364"/>
      <c r="D25" s="364"/>
      <c r="E25" s="408"/>
      <c r="F25" s="364"/>
      <c r="G25" s="364"/>
      <c r="H25" s="364"/>
      <c r="I25" s="364"/>
      <c r="J25" s="364"/>
      <c r="K25" s="364"/>
      <c r="L25" s="364"/>
      <c r="M25" s="364"/>
      <c r="N25" s="364"/>
      <c r="O25" s="364"/>
      <c r="P25" s="364"/>
      <c r="Q25" s="364"/>
      <c r="R25" s="364"/>
      <c r="S25" s="364"/>
      <c r="T25" s="364"/>
      <c r="U25" s="364"/>
      <c r="V25" s="26"/>
      <c r="W25" s="374"/>
      <c r="X25" s="356"/>
      <c r="Y25" s="356"/>
      <c r="Z25" s="356"/>
      <c r="AA25" s="356"/>
      <c r="AB25" s="356"/>
      <c r="AC25" s="411"/>
      <c r="AD25" s="11"/>
      <c r="AE25" s="346"/>
      <c r="AF25" s="346"/>
    </row>
    <row r="26" spans="2:32" ht="9" customHeight="1" x14ac:dyDescent="0.2">
      <c r="B26" s="364"/>
      <c r="C26" s="364"/>
      <c r="D26" s="364"/>
      <c r="E26" s="408"/>
      <c r="F26" s="364"/>
      <c r="G26" s="364"/>
      <c r="H26" s="364"/>
      <c r="I26" s="364"/>
      <c r="J26" s="364"/>
      <c r="K26" s="364"/>
      <c r="L26" s="364"/>
      <c r="M26" s="364"/>
      <c r="N26" s="364"/>
      <c r="O26" s="364"/>
      <c r="P26" s="364"/>
      <c r="Q26" s="364"/>
      <c r="R26" s="364"/>
      <c r="S26" s="364"/>
      <c r="T26" s="364"/>
      <c r="U26" s="364"/>
      <c r="V26" s="26"/>
      <c r="W26" s="374"/>
      <c r="X26" s="356"/>
      <c r="Y26" s="356"/>
      <c r="Z26" s="356"/>
      <c r="AA26" s="356"/>
      <c r="AB26" s="356"/>
      <c r="AC26" s="411"/>
      <c r="AD26" s="11"/>
      <c r="AE26" s="346" t="str">
        <f>Open!U58</f>
        <v>RUN</v>
      </c>
      <c r="AF26" s="346" t="str">
        <f>Open!V58</f>
        <v>ROUTE</v>
      </c>
    </row>
    <row r="27" spans="2:32" ht="8.4499999999999993" customHeight="1" x14ac:dyDescent="0.2">
      <c r="B27" s="364"/>
      <c r="C27" s="364"/>
      <c r="D27" s="364"/>
      <c r="E27" s="408"/>
      <c r="F27" s="364"/>
      <c r="G27" s="364"/>
      <c r="H27" s="364"/>
      <c r="I27" s="364"/>
      <c r="J27" s="364"/>
      <c r="K27" s="364"/>
      <c r="L27" s="364"/>
      <c r="M27" s="364"/>
      <c r="N27" s="364"/>
      <c r="O27" s="364"/>
      <c r="P27" s="364"/>
      <c r="Q27" s="364"/>
      <c r="R27" s="364"/>
      <c r="S27" s="364"/>
      <c r="T27" s="364"/>
      <c r="U27" s="364"/>
      <c r="V27" s="26"/>
      <c r="W27" s="374"/>
      <c r="X27" s="356"/>
      <c r="Y27" s="356"/>
      <c r="Z27" s="356"/>
      <c r="AA27" s="356"/>
      <c r="AB27" s="356"/>
      <c r="AC27" s="411"/>
      <c r="AD27" s="11"/>
      <c r="AE27" s="346"/>
      <c r="AF27" s="346"/>
    </row>
    <row r="28" spans="2:32" ht="8.4499999999999993" customHeight="1" thickBot="1" x14ac:dyDescent="0.25">
      <c r="B28" s="365"/>
      <c r="C28" s="365"/>
      <c r="D28" s="365"/>
      <c r="E28" s="409"/>
      <c r="F28" s="365"/>
      <c r="G28" s="365"/>
      <c r="H28" s="365"/>
      <c r="I28" s="365"/>
      <c r="J28" s="365"/>
      <c r="K28" s="365"/>
      <c r="L28" s="365"/>
      <c r="M28" s="365"/>
      <c r="N28" s="365"/>
      <c r="O28" s="365"/>
      <c r="P28" s="365"/>
      <c r="Q28" s="365"/>
      <c r="R28" s="365"/>
      <c r="S28" s="365"/>
      <c r="T28" s="365"/>
      <c r="U28" s="365"/>
      <c r="V28" s="42"/>
      <c r="W28" s="377"/>
      <c r="X28" s="379"/>
      <c r="Y28" s="379"/>
      <c r="Z28" s="379"/>
      <c r="AA28" s="379"/>
      <c r="AB28" s="379"/>
      <c r="AC28" s="415"/>
      <c r="AD28" s="11"/>
      <c r="AE28" s="346">
        <f>Open!U59</f>
        <v>0</v>
      </c>
      <c r="AF28" s="346">
        <f>Open!V59</f>
        <v>0</v>
      </c>
    </row>
    <row r="29" spans="2:32" ht="1.5" customHeight="1" x14ac:dyDescent="0.2">
      <c r="B29" s="6"/>
      <c r="C29" s="6"/>
      <c r="D29" s="6"/>
      <c r="E29" s="6"/>
      <c r="F29" s="6"/>
      <c r="G29" s="6"/>
      <c r="H29" s="6"/>
      <c r="I29" s="6"/>
      <c r="J29" s="6"/>
      <c r="K29" s="6"/>
      <c r="L29" s="7"/>
      <c r="M29" s="6"/>
      <c r="N29" s="6"/>
      <c r="O29" s="6"/>
      <c r="P29" s="6"/>
      <c r="Q29" s="6"/>
      <c r="R29" s="12"/>
      <c r="S29" s="6"/>
      <c r="T29" s="6"/>
      <c r="U29" s="6"/>
      <c r="V29" s="10"/>
      <c r="W29" s="6"/>
      <c r="X29" s="6"/>
      <c r="Y29" s="6"/>
      <c r="Z29" s="6"/>
      <c r="AA29" s="6"/>
      <c r="AB29" s="6"/>
      <c r="AC29" s="6"/>
      <c r="AD29" s="11"/>
      <c r="AE29" s="346"/>
      <c r="AF29" s="346"/>
    </row>
    <row r="30" spans="2:32" ht="8.4499999999999993" customHeight="1" x14ac:dyDescent="0.2">
      <c r="B30" s="378"/>
      <c r="C30" s="366"/>
      <c r="D30" s="366"/>
      <c r="E30" s="366"/>
      <c r="F30" s="366"/>
      <c r="G30" s="366"/>
      <c r="H30" s="366"/>
      <c r="I30" s="366"/>
      <c r="J30" s="366"/>
      <c r="K30" s="366"/>
      <c r="L30" s="378"/>
      <c r="M30" s="366"/>
      <c r="N30" s="366"/>
      <c r="O30" s="366"/>
      <c r="P30" s="366"/>
      <c r="Q30" s="366"/>
      <c r="R30" s="366"/>
      <c r="S30" s="366"/>
      <c r="T30" s="366"/>
      <c r="U30" s="366"/>
      <c r="V30" s="395"/>
      <c r="W30" s="366"/>
      <c r="X30" s="366"/>
      <c r="Y30" s="366"/>
      <c r="Z30" s="366"/>
      <c r="AA30" s="366"/>
      <c r="AB30" s="366"/>
      <c r="AC30" s="6"/>
      <c r="AD30" s="11"/>
      <c r="AE30" s="346"/>
      <c r="AF30" s="346"/>
    </row>
    <row r="31" spans="2:32" ht="8.4499999999999993" customHeight="1" x14ac:dyDescent="0.2">
      <c r="B31" s="378"/>
      <c r="C31" s="366"/>
      <c r="D31" s="366"/>
      <c r="E31" s="366"/>
      <c r="F31" s="366"/>
      <c r="G31" s="366"/>
      <c r="H31" s="366"/>
      <c r="I31" s="366"/>
      <c r="J31" s="366"/>
      <c r="K31" s="366"/>
      <c r="L31" s="378"/>
      <c r="M31" s="366"/>
      <c r="N31" s="366"/>
      <c r="O31" s="366"/>
      <c r="P31" s="366"/>
      <c r="Q31" s="366"/>
      <c r="R31" s="366"/>
      <c r="S31" s="366"/>
      <c r="T31" s="366"/>
      <c r="U31" s="366"/>
      <c r="V31" s="395"/>
      <c r="W31" s="366"/>
      <c r="X31" s="366"/>
      <c r="Y31" s="366"/>
      <c r="Z31" s="366"/>
      <c r="AA31" s="366"/>
      <c r="AB31" s="366"/>
      <c r="AC31" s="6"/>
      <c r="AD31" s="13"/>
      <c r="AE31" s="346">
        <f>Open!U60</f>
        <v>0</v>
      </c>
      <c r="AF31" s="346">
        <f>Open!V60</f>
        <v>0</v>
      </c>
    </row>
    <row r="32" spans="2:32" ht="13.5" customHeight="1" x14ac:dyDescent="0.25">
      <c r="B32" s="43">
        <v>47</v>
      </c>
      <c r="C32" s="43">
        <v>46</v>
      </c>
      <c r="D32" s="43">
        <v>45</v>
      </c>
      <c r="E32" s="43">
        <v>44</v>
      </c>
      <c r="F32" s="43">
        <v>43</v>
      </c>
      <c r="G32" s="43">
        <v>42</v>
      </c>
      <c r="H32" s="43">
        <v>41</v>
      </c>
      <c r="I32" s="43">
        <v>40</v>
      </c>
      <c r="J32" s="43">
        <v>39</v>
      </c>
      <c r="K32" s="43">
        <v>38</v>
      </c>
      <c r="L32" s="43">
        <v>37</v>
      </c>
      <c r="M32" s="43">
        <v>36</v>
      </c>
      <c r="N32" s="43">
        <v>35</v>
      </c>
      <c r="O32" s="43"/>
      <c r="P32" s="43">
        <v>33</v>
      </c>
      <c r="Q32" s="43">
        <v>32</v>
      </c>
      <c r="R32" s="43">
        <v>31</v>
      </c>
      <c r="S32" s="43">
        <v>30</v>
      </c>
      <c r="T32" s="43">
        <v>29</v>
      </c>
      <c r="U32" s="43">
        <v>28</v>
      </c>
      <c r="V32" s="43">
        <v>27</v>
      </c>
      <c r="W32" s="43">
        <v>26</v>
      </c>
      <c r="X32" s="43">
        <v>25</v>
      </c>
      <c r="Y32" s="43">
        <v>24</v>
      </c>
      <c r="Z32" s="43">
        <v>23</v>
      </c>
      <c r="AA32" s="43">
        <v>22</v>
      </c>
      <c r="AB32" s="43">
        <v>21</v>
      </c>
      <c r="AC32" s="14"/>
      <c r="AD32" s="15"/>
      <c r="AE32" s="346"/>
      <c r="AF32" s="346"/>
    </row>
    <row r="33" spans="2:32" ht="9.75" customHeight="1" x14ac:dyDescent="0.2">
      <c r="B33" s="355"/>
      <c r="C33" s="355"/>
      <c r="D33" s="355"/>
      <c r="E33" s="355"/>
      <c r="F33" s="355"/>
      <c r="G33" s="355"/>
      <c r="H33" s="355"/>
      <c r="I33" s="355"/>
      <c r="J33" s="355"/>
      <c r="K33" s="355"/>
      <c r="L33" s="355"/>
      <c r="M33" s="355"/>
      <c r="N33" s="355"/>
      <c r="O33" s="110"/>
      <c r="P33" s="355"/>
      <c r="Q33" s="355"/>
      <c r="R33" s="355"/>
      <c r="S33" s="355"/>
      <c r="T33" s="355"/>
      <c r="U33" s="355"/>
      <c r="V33" s="355"/>
      <c r="W33" s="355"/>
      <c r="X33" s="355"/>
      <c r="Y33" s="355"/>
      <c r="Z33" s="355"/>
      <c r="AA33" s="355"/>
      <c r="AB33" s="355"/>
      <c r="AC33" s="371" t="s">
        <v>56</v>
      </c>
      <c r="AD33" s="16"/>
      <c r="AE33" s="346">
        <f>Open!U61</f>
        <v>0</v>
      </c>
      <c r="AF33" s="346">
        <f>Open!V61</f>
        <v>0</v>
      </c>
    </row>
    <row r="34" spans="2:32" ht="9" customHeight="1" x14ac:dyDescent="0.2">
      <c r="B34" s="356"/>
      <c r="C34" s="356"/>
      <c r="D34" s="356"/>
      <c r="E34" s="356"/>
      <c r="F34" s="356"/>
      <c r="G34" s="356"/>
      <c r="H34" s="356"/>
      <c r="I34" s="356"/>
      <c r="J34" s="356"/>
      <c r="K34" s="356"/>
      <c r="L34" s="356"/>
      <c r="M34" s="356"/>
      <c r="N34" s="356"/>
      <c r="O34" s="111" t="s">
        <v>0</v>
      </c>
      <c r="P34" s="356"/>
      <c r="Q34" s="356"/>
      <c r="R34" s="356"/>
      <c r="S34" s="356"/>
      <c r="T34" s="356"/>
      <c r="U34" s="356"/>
      <c r="V34" s="356"/>
      <c r="W34" s="356"/>
      <c r="X34" s="356"/>
      <c r="Y34" s="356"/>
      <c r="Z34" s="356"/>
      <c r="AA34" s="356"/>
      <c r="AB34" s="356"/>
      <c r="AC34" s="372"/>
      <c r="AD34" s="16"/>
      <c r="AE34" s="346"/>
      <c r="AF34" s="346"/>
    </row>
    <row r="35" spans="2:32" ht="9" customHeight="1" x14ac:dyDescent="0.2">
      <c r="B35" s="356"/>
      <c r="C35" s="356"/>
      <c r="D35" s="356"/>
      <c r="E35" s="356"/>
      <c r="F35" s="356"/>
      <c r="G35" s="356"/>
      <c r="H35" s="356"/>
      <c r="I35" s="356"/>
      <c r="J35" s="356"/>
      <c r="K35" s="356"/>
      <c r="L35" s="356"/>
      <c r="M35" s="356"/>
      <c r="N35" s="356"/>
      <c r="O35" s="111" t="s">
        <v>60</v>
      </c>
      <c r="P35" s="356"/>
      <c r="Q35" s="356"/>
      <c r="R35" s="356"/>
      <c r="S35" s="356"/>
      <c r="T35" s="356"/>
      <c r="U35" s="356"/>
      <c r="V35" s="356"/>
      <c r="W35" s="356"/>
      <c r="X35" s="356"/>
      <c r="Y35" s="356"/>
      <c r="Z35" s="356"/>
      <c r="AA35" s="356"/>
      <c r="AB35" s="356"/>
      <c r="AC35" s="373"/>
      <c r="AD35" s="16"/>
      <c r="AE35" s="346">
        <f>Open!U62</f>
        <v>0</v>
      </c>
      <c r="AF35" s="346">
        <f>Open!V62</f>
        <v>0</v>
      </c>
    </row>
    <row r="36" spans="2:32" ht="8.4499999999999993" customHeight="1" x14ac:dyDescent="0.2">
      <c r="B36" s="356"/>
      <c r="C36" s="356"/>
      <c r="D36" s="356"/>
      <c r="E36" s="356"/>
      <c r="F36" s="356"/>
      <c r="G36" s="356"/>
      <c r="H36" s="356"/>
      <c r="I36" s="356"/>
      <c r="J36" s="356"/>
      <c r="K36" s="356"/>
      <c r="L36" s="356"/>
      <c r="M36" s="356"/>
      <c r="N36" s="356"/>
      <c r="O36" s="111" t="s">
        <v>61</v>
      </c>
      <c r="P36" s="356"/>
      <c r="Q36" s="356"/>
      <c r="R36" s="356"/>
      <c r="S36" s="356"/>
      <c r="T36" s="356"/>
      <c r="U36" s="356"/>
      <c r="V36" s="356"/>
      <c r="W36" s="356"/>
      <c r="X36" s="356"/>
      <c r="Y36" s="356"/>
      <c r="Z36" s="356"/>
      <c r="AA36" s="356"/>
      <c r="AB36" s="356"/>
      <c r="AC36" s="380">
        <f>Open!J63</f>
        <v>0</v>
      </c>
      <c r="AD36" s="16"/>
      <c r="AE36" s="346"/>
      <c r="AF36" s="346"/>
    </row>
    <row r="37" spans="2:32" ht="8.4499999999999993" customHeight="1" x14ac:dyDescent="0.2">
      <c r="B37" s="356"/>
      <c r="C37" s="356"/>
      <c r="D37" s="356"/>
      <c r="E37" s="356"/>
      <c r="F37" s="356"/>
      <c r="G37" s="356"/>
      <c r="H37" s="356"/>
      <c r="I37" s="356"/>
      <c r="J37" s="356"/>
      <c r="K37" s="356"/>
      <c r="L37" s="356"/>
      <c r="M37" s="356"/>
      <c r="N37" s="356"/>
      <c r="O37" s="112"/>
      <c r="P37" s="356"/>
      <c r="Q37" s="356"/>
      <c r="R37" s="356"/>
      <c r="S37" s="356"/>
      <c r="T37" s="356"/>
      <c r="U37" s="356"/>
      <c r="V37" s="356"/>
      <c r="W37" s="356"/>
      <c r="X37" s="356"/>
      <c r="Y37" s="356"/>
      <c r="Z37" s="356"/>
      <c r="AA37" s="356"/>
      <c r="AB37" s="356"/>
      <c r="AC37" s="381"/>
      <c r="AD37" s="16"/>
      <c r="AE37"/>
      <c r="AF37"/>
    </row>
    <row r="38" spans="2:32" ht="8.4499999999999993" customHeight="1" x14ac:dyDescent="0.2">
      <c r="B38" s="357"/>
      <c r="C38" s="357"/>
      <c r="D38" s="357"/>
      <c r="E38" s="357"/>
      <c r="F38" s="357"/>
      <c r="G38" s="357"/>
      <c r="H38" s="357"/>
      <c r="I38" s="357"/>
      <c r="J38" s="357"/>
      <c r="K38" s="357"/>
      <c r="L38" s="357"/>
      <c r="M38" s="357"/>
      <c r="N38" s="357"/>
      <c r="O38" s="113"/>
      <c r="P38" s="357"/>
      <c r="Q38" s="357"/>
      <c r="R38" s="357"/>
      <c r="S38" s="357"/>
      <c r="T38" s="357"/>
      <c r="U38" s="357"/>
      <c r="V38" s="357"/>
      <c r="W38" s="357"/>
      <c r="X38" s="357"/>
      <c r="Y38" s="357"/>
      <c r="Z38" s="357"/>
      <c r="AA38" s="357"/>
      <c r="AB38" s="357"/>
      <c r="AC38" s="380">
        <f>Open!J65</f>
        <v>0</v>
      </c>
      <c r="AD38" s="16"/>
      <c r="AE38" s="358" t="s">
        <v>92</v>
      </c>
      <c r="AF38" s="358"/>
    </row>
    <row r="39" spans="2:32" ht="9.75" customHeight="1" x14ac:dyDescent="0.2">
      <c r="B39" s="355"/>
      <c r="C39" s="355"/>
      <c r="D39" s="355"/>
      <c r="E39" s="355"/>
      <c r="F39" s="355"/>
      <c r="G39" s="355"/>
      <c r="H39" s="355"/>
      <c r="I39" s="355"/>
      <c r="J39" s="355"/>
      <c r="K39" s="355"/>
      <c r="L39" s="355"/>
      <c r="M39" s="355"/>
      <c r="N39" s="355"/>
      <c r="O39" s="110"/>
      <c r="P39" s="355"/>
      <c r="Q39" s="355"/>
      <c r="R39" s="355"/>
      <c r="S39" s="355"/>
      <c r="T39" s="355"/>
      <c r="U39" s="355"/>
      <c r="V39" s="355"/>
      <c r="W39" s="355"/>
      <c r="X39" s="355"/>
      <c r="Y39" s="355"/>
      <c r="Z39" s="355"/>
      <c r="AA39" s="355"/>
      <c r="AB39" s="355"/>
      <c r="AC39" s="381"/>
      <c r="AD39" s="16"/>
      <c r="AE39" s="358"/>
      <c r="AF39" s="358"/>
    </row>
    <row r="40" spans="2:32" ht="9" customHeight="1" x14ac:dyDescent="0.2">
      <c r="B40" s="356"/>
      <c r="C40" s="356"/>
      <c r="D40" s="356"/>
      <c r="E40" s="356"/>
      <c r="F40" s="356"/>
      <c r="G40" s="356"/>
      <c r="H40" s="356"/>
      <c r="I40" s="356"/>
      <c r="J40" s="356"/>
      <c r="K40" s="356"/>
      <c r="L40" s="356"/>
      <c r="M40" s="356"/>
      <c r="N40" s="356"/>
      <c r="O40" s="111" t="s">
        <v>0</v>
      </c>
      <c r="P40" s="356"/>
      <c r="Q40" s="356"/>
      <c r="R40" s="356"/>
      <c r="S40" s="356"/>
      <c r="T40" s="356"/>
      <c r="U40" s="356"/>
      <c r="V40" s="356"/>
      <c r="W40" s="356"/>
      <c r="X40" s="356"/>
      <c r="Y40" s="356"/>
      <c r="Z40" s="356"/>
      <c r="AA40" s="356"/>
      <c r="AB40" s="356"/>
      <c r="AC40" s="380">
        <f>Open!K63</f>
        <v>0</v>
      </c>
      <c r="AD40" s="16"/>
      <c r="AE40" s="346">
        <f>Open!W56</f>
        <v>0</v>
      </c>
      <c r="AF40" s="346">
        <f>Open!X56</f>
        <v>0</v>
      </c>
    </row>
    <row r="41" spans="2:32" ht="9" customHeight="1" x14ac:dyDescent="0.2">
      <c r="B41" s="356"/>
      <c r="C41" s="356"/>
      <c r="D41" s="356"/>
      <c r="E41" s="356"/>
      <c r="F41" s="356"/>
      <c r="G41" s="356"/>
      <c r="H41" s="356"/>
      <c r="I41" s="356"/>
      <c r="J41" s="356"/>
      <c r="K41" s="356"/>
      <c r="L41" s="356"/>
      <c r="M41" s="356"/>
      <c r="N41" s="356"/>
      <c r="O41" s="111" t="s">
        <v>60</v>
      </c>
      <c r="P41" s="356"/>
      <c r="Q41" s="356"/>
      <c r="R41" s="356"/>
      <c r="S41" s="356"/>
      <c r="T41" s="356"/>
      <c r="U41" s="356"/>
      <c r="V41" s="356"/>
      <c r="W41" s="356"/>
      <c r="X41" s="356"/>
      <c r="Y41" s="356"/>
      <c r="Z41" s="356"/>
      <c r="AA41" s="356"/>
      <c r="AB41" s="356"/>
      <c r="AC41" s="381"/>
      <c r="AD41" s="16"/>
      <c r="AE41" s="346"/>
      <c r="AF41" s="346"/>
    </row>
    <row r="42" spans="2:32" ht="8.4499999999999993" customHeight="1" x14ac:dyDescent="0.2">
      <c r="B42" s="356"/>
      <c r="C42" s="356"/>
      <c r="D42" s="356"/>
      <c r="E42" s="356"/>
      <c r="F42" s="356"/>
      <c r="G42" s="356"/>
      <c r="H42" s="356"/>
      <c r="I42" s="356"/>
      <c r="J42" s="356"/>
      <c r="K42" s="356"/>
      <c r="L42" s="356"/>
      <c r="M42" s="356"/>
      <c r="N42" s="356"/>
      <c r="O42" s="111" t="s">
        <v>61</v>
      </c>
      <c r="P42" s="356"/>
      <c r="Q42" s="356"/>
      <c r="R42" s="356"/>
      <c r="S42" s="356"/>
      <c r="T42" s="356"/>
      <c r="U42" s="356"/>
      <c r="V42" s="356"/>
      <c r="W42" s="356"/>
      <c r="X42" s="356"/>
      <c r="Y42" s="356"/>
      <c r="Z42" s="356"/>
      <c r="AA42" s="356"/>
      <c r="AB42" s="356"/>
      <c r="AC42" s="380">
        <f>Open!K65</f>
        <v>0</v>
      </c>
      <c r="AD42" s="16"/>
      <c r="AE42" s="346">
        <f>Open!X57</f>
        <v>0</v>
      </c>
      <c r="AF42" s="346">
        <f>Open!Y57</f>
        <v>0</v>
      </c>
    </row>
    <row r="43" spans="2:32" ht="8.4499999999999993" customHeight="1" x14ac:dyDescent="0.2">
      <c r="B43" s="356"/>
      <c r="C43" s="356"/>
      <c r="D43" s="356"/>
      <c r="E43" s="356"/>
      <c r="F43" s="356"/>
      <c r="G43" s="356"/>
      <c r="H43" s="356"/>
      <c r="I43" s="356"/>
      <c r="J43" s="356"/>
      <c r="K43" s="356"/>
      <c r="L43" s="356"/>
      <c r="M43" s="356"/>
      <c r="N43" s="356"/>
      <c r="O43" s="112"/>
      <c r="P43" s="356"/>
      <c r="Q43" s="356"/>
      <c r="R43" s="356"/>
      <c r="S43" s="356"/>
      <c r="T43" s="356"/>
      <c r="U43" s="356"/>
      <c r="V43" s="356"/>
      <c r="W43" s="356"/>
      <c r="X43" s="356"/>
      <c r="Y43" s="356"/>
      <c r="Z43" s="356"/>
      <c r="AA43" s="356"/>
      <c r="AB43" s="356"/>
      <c r="AC43" s="381"/>
      <c r="AD43" s="16"/>
      <c r="AE43" s="346"/>
      <c r="AF43" s="346"/>
    </row>
    <row r="44" spans="2:32" ht="8.4499999999999993" customHeight="1" thickBot="1" x14ac:dyDescent="0.25">
      <c r="B44" s="357"/>
      <c r="C44" s="357"/>
      <c r="D44" s="357"/>
      <c r="E44" s="357"/>
      <c r="F44" s="357"/>
      <c r="G44" s="357"/>
      <c r="H44" s="357"/>
      <c r="I44" s="357"/>
      <c r="J44" s="356"/>
      <c r="K44" s="356"/>
      <c r="L44" s="356"/>
      <c r="M44" s="356"/>
      <c r="N44" s="356"/>
      <c r="O44" s="113"/>
      <c r="P44" s="357"/>
      <c r="Q44" s="357"/>
      <c r="R44" s="357"/>
      <c r="S44" s="357"/>
      <c r="T44" s="357"/>
      <c r="U44" s="357"/>
      <c r="V44" s="357"/>
      <c r="W44" s="357"/>
      <c r="X44" s="357"/>
      <c r="Y44" s="357"/>
      <c r="Z44" s="357"/>
      <c r="AA44" s="357"/>
      <c r="AB44" s="357"/>
      <c r="AC44" s="380">
        <f>Open!L63</f>
        <v>0</v>
      </c>
      <c r="AD44" s="16"/>
      <c r="AE44" s="346">
        <f>Open!X58</f>
        <v>0</v>
      </c>
      <c r="AF44" s="346">
        <f>Open!Y58</f>
        <v>0</v>
      </c>
    </row>
    <row r="45" spans="2:32" ht="9" customHeight="1" x14ac:dyDescent="0.2">
      <c r="B45" s="28"/>
      <c r="C45" s="27"/>
      <c r="D45" s="179"/>
      <c r="E45" s="107"/>
      <c r="F45" s="41"/>
      <c r="G45" s="41"/>
      <c r="H45" s="41"/>
      <c r="I45" s="41"/>
      <c r="J45" s="416" t="s">
        <v>81</v>
      </c>
      <c r="K45" s="417"/>
      <c r="L45" s="385"/>
      <c r="M45" s="386"/>
      <c r="N45" s="387"/>
      <c r="O45" s="394"/>
      <c r="P45" s="27"/>
      <c r="Q45" s="27"/>
      <c r="R45" s="27"/>
      <c r="S45" s="27"/>
      <c r="T45" s="41"/>
      <c r="U45" s="41"/>
      <c r="V45" s="41"/>
      <c r="W45" s="41"/>
      <c r="X45" s="40"/>
      <c r="Y45" s="27"/>
      <c r="Z45" s="27"/>
      <c r="AA45" s="27"/>
      <c r="AB45" s="28"/>
      <c r="AC45" s="383"/>
      <c r="AD45" s="16"/>
      <c r="AE45" s="346"/>
      <c r="AF45" s="346"/>
    </row>
    <row r="46" spans="2:32" ht="10.5" customHeight="1" x14ac:dyDescent="0.2">
      <c r="B46" s="28"/>
      <c r="C46" s="27"/>
      <c r="D46" s="179"/>
      <c r="E46" s="108"/>
      <c r="F46" s="41"/>
      <c r="G46" s="41"/>
      <c r="H46" s="41"/>
      <c r="I46" s="41"/>
      <c r="J46" s="418"/>
      <c r="K46" s="419"/>
      <c r="L46" s="388"/>
      <c r="M46" s="389"/>
      <c r="N46" s="390"/>
      <c r="O46" s="394"/>
      <c r="P46" s="27"/>
      <c r="Q46" s="27"/>
      <c r="R46" s="27"/>
      <c r="S46" s="27"/>
      <c r="T46" s="41"/>
      <c r="U46" s="41"/>
      <c r="V46" s="41"/>
      <c r="W46" s="41"/>
      <c r="X46" s="40"/>
      <c r="Y46" s="27"/>
      <c r="Z46" s="27"/>
      <c r="AA46" s="28"/>
      <c r="AB46" s="28"/>
      <c r="AC46" s="384">
        <f>Open!L65</f>
        <v>0</v>
      </c>
      <c r="AD46" s="16"/>
      <c r="AE46" s="346">
        <f>Open!X59</f>
        <v>0</v>
      </c>
      <c r="AF46" s="346">
        <f>Open!Y59</f>
        <v>0</v>
      </c>
    </row>
    <row r="47" spans="2:32" ht="9" customHeight="1" thickBot="1" x14ac:dyDescent="0.25">
      <c r="B47" s="28"/>
      <c r="C47" s="27"/>
      <c r="D47" s="179"/>
      <c r="E47" s="109"/>
      <c r="F47" s="41"/>
      <c r="G47" s="41"/>
      <c r="H47" s="41"/>
      <c r="I47" s="41"/>
      <c r="J47" s="420"/>
      <c r="K47" s="421"/>
      <c r="L47" s="391"/>
      <c r="M47" s="392"/>
      <c r="N47" s="393"/>
      <c r="O47" s="394"/>
      <c r="P47" s="27"/>
      <c r="Q47" s="27"/>
      <c r="R47" s="27"/>
      <c r="S47" s="27"/>
      <c r="T47" s="41"/>
      <c r="U47" s="41"/>
      <c r="V47" s="41"/>
      <c r="W47" s="41"/>
      <c r="X47" s="40"/>
      <c r="Y47" s="27"/>
      <c r="Z47" s="27"/>
      <c r="AA47" s="27"/>
      <c r="AB47" s="28"/>
      <c r="AC47" s="383"/>
      <c r="AD47" s="16"/>
      <c r="AE47" s="346"/>
      <c r="AF47" s="346"/>
    </row>
    <row r="48" spans="2:32" ht="9.75" customHeight="1" x14ac:dyDescent="0.2">
      <c r="B48" s="355"/>
      <c r="C48" s="355"/>
      <c r="D48" s="355"/>
      <c r="E48" s="355"/>
      <c r="F48" s="355"/>
      <c r="G48" s="355"/>
      <c r="H48" s="355"/>
      <c r="I48" s="355"/>
      <c r="J48" s="356"/>
      <c r="K48" s="356"/>
      <c r="L48" s="356"/>
      <c r="M48" s="356"/>
      <c r="N48" s="356"/>
      <c r="O48" s="110"/>
      <c r="P48" s="355"/>
      <c r="Q48" s="355"/>
      <c r="R48" s="355"/>
      <c r="S48" s="355"/>
      <c r="T48" s="355"/>
      <c r="U48" s="355"/>
      <c r="V48" s="355"/>
      <c r="W48" s="355"/>
      <c r="X48" s="355"/>
      <c r="Y48" s="355"/>
      <c r="Z48" s="355"/>
      <c r="AA48" s="355"/>
      <c r="AB48" s="355"/>
      <c r="AC48" s="380">
        <f>Open!M63</f>
        <v>0</v>
      </c>
      <c r="AD48" s="16"/>
      <c r="AE48" s="346">
        <f>Open!X60</f>
        <v>0</v>
      </c>
      <c r="AF48" s="346">
        <f>Open!Y60</f>
        <v>0</v>
      </c>
    </row>
    <row r="49" spans="2:32" ht="9" customHeight="1" x14ac:dyDescent="0.2">
      <c r="B49" s="356"/>
      <c r="C49" s="356"/>
      <c r="D49" s="356"/>
      <c r="E49" s="356"/>
      <c r="F49" s="356"/>
      <c r="G49" s="356"/>
      <c r="H49" s="356"/>
      <c r="I49" s="356"/>
      <c r="J49" s="356"/>
      <c r="K49" s="356"/>
      <c r="L49" s="356"/>
      <c r="M49" s="356"/>
      <c r="N49" s="356"/>
      <c r="O49" s="111" t="s">
        <v>0</v>
      </c>
      <c r="P49" s="356"/>
      <c r="Q49" s="356"/>
      <c r="R49" s="356"/>
      <c r="S49" s="356"/>
      <c r="T49" s="356"/>
      <c r="U49" s="356"/>
      <c r="V49" s="356"/>
      <c r="W49" s="356"/>
      <c r="X49" s="356"/>
      <c r="Y49" s="356"/>
      <c r="Z49" s="356"/>
      <c r="AA49" s="356"/>
      <c r="AB49" s="356"/>
      <c r="AC49" s="381"/>
      <c r="AD49" s="16"/>
      <c r="AE49" s="346"/>
      <c r="AF49" s="346"/>
    </row>
    <row r="50" spans="2:32" ht="9" customHeight="1" x14ac:dyDescent="0.2">
      <c r="B50" s="356"/>
      <c r="C50" s="356"/>
      <c r="D50" s="356"/>
      <c r="E50" s="356"/>
      <c r="F50" s="356"/>
      <c r="G50" s="356"/>
      <c r="H50" s="356"/>
      <c r="I50" s="356"/>
      <c r="J50" s="356"/>
      <c r="K50" s="356"/>
      <c r="L50" s="356"/>
      <c r="M50" s="356"/>
      <c r="N50" s="356"/>
      <c r="O50" s="111" t="s">
        <v>60</v>
      </c>
      <c r="P50" s="356"/>
      <c r="Q50" s="356"/>
      <c r="R50" s="356"/>
      <c r="S50" s="356"/>
      <c r="T50" s="356"/>
      <c r="U50" s="356"/>
      <c r="V50" s="356"/>
      <c r="W50" s="356"/>
      <c r="X50" s="356"/>
      <c r="Y50" s="356"/>
      <c r="Z50" s="356"/>
      <c r="AA50" s="356"/>
      <c r="AB50" s="356"/>
      <c r="AC50" s="380">
        <f>Open!M65</f>
        <v>0</v>
      </c>
      <c r="AD50" s="16"/>
      <c r="AE50" s="346">
        <f>Open!X61</f>
        <v>0</v>
      </c>
      <c r="AF50" s="346">
        <f>Open!Y61</f>
        <v>0</v>
      </c>
    </row>
    <row r="51" spans="2:32" ht="8.4499999999999993" customHeight="1" x14ac:dyDescent="0.2">
      <c r="B51" s="356"/>
      <c r="C51" s="356"/>
      <c r="D51" s="356"/>
      <c r="E51" s="356"/>
      <c r="F51" s="356"/>
      <c r="G51" s="356"/>
      <c r="H51" s="356"/>
      <c r="I51" s="356"/>
      <c r="J51" s="356"/>
      <c r="K51" s="356"/>
      <c r="L51" s="356"/>
      <c r="M51" s="356"/>
      <c r="N51" s="356"/>
      <c r="O51" s="111" t="s">
        <v>61</v>
      </c>
      <c r="P51" s="356"/>
      <c r="Q51" s="356"/>
      <c r="R51" s="356"/>
      <c r="S51" s="356"/>
      <c r="T51" s="356"/>
      <c r="U51" s="356"/>
      <c r="V51" s="356"/>
      <c r="W51" s="356"/>
      <c r="X51" s="356"/>
      <c r="Y51" s="356"/>
      <c r="Z51" s="356"/>
      <c r="AA51" s="356"/>
      <c r="AB51" s="356"/>
      <c r="AC51" s="381"/>
      <c r="AD51" s="16"/>
      <c r="AE51" s="346"/>
      <c r="AF51" s="346"/>
    </row>
    <row r="52" spans="2:32" ht="8.4499999999999993" customHeight="1" x14ac:dyDescent="0.2">
      <c r="B52" s="356"/>
      <c r="C52" s="356"/>
      <c r="D52" s="356"/>
      <c r="E52" s="356"/>
      <c r="F52" s="356"/>
      <c r="G52" s="356"/>
      <c r="H52" s="356"/>
      <c r="I52" s="356"/>
      <c r="J52" s="356"/>
      <c r="K52" s="356"/>
      <c r="L52" s="356"/>
      <c r="M52" s="356"/>
      <c r="N52" s="356"/>
      <c r="O52" s="112"/>
      <c r="P52" s="356"/>
      <c r="Q52" s="356"/>
      <c r="R52" s="356"/>
      <c r="S52" s="356"/>
      <c r="T52" s="356"/>
      <c r="U52" s="356"/>
      <c r="V52" s="356"/>
      <c r="W52" s="356"/>
      <c r="X52" s="356"/>
      <c r="Y52" s="356"/>
      <c r="Z52" s="356"/>
      <c r="AA52" s="356"/>
      <c r="AB52" s="356"/>
      <c r="AC52" s="380">
        <f>Open!N63</f>
        <v>0</v>
      </c>
      <c r="AD52" s="16"/>
      <c r="AE52" s="346">
        <f>Open!X62</f>
        <v>0</v>
      </c>
      <c r="AF52" s="346">
        <f>Open!Y62</f>
        <v>0</v>
      </c>
    </row>
    <row r="53" spans="2:32" ht="8.4499999999999993" customHeight="1" x14ac:dyDescent="0.2">
      <c r="B53" s="357"/>
      <c r="C53" s="357"/>
      <c r="D53" s="357"/>
      <c r="E53" s="357"/>
      <c r="F53" s="357"/>
      <c r="G53" s="357"/>
      <c r="H53" s="357"/>
      <c r="I53" s="357"/>
      <c r="J53" s="357"/>
      <c r="K53" s="357"/>
      <c r="L53" s="357"/>
      <c r="M53" s="357"/>
      <c r="N53" s="357"/>
      <c r="O53" s="113"/>
      <c r="P53" s="357"/>
      <c r="Q53" s="357"/>
      <c r="R53" s="357"/>
      <c r="S53" s="357"/>
      <c r="T53" s="357"/>
      <c r="U53" s="357"/>
      <c r="V53" s="357"/>
      <c r="W53" s="357"/>
      <c r="X53" s="357"/>
      <c r="Y53" s="357"/>
      <c r="Z53" s="357"/>
      <c r="AA53" s="357"/>
      <c r="AB53" s="357"/>
      <c r="AC53" s="381"/>
      <c r="AD53" s="16"/>
      <c r="AE53" s="346"/>
      <c r="AF53" s="346"/>
    </row>
    <row r="54" spans="2:32" ht="9.75" customHeight="1" x14ac:dyDescent="0.2">
      <c r="B54" s="355"/>
      <c r="C54" s="355"/>
      <c r="D54" s="355"/>
      <c r="E54" s="355"/>
      <c r="F54" s="355"/>
      <c r="G54" s="355"/>
      <c r="H54" s="355"/>
      <c r="I54" s="355"/>
      <c r="J54" s="355"/>
      <c r="K54" s="355"/>
      <c r="L54" s="355"/>
      <c r="M54" s="355"/>
      <c r="N54" s="355"/>
      <c r="O54" s="110"/>
      <c r="P54" s="355"/>
      <c r="Q54" s="355"/>
      <c r="R54" s="355"/>
      <c r="S54" s="355"/>
      <c r="T54" s="355"/>
      <c r="U54" s="355"/>
      <c r="V54" s="355"/>
      <c r="W54" s="355"/>
      <c r="X54" s="355"/>
      <c r="Y54" s="355"/>
      <c r="Z54" s="355"/>
      <c r="AA54" s="355"/>
      <c r="AB54" s="355"/>
      <c r="AC54" s="380">
        <f>Open!N65</f>
        <v>0</v>
      </c>
      <c r="AD54" s="16"/>
      <c r="AE54" s="346">
        <f>Open!X63</f>
        <v>0</v>
      </c>
      <c r="AF54" s="346">
        <f>Open!Y63</f>
        <v>0</v>
      </c>
    </row>
    <row r="55" spans="2:32" ht="9" customHeight="1" x14ac:dyDescent="0.2">
      <c r="B55" s="356"/>
      <c r="C55" s="356"/>
      <c r="D55" s="356"/>
      <c r="E55" s="356"/>
      <c r="F55" s="356"/>
      <c r="G55" s="356"/>
      <c r="H55" s="356"/>
      <c r="I55" s="356"/>
      <c r="J55" s="356"/>
      <c r="K55" s="356"/>
      <c r="L55" s="356"/>
      <c r="M55" s="356"/>
      <c r="N55" s="356"/>
      <c r="O55" s="111" t="s">
        <v>0</v>
      </c>
      <c r="P55" s="356"/>
      <c r="Q55" s="356"/>
      <c r="R55" s="356"/>
      <c r="S55" s="356"/>
      <c r="T55" s="356"/>
      <c r="U55" s="356"/>
      <c r="V55" s="356"/>
      <c r="W55" s="356"/>
      <c r="X55" s="356"/>
      <c r="Y55" s="356"/>
      <c r="Z55" s="356"/>
      <c r="AA55" s="356"/>
      <c r="AB55" s="356"/>
      <c r="AC55" s="381"/>
      <c r="AD55" s="16"/>
      <c r="AE55" s="346"/>
      <c r="AF55" s="346"/>
    </row>
    <row r="56" spans="2:32" ht="9" customHeight="1" x14ac:dyDescent="0.2">
      <c r="B56" s="356"/>
      <c r="C56" s="356"/>
      <c r="D56" s="356"/>
      <c r="E56" s="356"/>
      <c r="F56" s="356"/>
      <c r="G56" s="356"/>
      <c r="H56" s="356"/>
      <c r="I56" s="356"/>
      <c r="J56" s="356"/>
      <c r="K56" s="356"/>
      <c r="L56" s="356"/>
      <c r="M56" s="356"/>
      <c r="N56" s="356"/>
      <c r="O56" s="111" t="s">
        <v>60</v>
      </c>
      <c r="P56" s="356"/>
      <c r="Q56" s="356"/>
      <c r="R56" s="356"/>
      <c r="S56" s="356"/>
      <c r="T56" s="356"/>
      <c r="U56" s="356"/>
      <c r="V56" s="356"/>
      <c r="W56" s="356"/>
      <c r="X56" s="356"/>
      <c r="Y56" s="356"/>
      <c r="Z56" s="356"/>
      <c r="AA56" s="356"/>
      <c r="AB56" s="356"/>
      <c r="AC56" s="380">
        <f>Open!O63</f>
        <v>0</v>
      </c>
      <c r="AD56" s="16"/>
      <c r="AE56" s="346">
        <f>Open!X64</f>
        <v>0</v>
      </c>
      <c r="AF56" s="346">
        <f>Open!Y64</f>
        <v>0</v>
      </c>
    </row>
    <row r="57" spans="2:32" ht="8.4499999999999993" customHeight="1" x14ac:dyDescent="0.2">
      <c r="B57" s="356"/>
      <c r="C57" s="356"/>
      <c r="D57" s="356"/>
      <c r="E57" s="356"/>
      <c r="F57" s="356"/>
      <c r="G57" s="356"/>
      <c r="H57" s="356"/>
      <c r="I57" s="356"/>
      <c r="J57" s="356"/>
      <c r="K57" s="356"/>
      <c r="L57" s="356"/>
      <c r="M57" s="356"/>
      <c r="N57" s="356"/>
      <c r="O57" s="111" t="s">
        <v>61</v>
      </c>
      <c r="P57" s="356"/>
      <c r="Q57" s="356"/>
      <c r="R57" s="356"/>
      <c r="S57" s="356"/>
      <c r="T57" s="356"/>
      <c r="U57" s="356"/>
      <c r="V57" s="356"/>
      <c r="W57" s="356"/>
      <c r="X57" s="356"/>
      <c r="Y57" s="356"/>
      <c r="Z57" s="356"/>
      <c r="AA57" s="356"/>
      <c r="AB57" s="356"/>
      <c r="AC57" s="381"/>
      <c r="AD57" s="16"/>
      <c r="AE57" s="346"/>
      <c r="AF57" s="346"/>
    </row>
    <row r="58" spans="2:32" ht="8.4499999999999993" customHeight="1" x14ac:dyDescent="0.2">
      <c r="B58" s="356"/>
      <c r="C58" s="356"/>
      <c r="D58" s="356"/>
      <c r="E58" s="356"/>
      <c r="F58" s="356"/>
      <c r="G58" s="356"/>
      <c r="H58" s="356"/>
      <c r="I58" s="356"/>
      <c r="J58" s="356"/>
      <c r="K58" s="356"/>
      <c r="L58" s="356"/>
      <c r="M58" s="356"/>
      <c r="N58" s="356"/>
      <c r="O58" s="112"/>
      <c r="P58" s="356"/>
      <c r="Q58" s="356"/>
      <c r="R58" s="356"/>
      <c r="S58" s="356"/>
      <c r="T58" s="356"/>
      <c r="U58" s="356"/>
      <c r="V58" s="356"/>
      <c r="W58" s="356"/>
      <c r="X58" s="356"/>
      <c r="Y58" s="356"/>
      <c r="Z58" s="356"/>
      <c r="AA58" s="356"/>
      <c r="AB58" s="356"/>
      <c r="AC58" s="380">
        <f>Open!O65</f>
        <v>0</v>
      </c>
      <c r="AD58" s="16"/>
      <c r="AE58" s="346">
        <f>Open!$Z$56</f>
        <v>0</v>
      </c>
      <c r="AF58" s="346">
        <f>Open!$Z$57</f>
        <v>0</v>
      </c>
    </row>
    <row r="59" spans="2:32" ht="9.75" customHeight="1" x14ac:dyDescent="0.2">
      <c r="B59" s="357"/>
      <c r="C59" s="357"/>
      <c r="D59" s="357"/>
      <c r="E59" s="357"/>
      <c r="F59" s="357"/>
      <c r="G59" s="357"/>
      <c r="H59" s="357"/>
      <c r="I59" s="357"/>
      <c r="J59" s="357"/>
      <c r="K59" s="357"/>
      <c r="L59" s="357"/>
      <c r="M59" s="357"/>
      <c r="N59" s="357"/>
      <c r="O59" s="113"/>
      <c r="P59" s="357"/>
      <c r="Q59" s="357"/>
      <c r="R59" s="357"/>
      <c r="S59" s="357"/>
      <c r="T59" s="357"/>
      <c r="U59" s="357"/>
      <c r="V59" s="357"/>
      <c r="W59" s="357"/>
      <c r="X59" s="357"/>
      <c r="Y59" s="357"/>
      <c r="Z59" s="357"/>
      <c r="AA59" s="357"/>
      <c r="AB59" s="357"/>
      <c r="AC59" s="381"/>
      <c r="AD59" s="16"/>
      <c r="AE59" s="346"/>
      <c r="AF59" s="346"/>
    </row>
    <row r="60" spans="2:32" ht="9.75" customHeight="1" x14ac:dyDescent="0.2">
      <c r="B60" s="355"/>
      <c r="C60" s="355"/>
      <c r="D60" s="355"/>
      <c r="E60" s="355"/>
      <c r="F60" s="355"/>
      <c r="G60" s="355"/>
      <c r="H60" s="355"/>
      <c r="I60" s="355"/>
      <c r="J60" s="355"/>
      <c r="K60" s="355"/>
      <c r="L60" s="355"/>
      <c r="M60" s="355"/>
      <c r="N60" s="355"/>
      <c r="O60" s="110"/>
      <c r="P60" s="355"/>
      <c r="Q60" s="355"/>
      <c r="R60" s="355"/>
      <c r="S60" s="355"/>
      <c r="T60" s="355"/>
      <c r="U60" s="355"/>
      <c r="V60" s="355"/>
      <c r="W60" s="355"/>
      <c r="X60" s="355"/>
      <c r="Y60" s="355"/>
      <c r="Z60" s="355"/>
      <c r="AA60" s="355"/>
      <c r="AB60" s="355"/>
      <c r="AC60" s="380">
        <f>Open!P63</f>
        <v>0</v>
      </c>
      <c r="AD60" s="16"/>
      <c r="AE60" s="346">
        <f>Open!$Z$58</f>
        <v>0</v>
      </c>
      <c r="AF60" s="346">
        <f>Open!$Z$59</f>
        <v>0</v>
      </c>
    </row>
    <row r="61" spans="2:32" ht="9" customHeight="1" x14ac:dyDescent="0.2">
      <c r="B61" s="356"/>
      <c r="C61" s="356"/>
      <c r="D61" s="356"/>
      <c r="E61" s="356"/>
      <c r="F61" s="356"/>
      <c r="G61" s="356"/>
      <c r="H61" s="356"/>
      <c r="I61" s="356"/>
      <c r="J61" s="356"/>
      <c r="K61" s="356"/>
      <c r="L61" s="356"/>
      <c r="M61" s="356"/>
      <c r="N61" s="356"/>
      <c r="O61" s="111" t="s">
        <v>0</v>
      </c>
      <c r="P61" s="356"/>
      <c r="Q61" s="356"/>
      <c r="R61" s="356"/>
      <c r="S61" s="356"/>
      <c r="T61" s="356"/>
      <c r="U61" s="356"/>
      <c r="V61" s="356"/>
      <c r="W61" s="356"/>
      <c r="X61" s="356"/>
      <c r="Y61" s="356"/>
      <c r="Z61" s="356"/>
      <c r="AA61" s="356"/>
      <c r="AB61" s="356"/>
      <c r="AC61" s="381"/>
      <c r="AD61" s="16"/>
      <c r="AE61" s="346"/>
      <c r="AF61" s="346"/>
    </row>
    <row r="62" spans="2:32" ht="9" customHeight="1" x14ac:dyDescent="0.2">
      <c r="B62" s="356"/>
      <c r="C62" s="356"/>
      <c r="D62" s="356"/>
      <c r="E62" s="356"/>
      <c r="F62" s="356"/>
      <c r="G62" s="356"/>
      <c r="H62" s="356"/>
      <c r="I62" s="356"/>
      <c r="J62" s="356"/>
      <c r="K62" s="356"/>
      <c r="L62" s="356"/>
      <c r="M62" s="356"/>
      <c r="N62" s="356"/>
      <c r="O62" s="111" t="s">
        <v>60</v>
      </c>
      <c r="P62" s="356"/>
      <c r="Q62" s="356"/>
      <c r="R62" s="356"/>
      <c r="S62" s="356"/>
      <c r="T62" s="356"/>
      <c r="U62" s="356"/>
      <c r="V62" s="356"/>
      <c r="W62" s="356"/>
      <c r="X62" s="356"/>
      <c r="Y62" s="356"/>
      <c r="Z62" s="356"/>
      <c r="AA62" s="356"/>
      <c r="AB62" s="356"/>
      <c r="AC62" s="380">
        <f>Open!P65</f>
        <v>0</v>
      </c>
      <c r="AD62" s="16"/>
      <c r="AE62" s="346">
        <f>Open!$Z$60</f>
        <v>0</v>
      </c>
      <c r="AF62" s="346">
        <f>Open!$Z$61</f>
        <v>0</v>
      </c>
    </row>
    <row r="63" spans="2:32" ht="8.4499999999999993" customHeight="1" x14ac:dyDescent="0.2">
      <c r="B63" s="356"/>
      <c r="C63" s="356"/>
      <c r="D63" s="356"/>
      <c r="E63" s="356"/>
      <c r="F63" s="356"/>
      <c r="G63" s="356"/>
      <c r="H63" s="356"/>
      <c r="I63" s="356"/>
      <c r="J63" s="356"/>
      <c r="K63" s="356"/>
      <c r="L63" s="356"/>
      <c r="M63" s="356"/>
      <c r="N63" s="356"/>
      <c r="O63" s="111" t="s">
        <v>61</v>
      </c>
      <c r="P63" s="356"/>
      <c r="Q63" s="356"/>
      <c r="R63" s="356"/>
      <c r="S63" s="356"/>
      <c r="T63" s="356"/>
      <c r="U63" s="356"/>
      <c r="V63" s="356"/>
      <c r="W63" s="356"/>
      <c r="X63" s="356"/>
      <c r="Y63" s="356"/>
      <c r="Z63" s="356"/>
      <c r="AA63" s="356"/>
      <c r="AB63" s="356"/>
      <c r="AC63" s="381"/>
      <c r="AD63" s="16"/>
      <c r="AE63" s="346"/>
      <c r="AF63" s="346"/>
    </row>
    <row r="64" spans="2:32" ht="8.4499999999999993" customHeight="1" x14ac:dyDescent="0.2">
      <c r="B64" s="356"/>
      <c r="C64" s="356"/>
      <c r="D64" s="356"/>
      <c r="E64" s="356"/>
      <c r="F64" s="356"/>
      <c r="G64" s="356"/>
      <c r="H64" s="356"/>
      <c r="I64" s="356"/>
      <c r="J64" s="356"/>
      <c r="K64" s="356"/>
      <c r="L64" s="356"/>
      <c r="M64" s="356"/>
      <c r="N64" s="356"/>
      <c r="O64" s="112"/>
      <c r="P64" s="356"/>
      <c r="Q64" s="356"/>
      <c r="R64" s="356"/>
      <c r="S64" s="356"/>
      <c r="T64" s="356"/>
      <c r="U64" s="356"/>
      <c r="V64" s="356"/>
      <c r="W64" s="356"/>
      <c r="X64" s="356"/>
      <c r="Y64" s="356"/>
      <c r="Z64" s="356"/>
      <c r="AA64" s="356"/>
      <c r="AB64" s="356"/>
      <c r="AC64" s="380">
        <f>Open!$Q$63</f>
        <v>0</v>
      </c>
      <c r="AD64" s="16"/>
      <c r="AE64" s="346">
        <f>Open!$Z$62</f>
        <v>0</v>
      </c>
      <c r="AF64" s="346">
        <f>Open!$Z$63</f>
        <v>0</v>
      </c>
    </row>
    <row r="65" spans="1:32" ht="9.9499999999999993" customHeight="1" x14ac:dyDescent="0.2">
      <c r="B65" s="357"/>
      <c r="C65" s="357"/>
      <c r="D65" s="357"/>
      <c r="E65" s="357"/>
      <c r="F65" s="357"/>
      <c r="G65" s="357"/>
      <c r="H65" s="357"/>
      <c r="I65" s="357"/>
      <c r="J65" s="357"/>
      <c r="K65" s="357"/>
      <c r="L65" s="357"/>
      <c r="M65" s="357"/>
      <c r="N65" s="357"/>
      <c r="O65" s="113"/>
      <c r="P65" s="357"/>
      <c r="Q65" s="357"/>
      <c r="R65" s="357"/>
      <c r="S65" s="357"/>
      <c r="T65" s="357"/>
      <c r="U65" s="357"/>
      <c r="V65" s="357"/>
      <c r="W65" s="357"/>
      <c r="X65" s="357"/>
      <c r="Y65" s="357"/>
      <c r="Z65" s="357"/>
      <c r="AA65" s="357"/>
      <c r="AB65" s="357"/>
      <c r="AC65" s="381"/>
      <c r="AD65" s="16"/>
      <c r="AE65" s="346"/>
      <c r="AF65" s="346"/>
    </row>
    <row r="66" spans="1:32" ht="6" customHeight="1" x14ac:dyDescent="0.2">
      <c r="A66" s="2"/>
      <c r="B66" s="7"/>
      <c r="C66" s="7"/>
      <c r="D66" s="7"/>
      <c r="E66" s="7"/>
      <c r="F66" s="7"/>
      <c r="G66" s="7"/>
      <c r="H66" s="7"/>
      <c r="I66" s="7"/>
      <c r="J66" s="7"/>
      <c r="K66" s="7"/>
      <c r="L66" s="7"/>
      <c r="M66" s="17"/>
      <c r="N66" s="39"/>
      <c r="O66" s="7"/>
      <c r="P66" s="7"/>
      <c r="Q66" s="7"/>
      <c r="R66" s="7"/>
      <c r="S66" s="7"/>
      <c r="T66" s="7"/>
      <c r="U66" s="18"/>
      <c r="V66" s="7"/>
      <c r="W66" s="7"/>
      <c r="X66" s="7"/>
      <c r="Y66" s="7"/>
      <c r="Z66" s="7"/>
      <c r="AA66" s="39"/>
      <c r="AB66" s="7"/>
      <c r="AC66" s="16"/>
      <c r="AD66" s="11"/>
      <c r="AE66" s="346">
        <f>Open!$Z$64</f>
        <v>0</v>
      </c>
      <c r="AF66" s="347"/>
    </row>
    <row r="67" spans="1:32" ht="15" customHeight="1" x14ac:dyDescent="0.2">
      <c r="A67" s="4"/>
      <c r="B67" s="206">
        <f>Open!J57</f>
        <v>0</v>
      </c>
      <c r="C67" s="206">
        <f>Open!K57</f>
        <v>0</v>
      </c>
      <c r="D67" s="206">
        <f>Open!L57</f>
        <v>0</v>
      </c>
      <c r="E67" s="206">
        <f>Open!M57</f>
        <v>0</v>
      </c>
      <c r="F67" s="206">
        <f>Open!N57</f>
        <v>0</v>
      </c>
      <c r="G67" s="206">
        <f>Open!O57</f>
        <v>0</v>
      </c>
      <c r="H67" s="74" t="s">
        <v>49</v>
      </c>
      <c r="I67" s="206">
        <f>Open!S41</f>
        <v>0</v>
      </c>
      <c r="J67" s="206">
        <f>Open!T41</f>
        <v>0</v>
      </c>
      <c r="K67" s="206">
        <f>Open!U41</f>
        <v>0</v>
      </c>
      <c r="L67" s="206">
        <f>Open!S42</f>
        <v>0</v>
      </c>
      <c r="M67" s="206">
        <f>Open!T42</f>
        <v>0</v>
      </c>
      <c r="N67" s="206">
        <f>Open!U42</f>
        <v>0</v>
      </c>
      <c r="O67" s="352" t="s">
        <v>27</v>
      </c>
      <c r="P67" s="206">
        <f>Open!S67</f>
        <v>0</v>
      </c>
      <c r="Q67" s="206">
        <f>Open!T67</f>
        <v>0</v>
      </c>
      <c r="R67" s="6"/>
      <c r="S67" s="382" t="s">
        <v>50</v>
      </c>
      <c r="T67" s="206">
        <f>Open!V67</f>
        <v>0</v>
      </c>
      <c r="U67" s="206">
        <f>Open!W67</f>
        <v>0</v>
      </c>
      <c r="V67" s="6"/>
      <c r="W67" s="353" t="s">
        <v>2</v>
      </c>
      <c r="X67" s="206">
        <f>Open!J67</f>
        <v>0</v>
      </c>
      <c r="Y67" s="206">
        <f>Open!K67</f>
        <v>0</v>
      </c>
      <c r="Z67" s="206">
        <f>Open!L67</f>
        <v>0</v>
      </c>
      <c r="AA67" s="206">
        <f>Open!M67</f>
        <v>0</v>
      </c>
      <c r="AB67" s="206">
        <f>Open!N67</f>
        <v>0</v>
      </c>
      <c r="AC67" s="206">
        <f>Open!O67</f>
        <v>0</v>
      </c>
      <c r="AD67" s="16"/>
      <c r="AE67" s="346"/>
      <c r="AF67" s="347"/>
    </row>
    <row r="68" spans="1:32" ht="15" customHeight="1" x14ac:dyDescent="0.2">
      <c r="A68" s="77" t="s">
        <v>4</v>
      </c>
      <c r="B68" s="206">
        <f>Open!J58</f>
        <v>0</v>
      </c>
      <c r="C68" s="206">
        <f>Open!K58</f>
        <v>0</v>
      </c>
      <c r="D68" s="206">
        <f>Open!L58</f>
        <v>0</v>
      </c>
      <c r="E68" s="206">
        <f>Open!M58</f>
        <v>0</v>
      </c>
      <c r="F68" s="206">
        <f>Open!N58</f>
        <v>0</v>
      </c>
      <c r="G68" s="206">
        <f>Open!O58</f>
        <v>0</v>
      </c>
      <c r="H68" s="75" t="s">
        <v>47</v>
      </c>
      <c r="I68" s="206">
        <f>Open!W41</f>
        <v>0</v>
      </c>
      <c r="J68" s="206">
        <f>Open!X41</f>
        <v>0</v>
      </c>
      <c r="K68" s="206">
        <f>Open!Y41</f>
        <v>0</v>
      </c>
      <c r="L68" s="206">
        <f>Open!W42</f>
        <v>0</v>
      </c>
      <c r="M68" s="206">
        <f>Open!X42</f>
        <v>0</v>
      </c>
      <c r="N68" s="206">
        <f>Open!Y42</f>
        <v>0</v>
      </c>
      <c r="O68" s="352"/>
      <c r="P68" s="206">
        <f>Open!S68</f>
        <v>0</v>
      </c>
      <c r="Q68" s="206">
        <f>Open!T68</f>
        <v>0</v>
      </c>
      <c r="R68" s="6"/>
      <c r="S68" s="382"/>
      <c r="T68" s="206">
        <f>Open!V68</f>
        <v>0</v>
      </c>
      <c r="U68" s="206">
        <f>Open!W68</f>
        <v>0</v>
      </c>
      <c r="V68" s="6"/>
      <c r="W68" s="353"/>
      <c r="X68" s="206">
        <f>Open!J68</f>
        <v>0</v>
      </c>
      <c r="Y68" s="206">
        <f>Open!K68</f>
        <v>0</v>
      </c>
      <c r="Z68" s="206">
        <f>Open!L68</f>
        <v>0</v>
      </c>
      <c r="AA68" s="206">
        <f>Open!M68</f>
        <v>0</v>
      </c>
      <c r="AB68" s="206">
        <f>Open!N68</f>
        <v>0</v>
      </c>
      <c r="AC68" s="207">
        <f>Open!O68</f>
        <v>0</v>
      </c>
      <c r="AD68" s="16"/>
      <c r="AE68" s="199"/>
      <c r="AF68" s="199"/>
    </row>
    <row r="69" spans="1:32" s="9" customFormat="1" ht="15" customHeight="1" x14ac:dyDescent="0.25">
      <c r="A69" s="77" t="s">
        <v>5</v>
      </c>
      <c r="B69" s="206">
        <f>Open!J59</f>
        <v>0</v>
      </c>
      <c r="C69" s="206">
        <f>Open!K59</f>
        <v>0</v>
      </c>
      <c r="D69" s="206">
        <f>Open!L59</f>
        <v>0</v>
      </c>
      <c r="E69" s="206">
        <f>Open!M59</f>
        <v>0</v>
      </c>
      <c r="F69" s="206">
        <f>Open!N59</f>
        <v>0</v>
      </c>
      <c r="G69" s="206">
        <f>Open!O59</f>
        <v>0</v>
      </c>
      <c r="H69" s="65"/>
      <c r="I69" s="64"/>
      <c r="J69" s="66"/>
      <c r="K69" s="66"/>
      <c r="L69" s="66"/>
      <c r="M69" s="66"/>
      <c r="N69" s="20"/>
      <c r="O69" s="20"/>
      <c r="P69" s="20"/>
      <c r="Q69" s="20"/>
      <c r="R69" s="20"/>
      <c r="S69" s="21"/>
      <c r="T69" s="21"/>
      <c r="U69" s="21"/>
      <c r="V69" s="21"/>
      <c r="W69" s="21"/>
      <c r="X69" s="99"/>
      <c r="Y69" s="99"/>
      <c r="Z69" s="99"/>
      <c r="AA69" s="99"/>
      <c r="AB69" s="100"/>
      <c r="AC69" s="100"/>
      <c r="AD69" s="19"/>
      <c r="AE69" s="205"/>
      <c r="AF69" s="205"/>
    </row>
    <row r="70" spans="1:32" ht="15" customHeight="1" x14ac:dyDescent="0.2">
      <c r="A70" s="4"/>
      <c r="B70" s="206">
        <f>Open!J60</f>
        <v>0</v>
      </c>
      <c r="C70" s="206">
        <f>Open!K60</f>
        <v>0</v>
      </c>
      <c r="D70" s="206">
        <f>Open!L60</f>
        <v>0</v>
      </c>
      <c r="E70" s="206">
        <f>Open!M60</f>
        <v>0</v>
      </c>
      <c r="F70" s="206">
        <f>Open!N60</f>
        <v>0</v>
      </c>
      <c r="G70" s="206">
        <f>Open!O60</f>
        <v>0</v>
      </c>
      <c r="H70" s="76" t="s">
        <v>48</v>
      </c>
      <c r="I70" s="206">
        <f>Open!S33</f>
        <v>0</v>
      </c>
      <c r="J70" s="206">
        <f>Open!T33</f>
        <v>0</v>
      </c>
      <c r="K70" s="206">
        <f>Open!U33</f>
        <v>0</v>
      </c>
      <c r="L70" s="206">
        <f>Open!S34</f>
        <v>0</v>
      </c>
      <c r="M70" s="206">
        <f>Open!T34</f>
        <v>0</v>
      </c>
      <c r="N70" s="206">
        <f>Open!W33</f>
        <v>0</v>
      </c>
      <c r="O70" s="206">
        <f>Open!X33</f>
        <v>0</v>
      </c>
      <c r="P70" s="206">
        <f>Open!Y33</f>
        <v>0</v>
      </c>
      <c r="Q70" s="206">
        <f>Open!W34</f>
        <v>0</v>
      </c>
      <c r="R70" s="206">
        <f>Open!X34</f>
        <v>0</v>
      </c>
      <c r="S70" s="206">
        <f>Open!S37</f>
        <v>0</v>
      </c>
      <c r="T70" s="206">
        <f>Open!T37</f>
        <v>0</v>
      </c>
      <c r="U70" s="206">
        <f>Open!U37</f>
        <v>0</v>
      </c>
      <c r="V70" s="206">
        <f>Open!S38</f>
        <v>0</v>
      </c>
      <c r="W70" s="206">
        <f>Open!T38</f>
        <v>0</v>
      </c>
      <c r="X70" s="206">
        <f>Open!W37</f>
        <v>0</v>
      </c>
      <c r="Y70" s="206">
        <f>Open!X37</f>
        <v>0</v>
      </c>
      <c r="Z70" s="206">
        <f>Open!W38</f>
        <v>0</v>
      </c>
      <c r="AA70" s="206">
        <f>Open!X38</f>
        <v>0</v>
      </c>
      <c r="AB70" s="203"/>
      <c r="AC70" s="203"/>
      <c r="AD70" s="16"/>
      <c r="AE70" s="199"/>
      <c r="AF70" s="199"/>
    </row>
    <row r="71" spans="1:32" ht="15" customHeight="1" x14ac:dyDescent="0.2">
      <c r="A71" s="4"/>
      <c r="B71" s="207">
        <f>Open!$P$57</f>
        <v>0</v>
      </c>
      <c r="C71" s="206">
        <f>Open!$P$58</f>
        <v>0</v>
      </c>
      <c r="D71" s="206">
        <f>Open!$P$59</f>
        <v>0</v>
      </c>
      <c r="E71" s="206">
        <f>Open!$P$60</f>
        <v>0</v>
      </c>
      <c r="F71" s="206">
        <f>Open!$Q$57</f>
        <v>0</v>
      </c>
      <c r="G71" s="206">
        <f>Open!$Q$58</f>
        <v>0</v>
      </c>
      <c r="H71" s="348" t="s">
        <v>97</v>
      </c>
      <c r="I71" s="349"/>
      <c r="J71" s="209">
        <f>Open!S45</f>
        <v>0</v>
      </c>
      <c r="K71" s="209">
        <f>Open!T45</f>
        <v>0</v>
      </c>
      <c r="L71" s="209">
        <f>Open!U45</f>
        <v>0</v>
      </c>
      <c r="M71" s="350" t="s">
        <v>98</v>
      </c>
      <c r="N71" s="351"/>
      <c r="O71" s="209">
        <f>Open!W46</f>
        <v>0</v>
      </c>
      <c r="P71" s="209">
        <f>Open!X46</f>
        <v>0</v>
      </c>
      <c r="Q71" s="209">
        <f>Open!Y46</f>
        <v>0</v>
      </c>
      <c r="R71" s="209">
        <f>Open!Z45</f>
        <v>0</v>
      </c>
      <c r="S71" s="209">
        <f>Open!W47</f>
        <v>0</v>
      </c>
      <c r="T71" s="209">
        <f>Open!X47</f>
        <v>0</v>
      </c>
      <c r="U71" s="209">
        <f>Open!Y47</f>
        <v>0</v>
      </c>
      <c r="V71" s="209">
        <f>Open!Z46</f>
        <v>0</v>
      </c>
      <c r="W71" s="209" t="e">
        <f>Open!#REF!</f>
        <v>#REF!</v>
      </c>
      <c r="X71" s="209" t="e">
        <f>Open!#REF!</f>
        <v>#REF!</v>
      </c>
      <c r="Y71" s="204"/>
      <c r="Z71" s="204"/>
      <c r="AA71" s="204"/>
      <c r="AB71" s="204"/>
      <c r="AC71" s="204"/>
      <c r="AD71" s="16"/>
      <c r="AE71"/>
      <c r="AF71"/>
    </row>
    <row r="72" spans="1:32" ht="6" customHeight="1" x14ac:dyDescent="0.2">
      <c r="A72"/>
      <c r="B72"/>
      <c r="C72" s="3"/>
      <c r="D72" s="3"/>
      <c r="E72" s="3"/>
      <c r="F72" s="3"/>
      <c r="G72" s="3"/>
      <c r="H72" s="3"/>
      <c r="I72" s="3"/>
      <c r="J72" s="3"/>
      <c r="K72" s="3"/>
      <c r="L72" s="3"/>
      <c r="M72" s="3"/>
      <c r="N72" s="3"/>
      <c r="O72" s="3"/>
      <c r="P72" s="3"/>
      <c r="Q72" s="3"/>
      <c r="R72" s="3"/>
      <c r="S72" s="3"/>
      <c r="T72" s="3"/>
      <c r="U72" s="3"/>
      <c r="V72" s="3"/>
      <c r="W72" s="3"/>
      <c r="X72" s="3"/>
      <c r="Y72" s="3"/>
      <c r="Z72" s="3"/>
      <c r="AA72" s="3"/>
      <c r="AB72" s="3"/>
      <c r="AC72" s="2"/>
      <c r="AD72" s="2"/>
      <c r="AE72" s="2"/>
    </row>
    <row r="73" spans="1:32" ht="6.75" hidden="1" customHeight="1" x14ac:dyDescent="0.2">
      <c r="A73"/>
      <c r="B73"/>
      <c r="C73"/>
      <c r="D73"/>
      <c r="E73"/>
      <c r="F73"/>
      <c r="G73"/>
      <c r="H73"/>
      <c r="I73"/>
      <c r="J73"/>
      <c r="K73"/>
      <c r="L73"/>
      <c r="M73"/>
      <c r="N73"/>
      <c r="O73"/>
      <c r="P73"/>
      <c r="Q73"/>
      <c r="R73"/>
      <c r="S73"/>
      <c r="T73"/>
      <c r="U73" s="5"/>
      <c r="V73"/>
      <c r="W73"/>
      <c r="X73"/>
      <c r="Y73"/>
      <c r="Z73"/>
      <c r="AA73"/>
      <c r="AB73"/>
      <c r="AC73" s="2"/>
      <c r="AD73" s="2"/>
      <c r="AE73" s="2"/>
    </row>
    <row r="74" spans="1:32" ht="20.25" customHeight="1" x14ac:dyDescent="0.3">
      <c r="A74" s="343" t="s">
        <v>99</v>
      </c>
      <c r="B74" s="344"/>
      <c r="C74" s="210">
        <f>Open!S49</f>
        <v>0</v>
      </c>
      <c r="D74" s="210">
        <f>Open!T49</f>
        <v>0</v>
      </c>
      <c r="E74" s="210">
        <f>Open!U49</f>
        <v>0</v>
      </c>
      <c r="F74" s="210">
        <f>Open!S50</f>
        <v>0</v>
      </c>
      <c r="G74" s="210">
        <f>Open!T50</f>
        <v>0</v>
      </c>
      <c r="H74" s="208"/>
      <c r="I74" s="345" t="s">
        <v>62</v>
      </c>
      <c r="J74" s="345"/>
      <c r="K74" s="345"/>
      <c r="L74" s="345"/>
      <c r="M74" s="345"/>
      <c r="N74" s="345"/>
      <c r="O74" s="345"/>
      <c r="P74" s="345"/>
      <c r="Q74" s="345"/>
      <c r="R74" s="345"/>
      <c r="S74" s="345"/>
      <c r="T74" s="345"/>
      <c r="U74" s="345"/>
      <c r="V74" s="49" t="s">
        <v>26</v>
      </c>
      <c r="W74" s="354">
        <f>Open!$L$1</f>
        <v>0</v>
      </c>
      <c r="X74" s="354"/>
      <c r="Y74" s="354"/>
      <c r="Z74" s="354"/>
      <c r="AA74" s="354"/>
      <c r="AB74" s="354"/>
      <c r="AC74" s="354"/>
      <c r="AD74" s="2"/>
      <c r="AE74" s="2"/>
    </row>
    <row r="78" spans="1:32" ht="8.4499999999999993" customHeight="1" x14ac:dyDescent="0.15">
      <c r="T78" s="1" t="s">
        <v>1</v>
      </c>
    </row>
    <row r="84" spans="24:25" ht="8.4499999999999993" customHeight="1" x14ac:dyDescent="0.2">
      <c r="X84"/>
      <c r="Y84"/>
    </row>
    <row r="85" spans="24:25" ht="8.4499999999999993" customHeight="1" x14ac:dyDescent="0.2">
      <c r="X85"/>
      <c r="Y85"/>
    </row>
  </sheetData>
  <sheetProtection selectLockedCells="1"/>
  <mergeCells count="373">
    <mergeCell ref="Q39:Q44"/>
    <mergeCell ref="R33:R38"/>
    <mergeCell ref="R39:R44"/>
    <mergeCell ref="S33:S38"/>
    <mergeCell ref="S39:S44"/>
    <mergeCell ref="K21:K28"/>
    <mergeCell ref="G11:G12"/>
    <mergeCell ref="G13:G20"/>
    <mergeCell ref="G21:G28"/>
    <mergeCell ref="H11:H12"/>
    <mergeCell ref="H13:H20"/>
    <mergeCell ref="H21:H28"/>
    <mergeCell ref="O21:O28"/>
    <mergeCell ref="P11:P12"/>
    <mergeCell ref="P13:P20"/>
    <mergeCell ref="P21:P28"/>
    <mergeCell ref="L11:L12"/>
    <mergeCell ref="L13:L20"/>
    <mergeCell ref="L21:L28"/>
    <mergeCell ref="M11:M12"/>
    <mergeCell ref="AB60:AB65"/>
    <mergeCell ref="F3:F10"/>
    <mergeCell ref="G3:G10"/>
    <mergeCell ref="H3:H10"/>
    <mergeCell ref="I3:I10"/>
    <mergeCell ref="J3:J10"/>
    <mergeCell ref="K3:K10"/>
    <mergeCell ref="L3:L10"/>
    <mergeCell ref="M3:M10"/>
    <mergeCell ref="N3:N10"/>
    <mergeCell ref="O3:O10"/>
    <mergeCell ref="P3:P10"/>
    <mergeCell ref="V48:V53"/>
    <mergeCell ref="V54:V59"/>
    <mergeCell ref="V60:V65"/>
    <mergeCell ref="W48:W53"/>
    <mergeCell ref="W54:W59"/>
    <mergeCell ref="W60:W65"/>
    <mergeCell ref="X48:X53"/>
    <mergeCell ref="X60:X65"/>
    <mergeCell ref="Y48:Y53"/>
    <mergeCell ref="I11:I12"/>
    <mergeCell ref="F13:F20"/>
    <mergeCell ref="F11:F12"/>
    <mergeCell ref="Y60:Y65"/>
    <mergeCell ref="R60:R65"/>
    <mergeCell ref="S48:S53"/>
    <mergeCell ref="S54:S59"/>
    <mergeCell ref="S60:S65"/>
    <mergeCell ref="T48:T53"/>
    <mergeCell ref="T54:T59"/>
    <mergeCell ref="T60:T65"/>
    <mergeCell ref="U48:U53"/>
    <mergeCell ref="U54:U59"/>
    <mergeCell ref="U60:U65"/>
    <mergeCell ref="R54:R59"/>
    <mergeCell ref="X54:X59"/>
    <mergeCell ref="Y54:Y59"/>
    <mergeCell ref="L60:L65"/>
    <mergeCell ref="I54:I59"/>
    <mergeCell ref="M48:M53"/>
    <mergeCell ref="M54:M59"/>
    <mergeCell ref="M60:M65"/>
    <mergeCell ref="N48:N53"/>
    <mergeCell ref="N54:N59"/>
    <mergeCell ref="N60:N65"/>
    <mergeCell ref="P54:P59"/>
    <mergeCell ref="P60:P65"/>
    <mergeCell ref="H60:H65"/>
    <mergeCell ref="I48:I53"/>
    <mergeCell ref="I60:I65"/>
    <mergeCell ref="J48:J53"/>
    <mergeCell ref="J54:J59"/>
    <mergeCell ref="J60:J65"/>
    <mergeCell ref="K48:K53"/>
    <mergeCell ref="K54:K59"/>
    <mergeCell ref="K60:K65"/>
    <mergeCell ref="K33:K38"/>
    <mergeCell ref="L33:L38"/>
    <mergeCell ref="M33:M38"/>
    <mergeCell ref="T33:T38"/>
    <mergeCell ref="U33:U38"/>
    <mergeCell ref="V33:V38"/>
    <mergeCell ref="W33:W38"/>
    <mergeCell ref="B48:B53"/>
    <mergeCell ref="B54:B59"/>
    <mergeCell ref="C48:C53"/>
    <mergeCell ref="C54:C59"/>
    <mergeCell ref="D48:D53"/>
    <mergeCell ref="D54:D59"/>
    <mergeCell ref="E48:E53"/>
    <mergeCell ref="E54:E59"/>
    <mergeCell ref="F48:F53"/>
    <mergeCell ref="F54:F59"/>
    <mergeCell ref="G48:G53"/>
    <mergeCell ref="G54:G59"/>
    <mergeCell ref="H48:H53"/>
    <mergeCell ref="H54:H59"/>
    <mergeCell ref="L54:L59"/>
    <mergeCell ref="Q54:Q59"/>
    <mergeCell ref="J45:K47"/>
    <mergeCell ref="B33:B38"/>
    <mergeCell ref="C33:C38"/>
    <mergeCell ref="D33:D38"/>
    <mergeCell ref="E33:E38"/>
    <mergeCell ref="F33:F38"/>
    <mergeCell ref="G33:G38"/>
    <mergeCell ref="H33:H38"/>
    <mergeCell ref="I33:I38"/>
    <mergeCell ref="J33:J38"/>
    <mergeCell ref="S3:S7"/>
    <mergeCell ref="S8:S12"/>
    <mergeCell ref="S13:S17"/>
    <mergeCell ref="S18:S22"/>
    <mergeCell ref="S23:S28"/>
    <mergeCell ref="AB14:AB18"/>
    <mergeCell ref="AB19:AB23"/>
    <mergeCell ref="AB24:AB28"/>
    <mergeCell ref="AC4:AC8"/>
    <mergeCell ref="AC9:AC13"/>
    <mergeCell ref="AC14:AC18"/>
    <mergeCell ref="AC19:AC23"/>
    <mergeCell ref="AC24:AC28"/>
    <mergeCell ref="Z14:Z18"/>
    <mergeCell ref="Z4:Z8"/>
    <mergeCell ref="Z9:Z13"/>
    <mergeCell ref="Y24:Y28"/>
    <mergeCell ref="J11:J12"/>
    <mergeCell ref="J13:J20"/>
    <mergeCell ref="J21:J28"/>
    <mergeCell ref="K11:K12"/>
    <mergeCell ref="Q18:Q22"/>
    <mergeCell ref="Q23:Q28"/>
    <mergeCell ref="R3:R7"/>
    <mergeCell ref="R8:R12"/>
    <mergeCell ref="R13:R17"/>
    <mergeCell ref="R18:R22"/>
    <mergeCell ref="R23:R28"/>
    <mergeCell ref="B18:B22"/>
    <mergeCell ref="C18:C22"/>
    <mergeCell ref="D18:D22"/>
    <mergeCell ref="E18:E22"/>
    <mergeCell ref="B23:B28"/>
    <mergeCell ref="C23:C28"/>
    <mergeCell ref="D23:D28"/>
    <mergeCell ref="E23:E28"/>
    <mergeCell ref="I13:I20"/>
    <mergeCell ref="I21:I28"/>
    <mergeCell ref="F21:F28"/>
    <mergeCell ref="Y4:Y8"/>
    <mergeCell ref="Y9:Y13"/>
    <mergeCell ref="AA4:AA8"/>
    <mergeCell ref="AA9:AA13"/>
    <mergeCell ref="C8:C12"/>
    <mergeCell ref="D8:D12"/>
    <mergeCell ref="E8:E12"/>
    <mergeCell ref="N11:N12"/>
    <mergeCell ref="O11:O12"/>
    <mergeCell ref="Q3:Q7"/>
    <mergeCell ref="Q8:Q12"/>
    <mergeCell ref="Q13:Q17"/>
    <mergeCell ref="T3:T7"/>
    <mergeCell ref="T8:T12"/>
    <mergeCell ref="T13:T17"/>
    <mergeCell ref="U3:U7"/>
    <mergeCell ref="U8:U12"/>
    <mergeCell ref="U13:U17"/>
    <mergeCell ref="W4:W8"/>
    <mergeCell ref="W9:W13"/>
    <mergeCell ref="W14:W18"/>
    <mergeCell ref="K13:K20"/>
    <mergeCell ref="O13:O20"/>
    <mergeCell ref="AA19:AA23"/>
    <mergeCell ref="AB4:AB8"/>
    <mergeCell ref="AB9:AB13"/>
    <mergeCell ref="D39:D44"/>
    <mergeCell ref="E39:E44"/>
    <mergeCell ref="F39:F44"/>
    <mergeCell ref="G39:G44"/>
    <mergeCell ref="H39:H44"/>
    <mergeCell ref="I39:I44"/>
    <mergeCell ref="J39:J44"/>
    <mergeCell ref="K39:K44"/>
    <mergeCell ref="L39:L44"/>
    <mergeCell ref="K30:K31"/>
    <mergeCell ref="L30:L31"/>
    <mergeCell ref="P30:P31"/>
    <mergeCell ref="M30:M31"/>
    <mergeCell ref="X14:X18"/>
    <mergeCell ref="X19:X23"/>
    <mergeCell ref="X24:X28"/>
    <mergeCell ref="Y14:Y18"/>
    <mergeCell ref="Y19:Y23"/>
    <mergeCell ref="Z19:Z23"/>
    <mergeCell ref="Z24:Z28"/>
    <mergeCell ref="T39:T44"/>
    <mergeCell ref="AA14:AA18"/>
    <mergeCell ref="Y39:Y44"/>
    <mergeCell ref="AC56:AC57"/>
    <mergeCell ref="AB33:AB38"/>
    <mergeCell ref="AB39:AB44"/>
    <mergeCell ref="L45:N47"/>
    <mergeCell ref="T30:T31"/>
    <mergeCell ref="S30:S31"/>
    <mergeCell ref="O45:O47"/>
    <mergeCell ref="N30:N31"/>
    <mergeCell ref="U30:U31"/>
    <mergeCell ref="O30:O31"/>
    <mergeCell ref="V30:V31"/>
    <mergeCell ref="Q48:Q53"/>
    <mergeCell ref="U39:U44"/>
    <mergeCell ref="L48:L53"/>
    <mergeCell ref="P48:P53"/>
    <mergeCell ref="R48:R53"/>
    <mergeCell ref="AB48:AB53"/>
    <mergeCell ref="AB54:AB59"/>
    <mergeCell ref="M39:M44"/>
    <mergeCell ref="N33:N38"/>
    <mergeCell ref="N39:N44"/>
    <mergeCell ref="P33:P38"/>
    <mergeCell ref="Q33:Q38"/>
    <mergeCell ref="Z39:Z44"/>
    <mergeCell ref="AA33:AA38"/>
    <mergeCell ref="AA39:AA44"/>
    <mergeCell ref="Z48:Z53"/>
    <mergeCell ref="Z54:Z59"/>
    <mergeCell ref="AA48:AA53"/>
    <mergeCell ref="AA54:AA59"/>
    <mergeCell ref="AC58:AC59"/>
    <mergeCell ref="S67:S68"/>
    <mergeCell ref="AC60:AC61"/>
    <mergeCell ref="AC62:AC63"/>
    <mergeCell ref="AC64:AC65"/>
    <mergeCell ref="AC40:AC41"/>
    <mergeCell ref="AC36:AC37"/>
    <mergeCell ref="AC38:AC39"/>
    <mergeCell ref="AC42:AC43"/>
    <mergeCell ref="AC44:AC45"/>
    <mergeCell ref="AC46:AC47"/>
    <mergeCell ref="AC48:AC49"/>
    <mergeCell ref="AC50:AC51"/>
    <mergeCell ref="AC52:AC53"/>
    <mergeCell ref="AC54:AC55"/>
    <mergeCell ref="V39:V44"/>
    <mergeCell ref="W39:W44"/>
    <mergeCell ref="W2:AC2"/>
    <mergeCell ref="AC33:AC35"/>
    <mergeCell ref="AA30:AA31"/>
    <mergeCell ref="Z30:Z31"/>
    <mergeCell ref="AB30:AB31"/>
    <mergeCell ref="Y30:Y31"/>
    <mergeCell ref="W30:W31"/>
    <mergeCell ref="X30:X31"/>
    <mergeCell ref="D30:D31"/>
    <mergeCell ref="I30:I31"/>
    <mergeCell ref="R30:R31"/>
    <mergeCell ref="Q30:Q31"/>
    <mergeCell ref="T18:T22"/>
    <mergeCell ref="T23:T28"/>
    <mergeCell ref="U18:U22"/>
    <mergeCell ref="U23:U28"/>
    <mergeCell ref="W19:W23"/>
    <mergeCell ref="W24:W28"/>
    <mergeCell ref="E30:E31"/>
    <mergeCell ref="J30:J31"/>
    <mergeCell ref="AA24:AA28"/>
    <mergeCell ref="Z33:Z38"/>
    <mergeCell ref="X33:X38"/>
    <mergeCell ref="Y33:Y38"/>
    <mergeCell ref="B13:B17"/>
    <mergeCell ref="C13:C17"/>
    <mergeCell ref="D13:D17"/>
    <mergeCell ref="F30:F31"/>
    <mergeCell ref="G30:G31"/>
    <mergeCell ref="H30:H31"/>
    <mergeCell ref="X4:X8"/>
    <mergeCell ref="X9:X13"/>
    <mergeCell ref="B39:B44"/>
    <mergeCell ref="C39:C44"/>
    <mergeCell ref="P39:P44"/>
    <mergeCell ref="B30:B31"/>
    <mergeCell ref="C30:C31"/>
    <mergeCell ref="X39:X44"/>
    <mergeCell ref="B3:B7"/>
    <mergeCell ref="B8:B12"/>
    <mergeCell ref="C3:C7"/>
    <mergeCell ref="D3:D7"/>
    <mergeCell ref="E3:E7"/>
    <mergeCell ref="M13:M20"/>
    <mergeCell ref="M21:M28"/>
    <mergeCell ref="N13:N20"/>
    <mergeCell ref="N21:N28"/>
    <mergeCell ref="E13:E17"/>
    <mergeCell ref="AE1:AF1"/>
    <mergeCell ref="AE2:AE3"/>
    <mergeCell ref="AF2:AF3"/>
    <mergeCell ref="AE4:AE5"/>
    <mergeCell ref="AF4:AF5"/>
    <mergeCell ref="AE6:AE7"/>
    <mergeCell ref="AF6:AF7"/>
    <mergeCell ref="AE8:AE9"/>
    <mergeCell ref="AF8:AF9"/>
    <mergeCell ref="AE10:AE11"/>
    <mergeCell ref="AF10:AF11"/>
    <mergeCell ref="AE12:AE13"/>
    <mergeCell ref="AF12:AF13"/>
    <mergeCell ref="AE14:AE15"/>
    <mergeCell ref="AF14:AF15"/>
    <mergeCell ref="AE16:AE17"/>
    <mergeCell ref="AF16:AF17"/>
    <mergeCell ref="AE18:AE19"/>
    <mergeCell ref="AF18:AF19"/>
    <mergeCell ref="AE31:AE32"/>
    <mergeCell ref="AF31:AF32"/>
    <mergeCell ref="AE33:AE34"/>
    <mergeCell ref="AF33:AF34"/>
    <mergeCell ref="AE35:AE36"/>
    <mergeCell ref="AF35:AF36"/>
    <mergeCell ref="AE38:AF39"/>
    <mergeCell ref="AE20:AE21"/>
    <mergeCell ref="AF20:AF21"/>
    <mergeCell ref="AE22:AE23"/>
    <mergeCell ref="AF22:AF23"/>
    <mergeCell ref="AE24:AE25"/>
    <mergeCell ref="AF24:AF25"/>
    <mergeCell ref="AE26:AE27"/>
    <mergeCell ref="AF26:AF27"/>
    <mergeCell ref="AE28:AE30"/>
    <mergeCell ref="AF28:AF30"/>
    <mergeCell ref="AE40:AE41"/>
    <mergeCell ref="AF40:AF41"/>
    <mergeCell ref="AE42:AE43"/>
    <mergeCell ref="AF42:AF43"/>
    <mergeCell ref="AE44:AE45"/>
    <mergeCell ref="AF44:AF45"/>
    <mergeCell ref="AE46:AE47"/>
    <mergeCell ref="AF46:AF47"/>
    <mergeCell ref="AE48:AE49"/>
    <mergeCell ref="AF48:AF49"/>
    <mergeCell ref="AE50:AE51"/>
    <mergeCell ref="AF50:AF51"/>
    <mergeCell ref="AE52:AE53"/>
    <mergeCell ref="AF52:AF53"/>
    <mergeCell ref="AE54:AE55"/>
    <mergeCell ref="AF54:AF55"/>
    <mergeCell ref="AE56:AE57"/>
    <mergeCell ref="AF56:AF57"/>
    <mergeCell ref="AE58:AE59"/>
    <mergeCell ref="AF58:AF59"/>
    <mergeCell ref="A74:B74"/>
    <mergeCell ref="I74:U74"/>
    <mergeCell ref="AE60:AE61"/>
    <mergeCell ref="AF60:AF61"/>
    <mergeCell ref="AE62:AE63"/>
    <mergeCell ref="AF62:AF63"/>
    <mergeCell ref="AE64:AE65"/>
    <mergeCell ref="AF64:AF65"/>
    <mergeCell ref="AE66:AE67"/>
    <mergeCell ref="AF66:AF67"/>
    <mergeCell ref="H71:I71"/>
    <mergeCell ref="M71:N71"/>
    <mergeCell ref="O67:O68"/>
    <mergeCell ref="W67:W68"/>
    <mergeCell ref="W74:AC74"/>
    <mergeCell ref="Q60:Q65"/>
    <mergeCell ref="Z60:Z65"/>
    <mergeCell ref="AA60:AA65"/>
    <mergeCell ref="B60:B65"/>
    <mergeCell ref="C60:C65"/>
    <mergeCell ref="D60:D65"/>
    <mergeCell ref="E60:E65"/>
    <mergeCell ref="F60:F65"/>
    <mergeCell ref="G60:G65"/>
  </mergeCells>
  <phoneticPr fontId="0" type="noConversion"/>
  <conditionalFormatting sqref="D3:D28">
    <cfRule type="expression" dxfId="199" priority="255">
      <formula>MATCH($D$3:$D$28,List,0)</formula>
    </cfRule>
  </conditionalFormatting>
  <conditionalFormatting sqref="E3:E28">
    <cfRule type="expression" dxfId="198" priority="254">
      <formula>MATCH($E$3:$E$28,List,0)</formula>
    </cfRule>
  </conditionalFormatting>
  <conditionalFormatting sqref="B3 B8:B12 B13:P28 D3:E12 B33:E44 B54:C65 B48:D53 E48:E65 F3:P10 Q3:U28 W9:W28 X4:X28">
    <cfRule type="expression" dxfId="197" priority="251">
      <formula>MATCH(B3,List,0)</formula>
    </cfRule>
  </conditionalFormatting>
  <conditionalFormatting sqref="C3:C7">
    <cfRule type="expression" dxfId="196" priority="243">
      <formula>MATCH(C3,List,0)</formula>
    </cfRule>
    <cfRule type="expression" dxfId="195" priority="250">
      <formula>MATCH($C$3,List,0)</formula>
    </cfRule>
  </conditionalFormatting>
  <conditionalFormatting sqref="C8:C12">
    <cfRule type="expression" dxfId="194" priority="242">
      <formula>MATCH(C8,List,0)</formula>
    </cfRule>
    <cfRule type="expression" dxfId="193" priority="248">
      <formula>MATCH($C$3:$C$28,List,0)</formula>
    </cfRule>
  </conditionalFormatting>
  <conditionalFormatting sqref="D54:D59">
    <cfRule type="expression" dxfId="192" priority="213">
      <formula>MATCH(C54,List,0)</formula>
    </cfRule>
  </conditionalFormatting>
  <conditionalFormatting sqref="D60:D65">
    <cfRule type="expression" dxfId="191" priority="212">
      <formula>MATCH(C60,List,0)</formula>
    </cfRule>
  </conditionalFormatting>
  <conditionalFormatting sqref="W4:W8">
    <cfRule type="expression" dxfId="190" priority="150">
      <formula>MATCH(W3,List,0)</formula>
    </cfRule>
  </conditionalFormatting>
  <conditionalFormatting sqref="Y4:Y8">
    <cfRule type="expression" dxfId="189" priority="140">
      <formula>MATCH($Y$4,List,0)</formula>
    </cfRule>
  </conditionalFormatting>
  <conditionalFormatting sqref="Y9:Y13">
    <cfRule type="expression" dxfId="188" priority="139">
      <formula>MATCH($Y$9,List,0)</formula>
    </cfRule>
  </conditionalFormatting>
  <conditionalFormatting sqref="Y14:Y18">
    <cfRule type="expression" dxfId="187" priority="138">
      <formula>MATCH($Y$14,List,0)</formula>
    </cfRule>
  </conditionalFormatting>
  <conditionalFormatting sqref="Y19:Y23">
    <cfRule type="expression" dxfId="186" priority="137">
      <formula>MATCH($Y$19,List,0)</formula>
    </cfRule>
  </conditionalFormatting>
  <conditionalFormatting sqref="Y24:Y28">
    <cfRule type="expression" dxfId="185" priority="136">
      <formula>MATCH($Y$24,List,0)</formula>
    </cfRule>
  </conditionalFormatting>
  <conditionalFormatting sqref="Z4:Z8">
    <cfRule type="expression" dxfId="184" priority="135">
      <formula>MATCH($Z$4,List,0)</formula>
    </cfRule>
  </conditionalFormatting>
  <conditionalFormatting sqref="Z9:Z13">
    <cfRule type="expression" dxfId="183" priority="134">
      <formula>MATCH($Z$9,List,0)</formula>
    </cfRule>
  </conditionalFormatting>
  <conditionalFormatting sqref="Z14:Z18">
    <cfRule type="expression" dxfId="182" priority="133">
      <formula>MATCH($Z$14,List,0)</formula>
    </cfRule>
  </conditionalFormatting>
  <conditionalFormatting sqref="Z19:Z23">
    <cfRule type="expression" dxfId="181" priority="132">
      <formula>MATCH($Z$19,List,0)</formula>
    </cfRule>
  </conditionalFormatting>
  <conditionalFormatting sqref="Z24:Z28">
    <cfRule type="expression" dxfId="180" priority="131">
      <formula>MATCH($Z$24,List,0)</formula>
    </cfRule>
  </conditionalFormatting>
  <conditionalFormatting sqref="AA4:AA8">
    <cfRule type="expression" dxfId="179" priority="130">
      <formula>MATCH($AA$4,List,0)</formula>
    </cfRule>
  </conditionalFormatting>
  <conditionalFormatting sqref="AA9:AA18">
    <cfRule type="expression" dxfId="178" priority="129">
      <formula>MATCH($AA$14,List,0)</formula>
    </cfRule>
  </conditionalFormatting>
  <conditionalFormatting sqref="AA19:AA23">
    <cfRule type="expression" dxfId="177" priority="127">
      <formula>MATCH($AA$19,List,0)</formula>
    </cfRule>
  </conditionalFormatting>
  <conditionalFormatting sqref="AA24:AA28">
    <cfRule type="expression" dxfId="176" priority="126">
      <formula>MATCH($AA$24,List,0)</formula>
    </cfRule>
  </conditionalFormatting>
  <conditionalFormatting sqref="AB4:AB8">
    <cfRule type="expression" dxfId="175" priority="125">
      <formula>MATCH($AB$4,List,0)</formula>
    </cfRule>
  </conditionalFormatting>
  <conditionalFormatting sqref="AB9:AB13">
    <cfRule type="expression" dxfId="174" priority="124">
      <formula>MATCH($AB$9,List,0)</formula>
    </cfRule>
  </conditionalFormatting>
  <conditionalFormatting sqref="AB14:AB18">
    <cfRule type="expression" dxfId="173" priority="123">
      <formula>MATCH($AB$14,List,0)</formula>
    </cfRule>
  </conditionalFormatting>
  <conditionalFormatting sqref="AB19:AB23">
    <cfRule type="expression" dxfId="172" priority="122">
      <formula>MATCH($AB$19,List,0)</formula>
    </cfRule>
  </conditionalFormatting>
  <conditionalFormatting sqref="AB24:AB28">
    <cfRule type="expression" dxfId="171" priority="121">
      <formula>MATCH($AB$24,List,0)</formula>
    </cfRule>
  </conditionalFormatting>
  <conditionalFormatting sqref="AC4:AC8">
    <cfRule type="expression" dxfId="170" priority="120">
      <formula>MATCH($AC$4,List,0)</formula>
    </cfRule>
  </conditionalFormatting>
  <conditionalFormatting sqref="AC9:AC13">
    <cfRule type="expression" dxfId="169" priority="119">
      <formula>MATCH($AC$9,List,0)</formula>
    </cfRule>
  </conditionalFormatting>
  <conditionalFormatting sqref="AC14:AC18">
    <cfRule type="expression" dxfId="168" priority="118">
      <formula>MATCH($AC$14,List,0)</formula>
    </cfRule>
  </conditionalFormatting>
  <conditionalFormatting sqref="AC19:AC23">
    <cfRule type="expression" dxfId="167" priority="117">
      <formula>MATCH($AC$19,List,0)</formula>
    </cfRule>
  </conditionalFormatting>
  <conditionalFormatting sqref="AC24:AC28">
    <cfRule type="expression" dxfId="166" priority="116">
      <formula>MATCH($AC$24,List,0)</formula>
    </cfRule>
  </conditionalFormatting>
  <conditionalFormatting sqref="F33:F38">
    <cfRule type="expression" dxfId="165" priority="115">
      <formula>MATCH($F$33,List,0)</formula>
    </cfRule>
  </conditionalFormatting>
  <conditionalFormatting sqref="F39:F44">
    <cfRule type="expression" dxfId="164" priority="114">
      <formula>MATCH($F$39,List,0)</formula>
    </cfRule>
  </conditionalFormatting>
  <conditionalFormatting sqref="F48:F53">
    <cfRule type="expression" dxfId="163" priority="113">
      <formula>MATCH($F$48,List,0)</formula>
    </cfRule>
  </conditionalFormatting>
  <conditionalFormatting sqref="F54:F59">
    <cfRule type="expression" dxfId="162" priority="112">
      <formula>MATCH($F$54,List,0)</formula>
    </cfRule>
  </conditionalFormatting>
  <conditionalFormatting sqref="F60:F65">
    <cfRule type="expression" dxfId="161" priority="111">
      <formula>MATCH($F$60,List,0)</formula>
    </cfRule>
  </conditionalFormatting>
  <conditionalFormatting sqref="G33:G38">
    <cfRule type="expression" dxfId="160" priority="110">
      <formula>MATCH($G$33,List,0)</formula>
    </cfRule>
  </conditionalFormatting>
  <conditionalFormatting sqref="G39:G44">
    <cfRule type="expression" dxfId="159" priority="109">
      <formula>MATCH($G$39,List,0)</formula>
    </cfRule>
  </conditionalFormatting>
  <conditionalFormatting sqref="G48:G53">
    <cfRule type="expression" dxfId="158" priority="108">
      <formula>MATCH($G$48,List,0)</formula>
    </cfRule>
  </conditionalFormatting>
  <conditionalFormatting sqref="G54:G59">
    <cfRule type="expression" dxfId="157" priority="107">
      <formula>MATCH($G$54,List,0)</formula>
    </cfRule>
  </conditionalFormatting>
  <conditionalFormatting sqref="G60:G65">
    <cfRule type="expression" dxfId="156" priority="106">
      <formula>MATCH($G$60,List,0)</formula>
    </cfRule>
  </conditionalFormatting>
  <conditionalFormatting sqref="H33:H38">
    <cfRule type="expression" dxfId="155" priority="105">
      <formula>MATCH($H$33,List,0)</formula>
    </cfRule>
  </conditionalFormatting>
  <conditionalFormatting sqref="H39:H44">
    <cfRule type="expression" dxfId="154" priority="104">
      <formula>MATCH($H$39,List,0)</formula>
    </cfRule>
  </conditionalFormatting>
  <conditionalFormatting sqref="H48:H53">
    <cfRule type="expression" dxfId="153" priority="103">
      <formula>MATCH($H$48,List,0)</formula>
    </cfRule>
  </conditionalFormatting>
  <conditionalFormatting sqref="H54:H59">
    <cfRule type="expression" dxfId="152" priority="102">
      <formula>MATCH($H$54,List,0)</formula>
    </cfRule>
  </conditionalFormatting>
  <conditionalFormatting sqref="H60:H65">
    <cfRule type="expression" dxfId="151" priority="101">
      <formula>MATCH($H$60,List,0)</formula>
    </cfRule>
  </conditionalFormatting>
  <conditionalFormatting sqref="I33:I38">
    <cfRule type="expression" dxfId="150" priority="100">
      <formula>MATCH($I$33,List,0)</formula>
    </cfRule>
  </conditionalFormatting>
  <conditionalFormatting sqref="I39:I44">
    <cfRule type="expression" dxfId="149" priority="99">
      <formula>MATCH($I$39,List,0)</formula>
    </cfRule>
  </conditionalFormatting>
  <conditionalFormatting sqref="I48:I53">
    <cfRule type="expression" dxfId="148" priority="98">
      <formula>MATCH($I$48,List,0)</formula>
    </cfRule>
  </conditionalFormatting>
  <conditionalFormatting sqref="I54:I59">
    <cfRule type="expression" dxfId="147" priority="97">
      <formula>MATCH($I$54,List,0)</formula>
    </cfRule>
  </conditionalFormatting>
  <conditionalFormatting sqref="I60:I65">
    <cfRule type="expression" dxfId="146" priority="96">
      <formula>MATCH($I$60,List,0)</formula>
    </cfRule>
  </conditionalFormatting>
  <conditionalFormatting sqref="J33:J38">
    <cfRule type="expression" dxfId="145" priority="95">
      <formula>MATCH($J$33,List,0)</formula>
    </cfRule>
  </conditionalFormatting>
  <conditionalFormatting sqref="J39:J44">
    <cfRule type="expression" dxfId="144" priority="94">
      <formula>MATCH($J$39,List,0)</formula>
    </cfRule>
  </conditionalFormatting>
  <conditionalFormatting sqref="J48:J53">
    <cfRule type="expression" dxfId="143" priority="93">
      <formula>MATCH($J$48,List,0)</formula>
    </cfRule>
  </conditionalFormatting>
  <conditionalFormatting sqref="J54:J59">
    <cfRule type="expression" dxfId="142" priority="92">
      <formula>MATCH($J$54,List,0)</formula>
    </cfRule>
  </conditionalFormatting>
  <conditionalFormatting sqref="J60:J65">
    <cfRule type="expression" dxfId="141" priority="91">
      <formula>MATCH($J$60,List,0)</formula>
    </cfRule>
  </conditionalFormatting>
  <conditionalFormatting sqref="K33:K38">
    <cfRule type="expression" dxfId="140" priority="90">
      <formula>MATCH($K$33,List,0)</formula>
    </cfRule>
  </conditionalFormatting>
  <conditionalFormatting sqref="K39:K44">
    <cfRule type="expression" dxfId="139" priority="89">
      <formula>MATCH($K$39,List,0)</formula>
    </cfRule>
  </conditionalFormatting>
  <conditionalFormatting sqref="K48:K53">
    <cfRule type="expression" dxfId="138" priority="88">
      <formula>MATCH($K$48,List,0)</formula>
    </cfRule>
  </conditionalFormatting>
  <conditionalFormatting sqref="K54:K59">
    <cfRule type="expression" dxfId="137" priority="87">
      <formula>MATCH($K$54,List,0)</formula>
    </cfRule>
  </conditionalFormatting>
  <conditionalFormatting sqref="K60:K65">
    <cfRule type="expression" dxfId="136" priority="86">
      <formula>MATCH($K$60,List,0)</formula>
    </cfRule>
  </conditionalFormatting>
  <conditionalFormatting sqref="L33:L38">
    <cfRule type="expression" dxfId="135" priority="85">
      <formula>MATCH($L$33,List,0)</formula>
    </cfRule>
  </conditionalFormatting>
  <conditionalFormatting sqref="L39:L44">
    <cfRule type="expression" dxfId="134" priority="84">
      <formula>MATCH($L$39,List,0)</formula>
    </cfRule>
  </conditionalFormatting>
  <conditionalFormatting sqref="L48:L53">
    <cfRule type="expression" dxfId="133" priority="83">
      <formula>MATCH($L$48,List,0)</formula>
    </cfRule>
  </conditionalFormatting>
  <conditionalFormatting sqref="L54:L59">
    <cfRule type="expression" dxfId="132" priority="82">
      <formula>MATCH($L$54,List,0)</formula>
    </cfRule>
  </conditionalFormatting>
  <conditionalFormatting sqref="L60:L65">
    <cfRule type="expression" dxfId="131" priority="81">
      <formula>MATCH($L$60,List,0)</formula>
    </cfRule>
  </conditionalFormatting>
  <conditionalFormatting sqref="M33:M38">
    <cfRule type="expression" dxfId="130" priority="80">
      <formula>MATCH($M$33,List,0)</formula>
    </cfRule>
  </conditionalFormatting>
  <conditionalFormatting sqref="M39:M44">
    <cfRule type="expression" dxfId="129" priority="79">
      <formula>MATCH($M$39,List,0)</formula>
    </cfRule>
  </conditionalFormatting>
  <conditionalFormatting sqref="M48:M53">
    <cfRule type="expression" dxfId="128" priority="78">
      <formula>MATCH($M$48,List,0)</formula>
    </cfRule>
  </conditionalFormatting>
  <conditionalFormatting sqref="M54:M59">
    <cfRule type="expression" dxfId="127" priority="77">
      <formula>MATCH($M$54,List,0)</formula>
    </cfRule>
  </conditionalFormatting>
  <conditionalFormatting sqref="M60:M65">
    <cfRule type="expression" dxfId="126" priority="76">
      <formula>MATCH($M$60,List,0)</formula>
    </cfRule>
  </conditionalFormatting>
  <conditionalFormatting sqref="N33:N38">
    <cfRule type="expression" dxfId="125" priority="75">
      <formula>MATCH($N$33,List,0)</formula>
    </cfRule>
  </conditionalFormatting>
  <conditionalFormatting sqref="N39:N44">
    <cfRule type="expression" dxfId="124" priority="74">
      <formula>MATCH($N$39,List,0)</formula>
    </cfRule>
  </conditionalFormatting>
  <conditionalFormatting sqref="N48:N53">
    <cfRule type="expression" dxfId="123" priority="73">
      <formula>MATCH($N$48,List,0)</formula>
    </cfRule>
  </conditionalFormatting>
  <conditionalFormatting sqref="N54:N59">
    <cfRule type="expression" dxfId="122" priority="72">
      <formula>MATCH($N$54,List,0)</formula>
    </cfRule>
  </conditionalFormatting>
  <conditionalFormatting sqref="N60:N65">
    <cfRule type="expression" dxfId="121" priority="71">
      <formula>MATCH($N$60,List,0)</formula>
    </cfRule>
  </conditionalFormatting>
  <conditionalFormatting sqref="P33:P38">
    <cfRule type="expression" dxfId="120" priority="70">
      <formula>MATCH($P$33,List,0)</formula>
    </cfRule>
  </conditionalFormatting>
  <conditionalFormatting sqref="P39:P44">
    <cfRule type="expression" dxfId="119" priority="69">
      <formula>MATCH($P$39,List,0)</formula>
    </cfRule>
  </conditionalFormatting>
  <conditionalFormatting sqref="P48:P53">
    <cfRule type="expression" dxfId="118" priority="68">
      <formula>MATCH($P$48,List,0)</formula>
    </cfRule>
  </conditionalFormatting>
  <conditionalFormatting sqref="P54:P59">
    <cfRule type="expression" dxfId="117" priority="67">
      <formula>MATCH($P$54,List,0)</formula>
    </cfRule>
  </conditionalFormatting>
  <conditionalFormatting sqref="P60:P65">
    <cfRule type="expression" dxfId="116" priority="66">
      <formula>MATCH($P$60,List,0)</formula>
    </cfRule>
  </conditionalFormatting>
  <conditionalFormatting sqref="Q33:Q38">
    <cfRule type="expression" dxfId="115" priority="65">
      <formula>MATCH($Q$33,List,0)</formula>
    </cfRule>
  </conditionalFormatting>
  <conditionalFormatting sqref="Q39:Q44">
    <cfRule type="expression" dxfId="114" priority="64">
      <formula>MATCH($Q$39,List,0)</formula>
    </cfRule>
  </conditionalFormatting>
  <conditionalFormatting sqref="Q48:Q53">
    <cfRule type="expression" dxfId="113" priority="63">
      <formula>MATCH($Q$48,List,0)</formula>
    </cfRule>
  </conditionalFormatting>
  <conditionalFormatting sqref="Q54:Q59">
    <cfRule type="expression" dxfId="112" priority="62">
      <formula>MATCH($Q$54,List,0)</formula>
    </cfRule>
  </conditionalFormatting>
  <conditionalFormatting sqref="Q60:Q65">
    <cfRule type="expression" dxfId="111" priority="61">
      <formula>MATCH($Q$60,List,0)</formula>
    </cfRule>
  </conditionalFormatting>
  <conditionalFormatting sqref="R33:R38">
    <cfRule type="expression" dxfId="110" priority="60">
      <formula>MATCH($R$33,List,0)</formula>
    </cfRule>
  </conditionalFormatting>
  <conditionalFormatting sqref="R39:R44">
    <cfRule type="expression" dxfId="109" priority="59">
      <formula>MATCH($R$39,List,0)</formula>
    </cfRule>
  </conditionalFormatting>
  <conditionalFormatting sqref="R48:R53">
    <cfRule type="expression" dxfId="108" priority="58">
      <formula>MATCH($R$48,List,0)</formula>
    </cfRule>
  </conditionalFormatting>
  <conditionalFormatting sqref="R54:R59">
    <cfRule type="expression" dxfId="107" priority="57">
      <formula>MATCH($R$54,List,0)</formula>
    </cfRule>
  </conditionalFormatting>
  <conditionalFormatting sqref="R60:R65">
    <cfRule type="expression" dxfId="106" priority="56">
      <formula>MATCH($R$60,List,0)</formula>
    </cfRule>
  </conditionalFormatting>
  <conditionalFormatting sqref="S33:S38">
    <cfRule type="expression" dxfId="105" priority="50">
      <formula>MATCH($S$33,List,0)</formula>
    </cfRule>
    <cfRule type="expression" dxfId="104" priority="55">
      <formula>MATCH($S$33,List,0)</formula>
    </cfRule>
  </conditionalFormatting>
  <conditionalFormatting sqref="S39:S44">
    <cfRule type="expression" dxfId="103" priority="49">
      <formula>MATCH($S$39,List,0)</formula>
    </cfRule>
    <cfRule type="expression" dxfId="102" priority="54">
      <formula>MATCH($S$39,List,0)</formula>
    </cfRule>
  </conditionalFormatting>
  <conditionalFormatting sqref="S48:S53">
    <cfRule type="expression" dxfId="101" priority="48">
      <formula>MATCH($S$48,List,0)</formula>
    </cfRule>
    <cfRule type="expression" dxfId="100" priority="53">
      <formula>MATCH($S$48,List,0)</formula>
    </cfRule>
  </conditionalFormatting>
  <conditionalFormatting sqref="S54:S59">
    <cfRule type="expression" dxfId="99" priority="47">
      <formula>MATCH($S$54,List,0)</formula>
    </cfRule>
    <cfRule type="expression" dxfId="98" priority="52">
      <formula>MATCH($S$54,List,0)</formula>
    </cfRule>
  </conditionalFormatting>
  <conditionalFormatting sqref="S60:S65">
    <cfRule type="expression" dxfId="97" priority="46">
      <formula>MATCH($S$60,List,0)</formula>
    </cfRule>
    <cfRule type="expression" dxfId="96" priority="51">
      <formula>MATCH($S$60,List,0)</formula>
    </cfRule>
  </conditionalFormatting>
  <conditionalFormatting sqref="T33:T38">
    <cfRule type="expression" dxfId="95" priority="45">
      <formula>MATCH($T$33,List,0)</formula>
    </cfRule>
  </conditionalFormatting>
  <conditionalFormatting sqref="T39:T44">
    <cfRule type="expression" dxfId="94" priority="44">
      <formula>MATCH($T$39,List,0)</formula>
    </cfRule>
  </conditionalFormatting>
  <conditionalFormatting sqref="T48:T53">
    <cfRule type="expression" dxfId="93" priority="43">
      <formula>MATCH($T$48,List,0)</formula>
    </cfRule>
  </conditionalFormatting>
  <conditionalFormatting sqref="T54:T59">
    <cfRule type="expression" dxfId="92" priority="42">
      <formula>MATCH($T$54,List,0)</formula>
    </cfRule>
  </conditionalFormatting>
  <conditionalFormatting sqref="T60:T65">
    <cfRule type="expression" dxfId="91" priority="41">
      <formula>MATCH($T$60,List,0)</formula>
    </cfRule>
  </conditionalFormatting>
  <conditionalFormatting sqref="U33:U38">
    <cfRule type="expression" dxfId="90" priority="40">
      <formula>MATCH($U$33,List,0)</formula>
    </cfRule>
  </conditionalFormatting>
  <conditionalFormatting sqref="U39:U44">
    <cfRule type="expression" dxfId="89" priority="39">
      <formula>MATCH($U$39,List,0)</formula>
    </cfRule>
  </conditionalFormatting>
  <conditionalFormatting sqref="U48:U53">
    <cfRule type="expression" dxfId="88" priority="38">
      <formula>MATCH($U$48,List,0)</formula>
    </cfRule>
  </conditionalFormatting>
  <conditionalFormatting sqref="U54:U59">
    <cfRule type="expression" dxfId="87" priority="37">
      <formula>MATCH($U$54,List,0)</formula>
    </cfRule>
  </conditionalFormatting>
  <conditionalFormatting sqref="U60:U65">
    <cfRule type="expression" dxfId="86" priority="36">
      <formula>MATCH($U$60,List,0)</formula>
    </cfRule>
  </conditionalFormatting>
  <conditionalFormatting sqref="V33:V38">
    <cfRule type="expression" dxfId="85" priority="35">
      <formula>MATCH($V$33,List,0)</formula>
    </cfRule>
  </conditionalFormatting>
  <conditionalFormatting sqref="V39:V44">
    <cfRule type="expression" dxfId="84" priority="34">
      <formula>MATCH($V$39,List,0)</formula>
    </cfRule>
  </conditionalFormatting>
  <conditionalFormatting sqref="V48:V53">
    <cfRule type="expression" dxfId="83" priority="33">
      <formula>MATCH($V$48,List,0)</formula>
    </cfRule>
  </conditionalFormatting>
  <conditionalFormatting sqref="V54:V59">
    <cfRule type="expression" dxfId="82" priority="32">
      <formula>MATCH($V$54,List,0)</formula>
    </cfRule>
  </conditionalFormatting>
  <conditionalFormatting sqref="V60:V65">
    <cfRule type="expression" dxfId="81" priority="31">
      <formula>MATCH($V$60,List,0)</formula>
    </cfRule>
  </conditionalFormatting>
  <conditionalFormatting sqref="W33:W38">
    <cfRule type="expression" dxfId="80" priority="30">
      <formula>MATCH($W$33,List,0)</formula>
    </cfRule>
  </conditionalFormatting>
  <conditionalFormatting sqref="W39:W44">
    <cfRule type="expression" dxfId="79" priority="29">
      <formula>MATCH($W$39,List,0)</formula>
    </cfRule>
  </conditionalFormatting>
  <conditionalFormatting sqref="W48:W53">
    <cfRule type="expression" dxfId="78" priority="28">
      <formula>MATCH($W$48,List,0)</formula>
    </cfRule>
  </conditionalFormatting>
  <conditionalFormatting sqref="W54:W59">
    <cfRule type="expression" dxfId="77" priority="27">
      <formula>MATCH($W$54,List,0)</formula>
    </cfRule>
  </conditionalFormatting>
  <conditionalFormatting sqref="W60:W65">
    <cfRule type="expression" dxfId="76" priority="26">
      <formula>MATCH($W$60,List,0)</formula>
    </cfRule>
  </conditionalFormatting>
  <conditionalFormatting sqref="X33:X38">
    <cfRule type="expression" dxfId="75" priority="25">
      <formula>MATCH($X$33,List,0)</formula>
    </cfRule>
  </conditionalFormatting>
  <conditionalFormatting sqref="X39:X44">
    <cfRule type="expression" dxfId="74" priority="24">
      <formula>MATCH($X$39,List,0)</formula>
    </cfRule>
  </conditionalFormatting>
  <conditionalFormatting sqref="X48:X53">
    <cfRule type="expression" dxfId="73" priority="23">
      <formula>MATCH($X$48,List,0)</formula>
    </cfRule>
  </conditionalFormatting>
  <conditionalFormatting sqref="X54:X59">
    <cfRule type="expression" dxfId="72" priority="22">
      <formula>MATCH($X$54,List,0)</formula>
    </cfRule>
  </conditionalFormatting>
  <conditionalFormatting sqref="X60:X65">
    <cfRule type="expression" dxfId="71" priority="21">
      <formula>MATCH($X$60,List,0)</formula>
    </cfRule>
  </conditionalFormatting>
  <conditionalFormatting sqref="Y33:Y38">
    <cfRule type="expression" dxfId="70" priority="20">
      <formula>MATCH($Y$33,List,0)</formula>
    </cfRule>
  </conditionalFormatting>
  <conditionalFormatting sqref="Y39:Y44">
    <cfRule type="expression" dxfId="69" priority="19">
      <formula>MATCH($Y$39,List,0)</formula>
    </cfRule>
  </conditionalFormatting>
  <conditionalFormatting sqref="Y48:Y53">
    <cfRule type="expression" dxfId="68" priority="18">
      <formula>MATCH($Y$48,List,0)</formula>
    </cfRule>
  </conditionalFormatting>
  <conditionalFormatting sqref="Y54:Y59">
    <cfRule type="expression" dxfId="67" priority="17">
      <formula>MATCH($Y$54,List,0)</formula>
    </cfRule>
  </conditionalFormatting>
  <conditionalFormatting sqref="Y60:Y65">
    <cfRule type="expression" dxfId="66" priority="16">
      <formula>MATCH($Y$60,List,0)</formula>
    </cfRule>
  </conditionalFormatting>
  <conditionalFormatting sqref="Z33:Z38">
    <cfRule type="expression" dxfId="65" priority="15">
      <formula>MATCH($Z$33,List,0)</formula>
    </cfRule>
  </conditionalFormatting>
  <conditionalFormatting sqref="Z39:Z44">
    <cfRule type="expression" dxfId="64" priority="14">
      <formula>MATCH($Z$39,List,0)</formula>
    </cfRule>
  </conditionalFormatting>
  <conditionalFormatting sqref="Z48:Z53">
    <cfRule type="expression" dxfId="63" priority="13">
      <formula>MATCH($Z$48,List,0)</formula>
    </cfRule>
  </conditionalFormatting>
  <conditionalFormatting sqref="Z54:Z59">
    <cfRule type="expression" dxfId="62" priority="12">
      <formula>MATCH($Z$54,List,0)</formula>
    </cfRule>
  </conditionalFormatting>
  <conditionalFormatting sqref="Z60:Z65">
    <cfRule type="expression" dxfId="61" priority="11">
      <formula>MATCH($Z$60,List,0)</formula>
    </cfRule>
  </conditionalFormatting>
  <conditionalFormatting sqref="AA33:AA38">
    <cfRule type="expression" dxfId="60" priority="10">
      <formula>MATCH($AA$33,List,0)</formula>
    </cfRule>
  </conditionalFormatting>
  <conditionalFormatting sqref="AA39:AA44">
    <cfRule type="expression" dxfId="59" priority="9">
      <formula>MATCH($AA$39,List,0)</formula>
    </cfRule>
  </conditionalFormatting>
  <conditionalFormatting sqref="AA48:AA53">
    <cfRule type="expression" dxfId="58" priority="8">
      <formula>MATCH($AA$48,List,0)</formula>
    </cfRule>
  </conditionalFormatting>
  <conditionalFormatting sqref="AA54:AA59">
    <cfRule type="expression" dxfId="57" priority="7">
      <formula>MATCH($AA$54,List,0)</formula>
    </cfRule>
  </conditionalFormatting>
  <conditionalFormatting sqref="AA60:AA65">
    <cfRule type="expression" dxfId="56" priority="6">
      <formula>MATCH($AA$60,List,0)</formula>
    </cfRule>
  </conditionalFormatting>
  <conditionalFormatting sqref="AB33:AB38">
    <cfRule type="expression" dxfId="55" priority="5">
      <formula>MATCH($AB$33,List,0)</formula>
    </cfRule>
  </conditionalFormatting>
  <conditionalFormatting sqref="AB39:AB44">
    <cfRule type="expression" dxfId="54" priority="4">
      <formula>MATCH($AB$39,List,0)</formula>
    </cfRule>
  </conditionalFormatting>
  <conditionalFormatting sqref="AB48:AB53">
    <cfRule type="expression" dxfId="53" priority="3">
      <formula>MATCH($AB$48,List,0)</formula>
    </cfRule>
  </conditionalFormatting>
  <conditionalFormatting sqref="AB54:AB59">
    <cfRule type="expression" dxfId="52" priority="2">
      <formula>MATCH($AB$54,List,0)</formula>
    </cfRule>
  </conditionalFormatting>
  <conditionalFormatting sqref="AB60:AB65">
    <cfRule type="expression" dxfId="51" priority="1">
      <formula>MATCH($AB$60,List,0)</formula>
    </cfRule>
  </conditionalFormatting>
  <printOptions horizontalCentered="1" verticalCentered="1"/>
  <pageMargins left="0.5" right="0.17" top="0.17" bottom="0.25" header="0" footer="0"/>
  <pageSetup paperSize="5" scale="85" orientation="landscape"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50"/>
  </sheetPr>
  <dimension ref="A1:BC44"/>
  <sheetViews>
    <sheetView workbookViewId="0">
      <selection activeCell="O13" sqref="O13"/>
    </sheetView>
  </sheetViews>
  <sheetFormatPr defaultRowHeight="12.75" x14ac:dyDescent="0.2"/>
  <cols>
    <col min="1" max="1" width="10.5703125" bestFit="1" customWidth="1"/>
    <col min="2" max="10" width="6" customWidth="1"/>
    <col min="11" max="11" width="6" bestFit="1" customWidth="1"/>
    <col min="12" max="24" width="6" customWidth="1"/>
    <col min="25" max="25" width="0.85546875" customWidth="1"/>
    <col min="26" max="29" width="6" customWidth="1"/>
  </cols>
  <sheetData>
    <row r="1" spans="1:55" ht="15.75" thickBot="1" x14ac:dyDescent="0.3">
      <c r="A1" s="304" t="s">
        <v>83</v>
      </c>
      <c r="B1" s="425"/>
      <c r="C1" s="425"/>
      <c r="D1" s="425"/>
      <c r="E1" s="425"/>
    </row>
    <row r="2" spans="1:55" ht="19.899999999999999" customHeight="1" x14ac:dyDescent="0.25">
      <c r="A2" s="289"/>
      <c r="B2" s="290"/>
      <c r="C2" s="290"/>
      <c r="D2" s="290"/>
      <c r="E2" s="290"/>
      <c r="F2" s="290"/>
      <c r="G2" s="290"/>
      <c r="H2" s="290"/>
      <c r="I2" s="290"/>
      <c r="J2" s="290"/>
      <c r="K2" s="290"/>
      <c r="L2" s="290"/>
      <c r="M2" s="290"/>
      <c r="N2" s="290"/>
      <c r="O2" s="290"/>
      <c r="P2" s="290"/>
      <c r="Q2" s="290"/>
      <c r="R2" s="290"/>
      <c r="S2" s="290"/>
      <c r="T2" s="290"/>
      <c r="U2" s="290"/>
      <c r="V2" s="290"/>
      <c r="W2" s="290"/>
      <c r="X2" s="290"/>
      <c r="Y2" s="290"/>
      <c r="Z2" s="290"/>
      <c r="AA2" s="290"/>
      <c r="AB2" s="290"/>
      <c r="AC2" s="290"/>
      <c r="AD2" s="290"/>
      <c r="AE2" s="290"/>
      <c r="AF2" s="290"/>
      <c r="AG2" s="290"/>
      <c r="AH2" s="290"/>
      <c r="AI2" s="247"/>
      <c r="AJ2" s="247"/>
      <c r="AK2" s="247"/>
      <c r="AL2" s="247"/>
      <c r="AM2" s="247"/>
      <c r="AN2" s="247"/>
      <c r="AO2" s="247"/>
      <c r="AP2" s="247"/>
      <c r="AQ2" s="247"/>
      <c r="AR2" s="247"/>
      <c r="AS2" s="247"/>
      <c r="AT2" s="247"/>
      <c r="AU2" s="247"/>
      <c r="AV2" s="247"/>
      <c r="AW2" s="247"/>
      <c r="AX2" s="247"/>
      <c r="AY2" s="247"/>
      <c r="AZ2" s="247"/>
      <c r="BA2" s="247"/>
      <c r="BB2" s="247"/>
      <c r="BC2" s="247"/>
    </row>
    <row r="3" spans="1:55" ht="15" customHeight="1" x14ac:dyDescent="0.25">
      <c r="A3" s="226" t="s">
        <v>177</v>
      </c>
      <c r="B3" s="226">
        <v>27</v>
      </c>
      <c r="C3" s="226">
        <v>26</v>
      </c>
      <c r="D3" s="226">
        <v>25</v>
      </c>
      <c r="E3" s="226">
        <v>24</v>
      </c>
      <c r="F3" s="226">
        <v>23</v>
      </c>
      <c r="G3" s="226">
        <v>22</v>
      </c>
      <c r="H3" s="226">
        <v>21</v>
      </c>
      <c r="I3" s="226">
        <v>20</v>
      </c>
      <c r="J3" s="226">
        <v>19</v>
      </c>
      <c r="K3" s="226">
        <v>18</v>
      </c>
      <c r="L3" s="226">
        <v>17</v>
      </c>
      <c r="M3" s="226">
        <v>16</v>
      </c>
      <c r="N3" s="226">
        <v>15</v>
      </c>
      <c r="O3" s="226">
        <v>14</v>
      </c>
      <c r="P3" s="226">
        <v>13</v>
      </c>
      <c r="Q3" s="226">
        <v>12</v>
      </c>
      <c r="R3" s="226">
        <v>11</v>
      </c>
      <c r="S3" s="226">
        <v>10</v>
      </c>
      <c r="T3" s="226">
        <v>9</v>
      </c>
      <c r="U3" s="226">
        <v>8</v>
      </c>
      <c r="V3" s="226">
        <v>7</v>
      </c>
      <c r="W3" s="226">
        <v>6</v>
      </c>
      <c r="X3" s="226">
        <v>5</v>
      </c>
      <c r="Y3" s="226"/>
      <c r="Z3" s="226">
        <v>4</v>
      </c>
      <c r="AA3" s="226">
        <v>3</v>
      </c>
      <c r="AB3" s="226">
        <v>2</v>
      </c>
      <c r="AC3" s="226">
        <v>1</v>
      </c>
      <c r="AD3" s="289"/>
      <c r="AE3" s="289"/>
      <c r="AF3" s="289"/>
      <c r="AG3" s="289"/>
      <c r="AH3" s="289"/>
    </row>
    <row r="4" spans="1:55" ht="31.9" customHeight="1" x14ac:dyDescent="0.25">
      <c r="B4" s="307"/>
      <c r="C4" s="307"/>
      <c r="D4" s="307"/>
      <c r="E4" s="307"/>
      <c r="F4" s="307"/>
      <c r="G4" s="307"/>
      <c r="H4" s="307"/>
      <c r="I4" s="307"/>
      <c r="J4" s="307"/>
      <c r="K4" s="436"/>
      <c r="L4" s="436"/>
      <c r="M4" s="436"/>
      <c r="N4" s="436"/>
      <c r="O4" s="436"/>
      <c r="P4" s="436"/>
      <c r="Q4" s="436"/>
      <c r="R4" s="436"/>
      <c r="S4" s="436"/>
      <c r="T4" s="436"/>
      <c r="U4" s="436"/>
      <c r="V4" s="307"/>
      <c r="W4" s="307"/>
      <c r="X4" s="307"/>
      <c r="Y4" s="226"/>
      <c r="Z4" s="307"/>
      <c r="AA4" s="307"/>
      <c r="AB4" s="307"/>
      <c r="AC4" s="307"/>
      <c r="AD4" s="289"/>
      <c r="AE4" s="289"/>
      <c r="AF4" s="289"/>
      <c r="AG4" s="289"/>
      <c r="AH4" s="289"/>
    </row>
    <row r="5" spans="1:55" ht="31.9" customHeight="1" x14ac:dyDescent="0.25">
      <c r="B5" s="307"/>
      <c r="C5" s="307"/>
      <c r="D5" s="307"/>
      <c r="E5" s="307"/>
      <c r="F5" s="307"/>
      <c r="G5" s="307"/>
      <c r="H5" s="307"/>
      <c r="I5" s="307"/>
      <c r="J5" s="307"/>
      <c r="K5" s="436"/>
      <c r="L5" s="436"/>
      <c r="M5" s="436"/>
      <c r="N5" s="436"/>
      <c r="O5" s="436"/>
      <c r="P5" s="436"/>
      <c r="Q5" s="436"/>
      <c r="R5" s="436"/>
      <c r="S5" s="436"/>
      <c r="T5" s="436"/>
      <c r="U5" s="436"/>
      <c r="V5" s="307"/>
      <c r="W5" s="307"/>
      <c r="X5" s="307"/>
      <c r="Y5" s="226"/>
      <c r="Z5" s="307"/>
      <c r="AA5" s="307"/>
      <c r="AB5" s="307"/>
      <c r="AC5" s="307"/>
      <c r="AD5" s="289"/>
      <c r="AE5" s="289"/>
      <c r="AF5" s="289"/>
      <c r="AG5" s="289"/>
      <c r="AH5" s="289"/>
    </row>
    <row r="6" spans="1:55" ht="10.15" customHeight="1" x14ac:dyDescent="0.25">
      <c r="B6" s="289"/>
      <c r="C6" s="289"/>
      <c r="D6" s="289"/>
      <c r="E6" s="289"/>
      <c r="F6" s="289"/>
      <c r="G6" s="289"/>
      <c r="H6" s="289"/>
      <c r="I6" s="289"/>
      <c r="J6" s="289"/>
      <c r="K6" s="289"/>
      <c r="L6" s="289"/>
      <c r="M6" s="289"/>
      <c r="N6" s="289"/>
      <c r="O6" s="289"/>
      <c r="P6" s="289"/>
      <c r="Q6" s="289"/>
      <c r="R6" s="289"/>
      <c r="S6" s="289"/>
      <c r="T6" s="289"/>
      <c r="U6" s="289"/>
      <c r="V6" s="289"/>
      <c r="W6" s="289"/>
      <c r="X6" s="289"/>
      <c r="Y6" s="289"/>
      <c r="Z6" s="289"/>
      <c r="AA6" s="289"/>
      <c r="AB6" s="289"/>
      <c r="AC6" s="289"/>
      <c r="AD6" s="289"/>
      <c r="AE6" s="289"/>
      <c r="AF6" s="289"/>
      <c r="AG6" s="289"/>
      <c r="AH6" s="289"/>
    </row>
    <row r="7" spans="1:55" ht="31.9" customHeight="1" x14ac:dyDescent="0.25">
      <c r="B7" s="307"/>
      <c r="C7" s="307"/>
      <c r="D7" s="307"/>
      <c r="E7" s="307"/>
      <c r="F7" s="307"/>
      <c r="G7" s="307"/>
      <c r="H7" s="307"/>
      <c r="I7" s="307"/>
      <c r="J7" s="307"/>
      <c r="K7" s="436"/>
      <c r="L7" s="436"/>
      <c r="M7" s="436"/>
      <c r="N7" s="436"/>
      <c r="O7" s="436"/>
      <c r="P7" s="436"/>
      <c r="Q7" s="436"/>
      <c r="R7" s="436"/>
      <c r="S7" s="436"/>
      <c r="T7" s="436"/>
      <c r="U7" s="436"/>
      <c r="V7" s="307"/>
      <c r="W7" s="307"/>
      <c r="X7" s="307"/>
      <c r="Y7" s="226"/>
      <c r="Z7" s="307"/>
      <c r="AA7" s="307"/>
      <c r="AB7" s="307"/>
      <c r="AC7" s="307"/>
      <c r="AD7" s="289"/>
      <c r="AE7" s="289"/>
      <c r="AF7" s="289"/>
      <c r="AG7" s="289"/>
      <c r="AH7" s="289"/>
    </row>
    <row r="8" spans="1:55" ht="31.9" customHeight="1" x14ac:dyDescent="0.25">
      <c r="B8" s="307"/>
      <c r="C8" s="307"/>
      <c r="D8" s="307"/>
      <c r="E8" s="307"/>
      <c r="F8" s="307"/>
      <c r="G8" s="307"/>
      <c r="H8" s="307"/>
      <c r="I8" s="307"/>
      <c r="J8" s="307"/>
      <c r="K8" s="436"/>
      <c r="L8" s="436"/>
      <c r="M8" s="436"/>
      <c r="N8" s="436"/>
      <c r="O8" s="436"/>
      <c r="P8" s="436"/>
      <c r="Q8" s="436"/>
      <c r="R8" s="436"/>
      <c r="S8" s="436"/>
      <c r="T8" s="436"/>
      <c r="U8" s="436"/>
      <c r="V8" s="307"/>
      <c r="W8" s="307"/>
      <c r="X8" s="307"/>
      <c r="Y8" s="226"/>
      <c r="Z8" s="307"/>
      <c r="AA8" s="307"/>
      <c r="AB8" s="307"/>
      <c r="AC8" s="307"/>
      <c r="AD8" s="289"/>
      <c r="AE8" s="289"/>
      <c r="AF8" s="289"/>
      <c r="AG8" s="289"/>
      <c r="AH8" s="289"/>
    </row>
    <row r="9" spans="1:55" ht="31.9" customHeight="1" x14ac:dyDescent="0.25">
      <c r="B9" s="307"/>
      <c r="C9" s="307"/>
      <c r="D9" s="307"/>
      <c r="E9" s="307"/>
      <c r="F9" s="307"/>
      <c r="G9" s="307"/>
      <c r="H9" s="307"/>
      <c r="I9" s="307"/>
      <c r="J9" s="307"/>
      <c r="K9" s="307"/>
      <c r="L9" s="307"/>
      <c r="M9" s="307"/>
      <c r="N9" s="307"/>
      <c r="O9" s="307"/>
      <c r="P9" s="307"/>
      <c r="Q9" s="307"/>
      <c r="R9" s="307"/>
      <c r="S9" s="307"/>
      <c r="T9" s="307"/>
      <c r="U9" s="307"/>
      <c r="V9" s="307"/>
      <c r="W9" s="307"/>
      <c r="X9" s="307"/>
      <c r="Y9" s="226"/>
      <c r="Z9" s="307"/>
      <c r="AA9" s="307"/>
      <c r="AB9" s="307"/>
      <c r="AC9" s="307"/>
      <c r="AD9" s="289"/>
      <c r="AE9" s="289"/>
      <c r="AF9" s="289"/>
      <c r="AG9" s="289"/>
      <c r="AH9" s="289"/>
    </row>
    <row r="10" spans="1:55" ht="6" customHeight="1" thickBot="1" x14ac:dyDescent="0.3">
      <c r="B10" s="289"/>
      <c r="C10" s="289"/>
      <c r="D10" s="289"/>
      <c r="E10" s="289"/>
      <c r="F10" s="289"/>
      <c r="G10" s="289"/>
      <c r="H10" s="289"/>
      <c r="I10" s="289"/>
      <c r="J10" s="289"/>
      <c r="K10" s="289"/>
      <c r="L10" s="289"/>
      <c r="M10" s="289"/>
      <c r="N10" s="289"/>
      <c r="O10" s="289"/>
      <c r="P10" s="289"/>
      <c r="Q10" s="289"/>
      <c r="R10" s="289"/>
      <c r="S10" s="289"/>
      <c r="T10" s="289"/>
      <c r="U10" s="289"/>
      <c r="V10" s="289"/>
      <c r="W10" s="289"/>
      <c r="X10" s="289"/>
      <c r="Y10" s="289"/>
      <c r="Z10" s="289"/>
      <c r="AA10" s="289"/>
      <c r="AB10" s="289"/>
      <c r="AC10" s="289"/>
      <c r="AD10" s="289"/>
      <c r="AE10" s="289"/>
      <c r="AF10" s="289"/>
      <c r="AG10" s="289"/>
      <c r="AH10" s="289"/>
    </row>
    <row r="11" spans="1:55" ht="19.899999999999999" customHeight="1" thickBot="1" x14ac:dyDescent="0.3">
      <c r="A11" s="289"/>
      <c r="B11" s="298"/>
      <c r="C11" s="299"/>
      <c r="D11" s="299"/>
      <c r="E11" s="299"/>
      <c r="F11" s="299"/>
      <c r="G11" s="299"/>
      <c r="H11" s="300"/>
      <c r="I11" s="290"/>
      <c r="J11" s="290"/>
      <c r="K11" s="290"/>
      <c r="L11" s="290"/>
      <c r="M11" s="290"/>
      <c r="N11" s="290"/>
      <c r="O11" s="290"/>
      <c r="P11" s="290"/>
      <c r="Q11" s="290"/>
      <c r="R11" s="290"/>
      <c r="S11" s="290"/>
      <c r="T11" s="290"/>
      <c r="U11" s="290"/>
      <c r="V11" s="290"/>
      <c r="W11" s="290"/>
      <c r="X11" s="290"/>
      <c r="Y11" s="290"/>
      <c r="Z11" s="290"/>
      <c r="AA11" s="290"/>
      <c r="AB11" s="290"/>
      <c r="AC11" s="290"/>
      <c r="AD11" s="290"/>
      <c r="AE11" s="290"/>
      <c r="AF11" s="290"/>
      <c r="AG11" s="290"/>
      <c r="AH11" s="290"/>
      <c r="AI11" s="247"/>
      <c r="AJ11" s="247"/>
      <c r="AK11" s="247"/>
      <c r="AL11" s="247"/>
      <c r="AM11" s="247"/>
      <c r="AN11" s="247"/>
      <c r="AO11" s="247"/>
      <c r="AP11" s="247"/>
      <c r="AQ11" s="247"/>
      <c r="AR11" s="247"/>
      <c r="AS11" s="247"/>
      <c r="AT11" s="247"/>
      <c r="AU11" s="247"/>
      <c r="AV11" s="247"/>
      <c r="AW11" s="247"/>
      <c r="AX11" s="247"/>
      <c r="AY11" s="247"/>
      <c r="AZ11" s="247"/>
      <c r="BA11" s="247"/>
      <c r="BB11" s="247"/>
      <c r="BC11" s="247"/>
    </row>
    <row r="12" spans="1:55" s="226" customFormat="1" ht="15" customHeight="1" thickBot="1" x14ac:dyDescent="0.3">
      <c r="A12" s="226" t="s">
        <v>177</v>
      </c>
      <c r="B12" s="295">
        <v>54</v>
      </c>
      <c r="C12" s="296">
        <v>53</v>
      </c>
      <c r="D12" s="296">
        <v>52</v>
      </c>
      <c r="E12" s="296">
        <v>51</v>
      </c>
      <c r="F12" s="296">
        <v>50</v>
      </c>
      <c r="G12" s="296">
        <v>49</v>
      </c>
      <c r="H12" s="297">
        <v>48</v>
      </c>
      <c r="I12" s="226">
        <v>47</v>
      </c>
      <c r="J12" s="226">
        <v>46</v>
      </c>
      <c r="K12" s="226">
        <v>45</v>
      </c>
      <c r="L12" s="226">
        <v>44</v>
      </c>
      <c r="M12" s="226">
        <v>43</v>
      </c>
      <c r="N12" s="226">
        <v>42</v>
      </c>
      <c r="O12" s="226">
        <v>41</v>
      </c>
      <c r="P12" s="226">
        <v>40</v>
      </c>
      <c r="Q12" s="226">
        <v>39</v>
      </c>
      <c r="R12" s="226">
        <v>38</v>
      </c>
      <c r="S12" s="226">
        <v>37</v>
      </c>
      <c r="T12" s="226">
        <v>36</v>
      </c>
      <c r="U12" s="226">
        <v>35</v>
      </c>
      <c r="W12" s="226">
        <v>33</v>
      </c>
      <c r="X12" s="226">
        <v>32</v>
      </c>
      <c r="Z12" s="226">
        <v>31</v>
      </c>
      <c r="AA12" s="226">
        <v>30</v>
      </c>
      <c r="AB12" s="226">
        <v>29</v>
      </c>
      <c r="AC12" s="226">
        <v>28</v>
      </c>
    </row>
    <row r="13" spans="1:55" ht="10.9" customHeight="1" thickBot="1" x14ac:dyDescent="0.3">
      <c r="A13" s="289"/>
      <c r="B13" s="430" t="s">
        <v>3</v>
      </c>
      <c r="C13" s="431"/>
      <c r="D13" s="431"/>
      <c r="E13" s="431"/>
      <c r="F13" s="431"/>
      <c r="G13" s="431"/>
      <c r="H13" s="432"/>
      <c r="I13" s="289"/>
      <c r="J13" s="289"/>
      <c r="K13" s="289"/>
      <c r="L13" s="289"/>
      <c r="M13" s="289"/>
      <c r="N13" s="289"/>
      <c r="O13" s="289"/>
      <c r="P13" s="289"/>
      <c r="Q13" s="289"/>
      <c r="R13" s="289"/>
      <c r="S13" s="289"/>
      <c r="T13" s="289"/>
      <c r="U13" s="289"/>
      <c r="V13" s="289"/>
      <c r="W13" s="289"/>
      <c r="X13" s="289"/>
      <c r="Y13" s="289"/>
      <c r="Z13" s="289"/>
      <c r="AA13" s="289"/>
      <c r="AB13" s="289"/>
      <c r="AC13" s="289"/>
      <c r="AD13" s="289"/>
      <c r="AE13" s="289"/>
      <c r="AF13" s="289"/>
      <c r="AG13" s="289"/>
      <c r="AH13" s="289"/>
    </row>
    <row r="14" spans="1:55" ht="31.9" customHeight="1" x14ac:dyDescent="0.25">
      <c r="A14" s="289"/>
      <c r="B14" s="321"/>
      <c r="C14" s="322"/>
      <c r="D14" s="322"/>
      <c r="E14" s="322"/>
      <c r="F14" s="322"/>
      <c r="G14" s="322"/>
      <c r="H14" s="323"/>
      <c r="I14" s="324"/>
      <c r="J14" s="307"/>
      <c r="K14" s="307"/>
      <c r="L14" s="307"/>
      <c r="M14" s="307"/>
      <c r="N14" s="307"/>
      <c r="O14" s="307"/>
      <c r="P14" s="307"/>
      <c r="Q14" s="307"/>
      <c r="R14" s="307"/>
      <c r="S14" s="307"/>
      <c r="T14" s="307"/>
      <c r="U14" s="325"/>
      <c r="V14" s="433" t="s">
        <v>178</v>
      </c>
      <c r="W14" s="324"/>
      <c r="X14" s="307"/>
      <c r="Y14" s="302"/>
      <c r="Z14" s="307"/>
      <c r="AA14" s="307"/>
      <c r="AB14" s="307"/>
      <c r="AC14" s="307"/>
      <c r="AD14" s="289"/>
      <c r="AE14" s="289"/>
      <c r="AF14" s="289"/>
      <c r="AG14" s="289"/>
      <c r="AH14" s="289"/>
    </row>
    <row r="15" spans="1:55" ht="31.9" customHeight="1" x14ac:dyDescent="0.25">
      <c r="A15" s="289"/>
      <c r="B15" s="326"/>
      <c r="C15" s="307"/>
      <c r="D15" s="307"/>
      <c r="E15" s="307"/>
      <c r="F15" s="307"/>
      <c r="G15" s="307"/>
      <c r="H15" s="327"/>
      <c r="I15" s="326"/>
      <c r="J15" s="307"/>
      <c r="K15" s="307"/>
      <c r="L15" s="307"/>
      <c r="M15" s="307"/>
      <c r="N15" s="307"/>
      <c r="O15" s="307"/>
      <c r="P15" s="307"/>
      <c r="Q15" s="307"/>
      <c r="R15" s="307"/>
      <c r="S15" s="307"/>
      <c r="T15" s="307"/>
      <c r="U15" s="325"/>
      <c r="V15" s="434"/>
      <c r="W15" s="324"/>
      <c r="X15" s="307"/>
      <c r="Y15" s="302"/>
      <c r="Z15" s="307"/>
      <c r="AA15" s="307"/>
      <c r="AB15" s="307"/>
      <c r="AC15" s="307"/>
      <c r="AD15" s="289"/>
      <c r="AE15" s="289"/>
      <c r="AF15" s="289"/>
      <c r="AG15" s="289"/>
      <c r="AH15" s="289"/>
    </row>
    <row r="16" spans="1:55" ht="10.15" customHeight="1" x14ac:dyDescent="0.25">
      <c r="A16" s="289"/>
      <c r="B16" s="294"/>
      <c r="C16" s="294"/>
      <c r="D16" s="294"/>
      <c r="E16" s="294"/>
      <c r="F16" s="294"/>
      <c r="G16" s="294"/>
      <c r="H16" s="294"/>
      <c r="I16" s="294"/>
      <c r="J16" s="291"/>
      <c r="K16" s="291"/>
      <c r="L16" s="291"/>
      <c r="M16" s="291"/>
      <c r="N16" s="291"/>
      <c r="O16" s="291"/>
      <c r="P16" s="291"/>
      <c r="Q16" s="291"/>
      <c r="R16" s="291"/>
      <c r="S16" s="291"/>
      <c r="T16" s="291"/>
      <c r="U16" s="291"/>
      <c r="V16" s="289"/>
      <c r="W16" s="291"/>
      <c r="X16" s="291"/>
      <c r="Y16" s="294"/>
      <c r="Z16" s="291"/>
      <c r="AA16" s="291"/>
      <c r="AB16" s="291"/>
      <c r="AC16" s="291"/>
      <c r="AD16" s="289"/>
      <c r="AE16" s="289"/>
      <c r="AF16" s="289"/>
      <c r="AG16" s="289"/>
      <c r="AH16" s="289"/>
    </row>
    <row r="17" spans="1:34" ht="31.9" customHeight="1" x14ac:dyDescent="0.25">
      <c r="A17" s="289"/>
      <c r="B17" s="326"/>
      <c r="C17" s="307"/>
      <c r="D17" s="307"/>
      <c r="E17" s="307"/>
      <c r="F17" s="307"/>
      <c r="G17" s="307"/>
      <c r="H17" s="327"/>
      <c r="I17" s="326"/>
      <c r="J17" s="307"/>
      <c r="K17" s="307"/>
      <c r="L17" s="307"/>
      <c r="M17" s="307"/>
      <c r="N17" s="307"/>
      <c r="O17" s="307"/>
      <c r="P17" s="307"/>
      <c r="Q17" s="307"/>
      <c r="R17" s="307"/>
      <c r="S17" s="307"/>
      <c r="T17" s="307"/>
      <c r="U17" s="307"/>
      <c r="V17" s="433" t="s">
        <v>178</v>
      </c>
      <c r="W17" s="307"/>
      <c r="X17" s="307"/>
      <c r="Y17" s="302"/>
      <c r="Z17" s="307"/>
      <c r="AA17" s="307"/>
      <c r="AB17" s="307"/>
      <c r="AC17" s="307"/>
      <c r="AD17" s="289"/>
      <c r="AE17" s="289"/>
      <c r="AF17" s="289"/>
      <c r="AG17" s="289"/>
      <c r="AH17" s="289"/>
    </row>
    <row r="18" spans="1:34" ht="31.9" customHeight="1" x14ac:dyDescent="0.25">
      <c r="A18" s="289"/>
      <c r="B18" s="326"/>
      <c r="C18" s="307"/>
      <c r="D18" s="307"/>
      <c r="E18" s="307"/>
      <c r="F18" s="307"/>
      <c r="G18" s="307"/>
      <c r="H18" s="327"/>
      <c r="I18" s="324"/>
      <c r="J18" s="307"/>
      <c r="K18" s="307"/>
      <c r="L18" s="307"/>
      <c r="M18" s="307"/>
      <c r="N18" s="307"/>
      <c r="O18" s="307"/>
      <c r="P18" s="307"/>
      <c r="Q18" s="307"/>
      <c r="R18" s="307"/>
      <c r="S18" s="307"/>
      <c r="T18" s="307"/>
      <c r="U18" s="307"/>
      <c r="V18" s="434"/>
      <c r="W18" s="307"/>
      <c r="X18" s="307"/>
      <c r="Y18" s="302"/>
      <c r="Z18" s="307"/>
      <c r="AA18" s="307"/>
      <c r="AB18" s="307"/>
      <c r="AC18" s="307"/>
      <c r="AD18" s="289"/>
      <c r="AE18" s="289"/>
      <c r="AF18" s="289"/>
      <c r="AG18" s="289"/>
      <c r="AH18" s="289"/>
    </row>
    <row r="19" spans="1:34" ht="31.9" customHeight="1" thickBot="1" x14ac:dyDescent="0.3">
      <c r="A19" s="289"/>
      <c r="B19" s="328"/>
      <c r="C19" s="329"/>
      <c r="D19" s="329"/>
      <c r="E19" s="329"/>
      <c r="F19" s="329"/>
      <c r="G19" s="329"/>
      <c r="H19" s="330"/>
      <c r="I19" s="324"/>
      <c r="J19" s="307"/>
      <c r="K19" s="307"/>
      <c r="L19" s="307"/>
      <c r="M19" s="307"/>
      <c r="N19" s="307"/>
      <c r="O19" s="307"/>
      <c r="P19" s="307"/>
      <c r="Q19" s="307"/>
      <c r="R19" s="307"/>
      <c r="S19" s="307"/>
      <c r="T19" s="307"/>
      <c r="U19" s="307"/>
      <c r="V19" s="434"/>
      <c r="W19" s="307"/>
      <c r="X19" s="307"/>
      <c r="Y19" s="302"/>
      <c r="Z19" s="307"/>
      <c r="AA19" s="307"/>
      <c r="AB19" s="307"/>
      <c r="AC19" s="307"/>
      <c r="AD19" s="289"/>
      <c r="AE19" s="289"/>
      <c r="AF19" s="289"/>
      <c r="AG19" s="289"/>
      <c r="AH19" s="289"/>
    </row>
    <row r="20" spans="1:34" ht="15" x14ac:dyDescent="0.25">
      <c r="A20" s="289"/>
      <c r="B20" s="289"/>
      <c r="C20" s="289"/>
      <c r="D20" s="289"/>
      <c r="E20" s="289"/>
      <c r="F20" s="289"/>
      <c r="G20" s="289"/>
      <c r="H20" s="289"/>
      <c r="I20" s="289"/>
      <c r="J20" s="289"/>
      <c r="K20" s="289"/>
      <c r="L20" s="289"/>
      <c r="M20" s="289"/>
      <c r="N20" s="289"/>
      <c r="O20" s="289"/>
      <c r="P20" s="289"/>
      <c r="Q20" s="289"/>
      <c r="R20" s="289"/>
      <c r="S20" s="289"/>
      <c r="T20" s="289"/>
      <c r="U20" s="289"/>
      <c r="V20" s="289"/>
      <c r="W20" s="289"/>
      <c r="X20" s="289"/>
      <c r="Y20" s="289"/>
      <c r="Z20" s="289"/>
      <c r="AA20" s="289"/>
      <c r="AB20" s="289"/>
      <c r="AC20" s="289"/>
      <c r="AD20" s="289"/>
      <c r="AE20" s="289"/>
      <c r="AF20" s="289"/>
      <c r="AG20" s="289"/>
      <c r="AH20" s="289"/>
    </row>
    <row r="21" spans="1:34" ht="15" customHeight="1" x14ac:dyDescent="0.25">
      <c r="A21" s="304" t="s">
        <v>64</v>
      </c>
      <c r="B21" s="307"/>
      <c r="C21" s="307"/>
      <c r="D21" s="307"/>
      <c r="E21" s="307"/>
      <c r="F21" s="307"/>
      <c r="G21" s="307"/>
      <c r="H21" s="307"/>
      <c r="I21" s="435" t="s">
        <v>66</v>
      </c>
      <c r="J21" s="307"/>
      <c r="K21" s="307"/>
      <c r="L21" s="303" t="s">
        <v>74</v>
      </c>
      <c r="M21" s="307"/>
      <c r="N21" s="293"/>
      <c r="O21" s="306" t="s">
        <v>56</v>
      </c>
      <c r="P21" s="333">
        <f>'Fuel Sheet'!K48</f>
        <v>0</v>
      </c>
      <c r="Q21" s="333">
        <f>'Fuel Sheet'!K52</f>
        <v>0</v>
      </c>
      <c r="R21" s="304" t="s">
        <v>77</v>
      </c>
      <c r="S21" s="333">
        <f>'Fuel Sheet'!O11</f>
        <v>0</v>
      </c>
      <c r="T21" s="334">
        <f>'Fuel Sheet'!O16</f>
        <v>0</v>
      </c>
      <c r="U21" s="308" t="s">
        <v>190</v>
      </c>
      <c r="V21" s="301">
        <f>'Fuel Sheet'!K33</f>
        <v>0</v>
      </c>
      <c r="Y21" s="289"/>
      <c r="AA21" s="422" t="s">
        <v>191</v>
      </c>
      <c r="AB21" s="422"/>
      <c r="AD21" s="289"/>
      <c r="AE21" s="289"/>
      <c r="AF21" s="289"/>
      <c r="AG21" s="289"/>
      <c r="AH21" s="289"/>
    </row>
    <row r="22" spans="1:34" ht="15" customHeight="1" x14ac:dyDescent="0.25">
      <c r="A22" s="289"/>
      <c r="B22" s="307"/>
      <c r="C22" s="307"/>
      <c r="D22" s="307"/>
      <c r="E22" s="307"/>
      <c r="F22" s="307"/>
      <c r="G22" s="307"/>
      <c r="H22" s="307"/>
      <c r="I22" s="435"/>
      <c r="J22" s="307"/>
      <c r="K22" s="307"/>
      <c r="L22" s="289"/>
      <c r="M22" s="293"/>
      <c r="N22" s="293"/>
      <c r="O22" s="305"/>
      <c r="P22" s="333">
        <f>'Fuel Sheet'!K49</f>
        <v>0</v>
      </c>
      <c r="Q22" s="333">
        <f>'Fuel Sheet'!K53</f>
        <v>0</v>
      </c>
      <c r="R22" s="289"/>
      <c r="S22" s="333">
        <f>'Fuel Sheet'!O12</f>
        <v>0</v>
      </c>
      <c r="T22" s="334">
        <f>'Fuel Sheet'!O17</f>
        <v>0</v>
      </c>
      <c r="V22" s="331">
        <f>'Fuel Sheet'!K34</f>
        <v>0</v>
      </c>
      <c r="Y22" s="289"/>
      <c r="Z22" s="309"/>
      <c r="AA22" s="310" t="s">
        <v>129</v>
      </c>
      <c r="AB22" s="310" t="s">
        <v>128</v>
      </c>
      <c r="AD22" s="289"/>
      <c r="AE22" s="289"/>
      <c r="AF22" s="289"/>
      <c r="AG22" s="289"/>
      <c r="AH22" s="289"/>
    </row>
    <row r="23" spans="1:34" ht="15" customHeight="1" x14ac:dyDescent="0.25">
      <c r="A23" s="289"/>
      <c r="B23" s="307"/>
      <c r="C23" s="307"/>
      <c r="D23" s="307"/>
      <c r="E23" s="307"/>
      <c r="F23" s="307"/>
      <c r="G23" s="307"/>
      <c r="H23" s="307"/>
      <c r="L23" s="289"/>
      <c r="M23" s="293"/>
      <c r="N23" s="293"/>
      <c r="O23" s="289"/>
      <c r="P23" s="333">
        <f>'Fuel Sheet'!K50</f>
        <v>0</v>
      </c>
      <c r="Q23" s="333">
        <f>'Fuel Sheet'!K54</f>
        <v>0</v>
      </c>
      <c r="R23" s="289"/>
      <c r="S23" s="333">
        <f>'Fuel Sheet'!O13</f>
        <v>0</v>
      </c>
      <c r="T23" s="334">
        <f>'Fuel Sheet'!O18</f>
        <v>0</v>
      </c>
      <c r="V23" s="331">
        <f>'Fuel Sheet'!K35</f>
        <v>0</v>
      </c>
      <c r="Y23" s="289"/>
      <c r="Z23" s="289"/>
      <c r="AA23" s="332">
        <f>'Fuel Sheet'!O54</f>
        <v>0</v>
      </c>
      <c r="AB23" s="332">
        <f>'Fuel Sheet'!P54</f>
        <v>0</v>
      </c>
      <c r="AD23" s="289"/>
      <c r="AE23" s="289"/>
      <c r="AF23" s="289"/>
      <c r="AG23" s="289"/>
      <c r="AH23" s="289"/>
    </row>
    <row r="24" spans="1:34" ht="15" customHeight="1" x14ac:dyDescent="0.25">
      <c r="A24" s="289"/>
      <c r="B24" s="307"/>
      <c r="C24" s="307"/>
      <c r="D24" s="307"/>
      <c r="E24" s="307"/>
      <c r="F24" s="307"/>
      <c r="G24" s="307"/>
      <c r="H24" s="307"/>
      <c r="I24" s="426" t="s">
        <v>75</v>
      </c>
      <c r="J24" s="307"/>
      <c r="K24" s="307"/>
      <c r="L24" s="289"/>
      <c r="M24" s="293"/>
      <c r="N24" s="293"/>
      <c r="O24" s="289"/>
      <c r="P24" s="333">
        <f>'Fuel Sheet'!K51</f>
        <v>0</v>
      </c>
      <c r="Q24" s="333">
        <f>'Fuel Sheet'!K55</f>
        <v>0</v>
      </c>
      <c r="R24" s="289"/>
      <c r="S24" s="333">
        <f>'Fuel Sheet'!O14</f>
        <v>0</v>
      </c>
      <c r="T24" s="334">
        <f>'Fuel Sheet'!O19</f>
        <v>0</v>
      </c>
      <c r="V24" s="331">
        <f>'Fuel Sheet'!K36</f>
        <v>0</v>
      </c>
      <c r="Y24" s="289"/>
      <c r="Z24" s="289"/>
      <c r="AA24" s="332">
        <f>'Fuel Sheet'!O55</f>
        <v>0</v>
      </c>
      <c r="AB24" s="332">
        <f>'Fuel Sheet'!P55</f>
        <v>0</v>
      </c>
      <c r="AD24" s="289"/>
      <c r="AE24" s="289"/>
      <c r="AF24" s="289"/>
      <c r="AG24" s="289"/>
      <c r="AH24" s="289"/>
    </row>
    <row r="25" spans="1:34" ht="15" customHeight="1" x14ac:dyDescent="0.25">
      <c r="A25" s="289"/>
      <c r="B25" s="307"/>
      <c r="C25" s="307"/>
      <c r="D25" s="307"/>
      <c r="E25" s="307"/>
      <c r="F25" s="307"/>
      <c r="G25" s="307"/>
      <c r="H25" s="307"/>
      <c r="I25" s="427"/>
      <c r="J25" s="307"/>
      <c r="K25" s="307"/>
      <c r="L25" s="289"/>
      <c r="M25" s="293"/>
      <c r="N25" s="293"/>
      <c r="R25" s="289"/>
      <c r="S25" s="333">
        <f>'Fuel Sheet'!O15</f>
        <v>0</v>
      </c>
      <c r="T25" s="335"/>
      <c r="V25" s="331">
        <f>'Fuel Sheet'!K37</f>
        <v>0</v>
      </c>
      <c r="Y25" s="289"/>
      <c r="Z25" s="289"/>
      <c r="AA25" s="332">
        <f>'Fuel Sheet'!O56</f>
        <v>0</v>
      </c>
      <c r="AB25" s="332">
        <f>'Fuel Sheet'!P56</f>
        <v>0</v>
      </c>
      <c r="AD25" s="289"/>
      <c r="AE25" s="289"/>
      <c r="AF25" s="289"/>
      <c r="AG25" s="289"/>
      <c r="AH25" s="289"/>
    </row>
    <row r="26" spans="1:34" ht="15" customHeight="1" x14ac:dyDescent="0.25">
      <c r="A26" s="304"/>
      <c r="B26" s="289"/>
      <c r="C26" s="289"/>
      <c r="D26" s="289"/>
      <c r="E26" s="289"/>
      <c r="F26" s="289"/>
      <c r="G26" s="289"/>
      <c r="H26" s="289"/>
      <c r="O26" s="289"/>
      <c r="Q26" s="289"/>
      <c r="R26" s="292"/>
      <c r="U26" s="289"/>
      <c r="V26" s="331">
        <f>'Fuel Sheet'!K38</f>
        <v>0</v>
      </c>
      <c r="Y26" s="289"/>
      <c r="Z26" s="289"/>
      <c r="AA26" s="331">
        <f>'Fuel Sheet'!O57</f>
        <v>0</v>
      </c>
      <c r="AB26" s="331">
        <f>'Fuel Sheet'!P57</f>
        <v>0</v>
      </c>
      <c r="AC26" s="289"/>
      <c r="AD26" s="289"/>
      <c r="AE26" s="289"/>
      <c r="AF26" s="289"/>
      <c r="AG26" s="289"/>
      <c r="AH26" s="289"/>
    </row>
    <row r="27" spans="1:34" ht="15" customHeight="1" x14ac:dyDescent="0.25">
      <c r="A27" s="429" t="s">
        <v>184</v>
      </c>
      <c r="B27" s="331">
        <f>'Fuel Sheet'!K11</f>
        <v>0</v>
      </c>
      <c r="C27" s="429" t="s">
        <v>185</v>
      </c>
      <c r="D27" s="331">
        <f>'Fuel Sheet'!K17</f>
        <v>0</v>
      </c>
      <c r="E27" s="423" t="s">
        <v>186</v>
      </c>
      <c r="F27" s="331">
        <f>'Fuel Sheet'!K25</f>
        <v>0</v>
      </c>
      <c r="G27" s="423" t="s">
        <v>179</v>
      </c>
      <c r="H27" s="307">
        <f>'Fuel Sheet'!O23</f>
        <v>0</v>
      </c>
      <c r="I27" s="428" t="s">
        <v>180</v>
      </c>
      <c r="J27" s="307">
        <f>'Fuel Sheet'!O29</f>
        <v>0</v>
      </c>
      <c r="K27" s="422" t="s">
        <v>181</v>
      </c>
      <c r="L27" s="307">
        <f>'Fuel Sheet'!O37</f>
        <v>0</v>
      </c>
      <c r="M27" s="424" t="s">
        <v>187</v>
      </c>
      <c r="N27" s="331">
        <f>'Fuel Sheet'!K42</f>
        <v>0</v>
      </c>
      <c r="O27" s="424" t="s">
        <v>188</v>
      </c>
      <c r="P27" s="331">
        <f>'Fuel Sheet'!O45</f>
        <v>0</v>
      </c>
      <c r="Q27" s="304" t="s">
        <v>183</v>
      </c>
      <c r="R27" s="307">
        <f>'Fuel Sheet'!K59</f>
        <v>0</v>
      </c>
      <c r="T27" s="199"/>
      <c r="U27" s="292"/>
      <c r="X27" s="289"/>
      <c r="Y27" s="289"/>
      <c r="Z27" s="289"/>
      <c r="AA27" s="332">
        <f>'Fuel Sheet'!O58</f>
        <v>0</v>
      </c>
      <c r="AB27" s="332">
        <f>'Fuel Sheet'!P58</f>
        <v>0</v>
      </c>
      <c r="AC27" s="289"/>
      <c r="AD27" s="289"/>
      <c r="AE27" s="289"/>
      <c r="AF27" s="289"/>
      <c r="AG27" s="289"/>
      <c r="AH27" s="289"/>
    </row>
    <row r="28" spans="1:34" ht="15" customHeight="1" x14ac:dyDescent="0.25">
      <c r="A28" s="429"/>
      <c r="B28" s="331">
        <f>'Fuel Sheet'!K12</f>
        <v>0</v>
      </c>
      <c r="C28" s="429"/>
      <c r="D28" s="331">
        <f>'Fuel Sheet'!K18</f>
        <v>0</v>
      </c>
      <c r="E28" s="423"/>
      <c r="F28" s="331">
        <f>'Fuel Sheet'!K26</f>
        <v>0</v>
      </c>
      <c r="G28" s="423"/>
      <c r="H28" s="307">
        <f>'Fuel Sheet'!O24</f>
        <v>0</v>
      </c>
      <c r="I28" s="428"/>
      <c r="J28" s="307">
        <f>'Fuel Sheet'!O30</f>
        <v>0</v>
      </c>
      <c r="K28" s="422"/>
      <c r="L28" s="307">
        <f>'Fuel Sheet'!O38</f>
        <v>0</v>
      </c>
      <c r="M28" s="424"/>
      <c r="N28" s="331">
        <f>'Fuel Sheet'!K43</f>
        <v>0</v>
      </c>
      <c r="O28" s="424"/>
      <c r="P28" s="331">
        <f>'Fuel Sheet'!O46</f>
        <v>0</v>
      </c>
      <c r="Q28" s="289"/>
      <c r="R28" s="307">
        <f>'Fuel Sheet'!K60</f>
        <v>0</v>
      </c>
      <c r="T28" s="199"/>
      <c r="U28" s="292"/>
      <c r="X28" s="289"/>
      <c r="Y28" s="289"/>
      <c r="Z28" s="289"/>
      <c r="AA28" s="332">
        <f>'Fuel Sheet'!O59</f>
        <v>0</v>
      </c>
      <c r="AB28" s="332">
        <f>'Fuel Sheet'!P59</f>
        <v>0</v>
      </c>
      <c r="AC28" s="289"/>
      <c r="AD28" s="289"/>
      <c r="AE28" s="289"/>
      <c r="AF28" s="289"/>
      <c r="AG28" s="289"/>
      <c r="AH28" s="289"/>
    </row>
    <row r="29" spans="1:34" ht="15" x14ac:dyDescent="0.25">
      <c r="A29" s="429"/>
      <c r="B29" s="331">
        <f>'Fuel Sheet'!K13</f>
        <v>0</v>
      </c>
      <c r="C29" s="429"/>
      <c r="D29" s="331">
        <f>'Fuel Sheet'!K19</f>
        <v>0</v>
      </c>
      <c r="E29" s="423"/>
      <c r="F29" s="331">
        <f>'Fuel Sheet'!K27</f>
        <v>0</v>
      </c>
      <c r="G29" s="289"/>
      <c r="H29" s="307">
        <f>'Fuel Sheet'!O25</f>
        <v>0</v>
      </c>
      <c r="I29" s="428"/>
      <c r="J29" s="307">
        <f>'Fuel Sheet'!O31</f>
        <v>0</v>
      </c>
      <c r="K29" s="289"/>
      <c r="L29" s="307">
        <f>'Fuel Sheet'!O39</f>
        <v>0</v>
      </c>
      <c r="M29" s="424"/>
      <c r="N29" s="331">
        <f>'Fuel Sheet'!K44</f>
        <v>0</v>
      </c>
      <c r="O29" s="424"/>
      <c r="P29" s="331">
        <f>'Fuel Sheet'!O47</f>
        <v>0</v>
      </c>
      <c r="Q29" s="289"/>
      <c r="R29" s="307">
        <f>'Fuel Sheet'!K61</f>
        <v>0</v>
      </c>
      <c r="T29" s="199"/>
      <c r="U29" s="292"/>
      <c r="X29" s="289"/>
      <c r="Y29" s="289"/>
      <c r="Z29" s="289"/>
      <c r="AA29" s="332">
        <f>'Fuel Sheet'!O60</f>
        <v>0</v>
      </c>
      <c r="AB29" s="332">
        <f>'Fuel Sheet'!P60</f>
        <v>0</v>
      </c>
      <c r="AC29" s="289"/>
      <c r="AD29" s="289"/>
      <c r="AE29" s="289"/>
      <c r="AF29" s="289"/>
      <c r="AG29" s="289"/>
      <c r="AH29" s="289"/>
    </row>
    <row r="30" spans="1:34" ht="15" x14ac:dyDescent="0.25">
      <c r="C30" s="289"/>
      <c r="D30" s="331">
        <f>'Fuel Sheet'!K20</f>
        <v>0</v>
      </c>
      <c r="E30" s="289"/>
      <c r="F30" s="332">
        <f>'Fuel Sheet'!K28</f>
        <v>0</v>
      </c>
      <c r="I30" s="289"/>
      <c r="J30" s="307">
        <f>'Fuel Sheet'!O32</f>
        <v>0</v>
      </c>
      <c r="K30" s="289"/>
      <c r="L30" s="307">
        <f>'Fuel Sheet'!O40</f>
        <v>0</v>
      </c>
      <c r="M30" s="289"/>
      <c r="N30" s="289"/>
      <c r="P30" s="332">
        <f>'Fuel Sheet'!O48</f>
        <v>0</v>
      </c>
      <c r="Q30" s="289"/>
      <c r="R30" s="307">
        <f>'Fuel Sheet'!K62</f>
        <v>0</v>
      </c>
      <c r="U30" s="289"/>
      <c r="X30" s="289"/>
      <c r="Y30" s="289"/>
      <c r="Z30" s="289"/>
      <c r="AA30" s="331">
        <f>'Fuel Sheet'!O61</f>
        <v>0</v>
      </c>
      <c r="AB30" s="331">
        <f>'Fuel Sheet'!P61</f>
        <v>0</v>
      </c>
      <c r="AC30" s="289"/>
      <c r="AD30" s="289"/>
      <c r="AE30" s="289"/>
      <c r="AF30" s="289"/>
      <c r="AG30" s="289"/>
      <c r="AH30" s="289"/>
    </row>
    <row r="31" spans="1:34" ht="15" x14ac:dyDescent="0.25">
      <c r="C31" s="289"/>
      <c r="D31" s="331">
        <f>'Fuel Sheet'!K21</f>
        <v>0</v>
      </c>
      <c r="E31" s="289"/>
      <c r="F31" s="332">
        <f>'Fuel Sheet'!K29</f>
        <v>0</v>
      </c>
      <c r="I31" s="289"/>
      <c r="J31" s="307">
        <f>'Fuel Sheet'!O33</f>
        <v>0</v>
      </c>
      <c r="K31" s="289"/>
      <c r="L31" s="307">
        <f>'Fuel Sheet'!O41</f>
        <v>0</v>
      </c>
      <c r="M31" s="289"/>
      <c r="N31" s="289"/>
      <c r="P31" s="332">
        <f>'Fuel Sheet'!O49</f>
        <v>0</v>
      </c>
      <c r="S31" s="289"/>
      <c r="T31" s="289"/>
      <c r="U31" s="289"/>
      <c r="V31" s="289"/>
      <c r="W31" s="289"/>
      <c r="X31" s="289"/>
      <c r="Y31" s="289"/>
      <c r="Z31" s="289"/>
      <c r="AA31" s="289"/>
      <c r="AB31" s="289"/>
      <c r="AC31" s="289"/>
      <c r="AD31" s="289"/>
    </row>
    <row r="32" spans="1:34" ht="15" x14ac:dyDescent="0.25">
      <c r="C32" s="289"/>
      <c r="D32" s="289"/>
      <c r="E32" s="289"/>
      <c r="F32" s="289"/>
      <c r="G32" s="289"/>
      <c r="H32" s="289"/>
      <c r="I32" s="289"/>
      <c r="L32" s="289"/>
      <c r="M32" s="289"/>
      <c r="N32" s="289"/>
      <c r="O32" s="289"/>
      <c r="P32" s="331">
        <f>'Fuel Sheet'!O50</f>
        <v>0</v>
      </c>
      <c r="Q32" s="289"/>
      <c r="R32" s="289"/>
      <c r="S32" s="289"/>
      <c r="T32" s="289"/>
      <c r="U32" s="289"/>
      <c r="V32" s="289"/>
      <c r="W32" s="289"/>
      <c r="X32" s="289"/>
      <c r="Y32" s="289"/>
      <c r="Z32" s="289"/>
      <c r="AA32" s="289"/>
      <c r="AB32" s="289"/>
      <c r="AC32" s="289"/>
      <c r="AD32" s="289"/>
    </row>
    <row r="33" spans="1:30" ht="15" x14ac:dyDescent="0.25">
      <c r="A33" s="289"/>
      <c r="B33" s="289"/>
      <c r="C33" s="289"/>
      <c r="D33" s="289"/>
      <c r="E33" s="289"/>
      <c r="F33" s="289"/>
      <c r="G33" s="289"/>
      <c r="H33" s="289"/>
      <c r="I33" s="289"/>
      <c r="J33" s="289"/>
      <c r="K33" s="289"/>
      <c r="L33" s="289"/>
      <c r="M33" s="289"/>
      <c r="N33" s="289"/>
      <c r="O33" s="289"/>
      <c r="P33" s="289"/>
      <c r="Q33" s="289"/>
      <c r="R33" s="289"/>
      <c r="S33" s="289"/>
      <c r="T33" s="289"/>
      <c r="U33" s="289"/>
      <c r="V33" s="289"/>
      <c r="W33" s="289"/>
      <c r="X33" s="289"/>
      <c r="Y33" s="289"/>
      <c r="Z33" s="289"/>
      <c r="AA33" s="289"/>
      <c r="AB33" s="289"/>
      <c r="AC33" s="289"/>
      <c r="AD33" s="289"/>
    </row>
    <row r="34" spans="1:30" ht="15" x14ac:dyDescent="0.25">
      <c r="A34" s="289"/>
      <c r="B34" s="289"/>
      <c r="C34" s="289"/>
      <c r="D34" s="289"/>
      <c r="E34" s="289"/>
      <c r="F34" s="289"/>
      <c r="G34" s="289"/>
      <c r="H34" s="289"/>
      <c r="I34" s="289"/>
      <c r="J34" s="289"/>
      <c r="K34" s="289"/>
      <c r="L34" s="289"/>
      <c r="M34" s="289"/>
      <c r="N34" s="289"/>
      <c r="O34" s="289"/>
      <c r="P34" s="289"/>
      <c r="Q34" s="289"/>
      <c r="R34" s="289"/>
      <c r="S34" s="289"/>
      <c r="T34" s="289"/>
      <c r="U34" s="289"/>
      <c r="V34" s="289"/>
      <c r="W34" s="289"/>
      <c r="X34" s="289"/>
      <c r="Y34" s="289"/>
      <c r="Z34" s="289"/>
      <c r="AA34" s="289"/>
      <c r="AB34" s="289"/>
      <c r="AC34" s="289"/>
      <c r="AD34" s="289"/>
    </row>
    <row r="35" spans="1:30" ht="15" x14ac:dyDescent="0.25">
      <c r="A35" s="289"/>
      <c r="B35" s="289"/>
      <c r="C35" s="289"/>
      <c r="D35" s="289"/>
      <c r="E35" s="289"/>
      <c r="F35" s="289"/>
      <c r="G35" s="289"/>
      <c r="H35" s="289"/>
      <c r="I35" s="289"/>
      <c r="J35" s="289"/>
      <c r="K35" s="289"/>
      <c r="L35" s="289"/>
      <c r="M35" s="289"/>
      <c r="N35" s="289"/>
      <c r="Q35" s="289"/>
      <c r="T35" s="289"/>
      <c r="U35" s="289"/>
      <c r="X35" s="289"/>
      <c r="Y35" s="289"/>
      <c r="Z35" s="289"/>
      <c r="AA35" s="289"/>
      <c r="AB35" s="289"/>
      <c r="AC35" s="289"/>
      <c r="AD35" s="289"/>
    </row>
    <row r="36" spans="1:30" ht="15" x14ac:dyDescent="0.25">
      <c r="A36" s="289"/>
      <c r="B36" s="289"/>
      <c r="C36" s="289"/>
      <c r="D36" s="289"/>
      <c r="E36" s="289"/>
      <c r="F36" s="289"/>
      <c r="G36" s="289"/>
      <c r="H36" s="289"/>
      <c r="I36" s="289"/>
      <c r="J36" s="289"/>
      <c r="M36" s="289"/>
      <c r="N36" s="289"/>
      <c r="Q36" s="289"/>
      <c r="T36" s="289"/>
      <c r="U36" s="289"/>
      <c r="X36" s="289"/>
      <c r="Y36" s="289"/>
      <c r="Z36" s="289"/>
      <c r="AA36" s="289"/>
      <c r="AB36" s="289"/>
      <c r="AC36" s="289"/>
      <c r="AD36" s="289"/>
    </row>
    <row r="37" spans="1:30" ht="15" x14ac:dyDescent="0.25">
      <c r="A37" s="289"/>
      <c r="B37" s="289"/>
      <c r="C37" s="289"/>
      <c r="D37" s="289"/>
      <c r="E37" s="289"/>
      <c r="F37" s="289"/>
      <c r="G37" s="289"/>
      <c r="H37" s="289"/>
      <c r="I37" s="289"/>
      <c r="J37" s="289"/>
      <c r="M37" s="289"/>
      <c r="N37" s="289"/>
      <c r="Q37" s="289"/>
      <c r="T37" s="289"/>
      <c r="U37" s="289"/>
      <c r="X37" s="289"/>
      <c r="Y37" s="289"/>
      <c r="Z37" s="289"/>
      <c r="AA37" s="289"/>
      <c r="AB37" s="289"/>
      <c r="AC37" s="289"/>
      <c r="AD37" s="289"/>
    </row>
    <row r="38" spans="1:30" ht="15" x14ac:dyDescent="0.25">
      <c r="B38" s="289"/>
      <c r="C38" s="289"/>
      <c r="D38" s="289"/>
      <c r="E38" s="289"/>
      <c r="F38" s="289"/>
      <c r="G38" s="289"/>
      <c r="H38" s="289"/>
      <c r="I38" s="289"/>
      <c r="J38" s="289"/>
      <c r="M38" s="289"/>
      <c r="N38" s="289"/>
      <c r="Q38" s="289"/>
      <c r="T38" s="289"/>
      <c r="U38" s="289"/>
      <c r="V38" s="289"/>
      <c r="W38" s="289"/>
      <c r="X38" s="289"/>
      <c r="Y38" s="289"/>
      <c r="Z38" s="289"/>
      <c r="AA38" s="289"/>
      <c r="AB38" s="289"/>
      <c r="AC38" s="289"/>
      <c r="AD38" s="289"/>
    </row>
    <row r="39" spans="1:30" ht="15" x14ac:dyDescent="0.25">
      <c r="B39" s="289"/>
      <c r="C39" s="289"/>
      <c r="D39" s="289"/>
      <c r="E39" s="289"/>
      <c r="F39" s="289"/>
      <c r="G39" s="289"/>
      <c r="H39" s="289"/>
      <c r="I39" s="289"/>
      <c r="J39" s="289"/>
      <c r="K39" s="289"/>
      <c r="L39" s="289"/>
      <c r="M39" s="289"/>
      <c r="N39" s="289"/>
      <c r="Q39" s="289"/>
      <c r="T39" s="289"/>
      <c r="U39" s="289"/>
      <c r="V39" s="289"/>
      <c r="W39" s="289"/>
      <c r="X39" s="289"/>
      <c r="Y39" s="289"/>
      <c r="Z39" s="289"/>
      <c r="AA39" s="289"/>
      <c r="AB39" s="289"/>
      <c r="AC39" s="289"/>
      <c r="AD39" s="289"/>
    </row>
    <row r="40" spans="1:30" ht="15" x14ac:dyDescent="0.25">
      <c r="B40" s="289"/>
      <c r="C40" s="289"/>
      <c r="D40" s="289"/>
      <c r="E40" s="289"/>
      <c r="F40" s="289"/>
      <c r="G40" s="289"/>
      <c r="H40" s="289"/>
      <c r="I40" s="289"/>
      <c r="J40" s="289"/>
      <c r="K40" s="289"/>
      <c r="L40" s="289"/>
      <c r="M40" s="289"/>
      <c r="N40" s="289"/>
      <c r="O40" s="289"/>
      <c r="P40" s="289"/>
      <c r="Q40" s="289"/>
      <c r="R40" s="289"/>
      <c r="S40" s="289"/>
      <c r="T40" s="289"/>
      <c r="U40" s="289"/>
      <c r="V40" s="289"/>
      <c r="W40" s="289"/>
      <c r="X40" s="289"/>
      <c r="Y40" s="289"/>
      <c r="Z40" s="289"/>
      <c r="AA40" s="289"/>
      <c r="AB40" s="289"/>
      <c r="AC40" s="289"/>
      <c r="AD40" s="289"/>
    </row>
    <row r="41" spans="1:30" ht="15" x14ac:dyDescent="0.25">
      <c r="B41" s="289"/>
      <c r="C41" s="289"/>
      <c r="D41" s="289"/>
      <c r="E41" s="289"/>
      <c r="F41" s="289"/>
      <c r="G41" s="289"/>
      <c r="H41" s="289"/>
      <c r="I41" s="289"/>
      <c r="J41" s="289"/>
      <c r="K41" s="289"/>
      <c r="L41" s="289"/>
      <c r="M41" s="289"/>
      <c r="N41" s="289"/>
      <c r="O41" s="289"/>
      <c r="P41" s="289"/>
      <c r="Q41" s="289"/>
      <c r="R41" s="289"/>
      <c r="S41" s="289"/>
      <c r="T41" s="289"/>
      <c r="U41" s="289"/>
      <c r="V41" s="289"/>
      <c r="W41" s="289"/>
      <c r="X41" s="289"/>
      <c r="Y41" s="289"/>
      <c r="Z41" s="289"/>
      <c r="AA41" s="289"/>
      <c r="AB41" s="289"/>
      <c r="AC41" s="289"/>
      <c r="AD41" s="289"/>
    </row>
    <row r="42" spans="1:30" ht="15" x14ac:dyDescent="0.25">
      <c r="B42" s="289"/>
      <c r="C42" s="289"/>
      <c r="D42" s="289"/>
      <c r="E42" s="289"/>
      <c r="F42" s="289"/>
      <c r="G42" s="289"/>
      <c r="H42" s="289"/>
      <c r="I42" s="289"/>
      <c r="J42" s="289"/>
      <c r="K42" s="289"/>
      <c r="L42" s="289"/>
      <c r="M42" s="289"/>
      <c r="N42" s="289"/>
      <c r="O42" s="289"/>
      <c r="P42" s="289"/>
      <c r="Q42" s="289"/>
      <c r="R42" s="289"/>
      <c r="S42" s="289"/>
      <c r="T42" s="289"/>
      <c r="U42" s="289"/>
      <c r="V42" s="289"/>
      <c r="W42" s="289"/>
      <c r="X42" s="289"/>
      <c r="Y42" s="289"/>
      <c r="Z42" s="289"/>
      <c r="AA42" s="289"/>
      <c r="AB42" s="289"/>
      <c r="AC42" s="289"/>
      <c r="AD42" s="289"/>
    </row>
    <row r="43" spans="1:30" ht="15" x14ac:dyDescent="0.25">
      <c r="B43" s="289"/>
      <c r="C43" s="289"/>
      <c r="D43" s="289"/>
      <c r="E43" s="289"/>
      <c r="F43" s="289"/>
      <c r="G43" s="289"/>
      <c r="H43" s="289"/>
      <c r="I43" s="289"/>
      <c r="J43" s="289"/>
      <c r="K43" s="289"/>
      <c r="L43" s="289"/>
      <c r="M43" s="289"/>
      <c r="N43" s="289"/>
      <c r="O43" s="289"/>
      <c r="P43" s="289"/>
      <c r="Q43" s="289"/>
      <c r="R43" s="289"/>
      <c r="S43" s="289"/>
      <c r="T43" s="289"/>
      <c r="U43" s="289"/>
      <c r="V43" s="289"/>
      <c r="W43" s="289"/>
      <c r="X43" s="289"/>
      <c r="Y43" s="289"/>
      <c r="Z43" s="289"/>
      <c r="AA43" s="289"/>
      <c r="AB43" s="289"/>
      <c r="AC43" s="289"/>
      <c r="AD43" s="289"/>
    </row>
    <row r="44" spans="1:30" ht="15" x14ac:dyDescent="0.25">
      <c r="B44" s="289"/>
      <c r="C44" s="289"/>
      <c r="D44" s="289"/>
      <c r="E44" s="289"/>
      <c r="F44" s="289"/>
      <c r="G44" s="289"/>
      <c r="H44" s="289"/>
      <c r="I44" s="289"/>
      <c r="J44" s="289"/>
      <c r="K44" s="289"/>
      <c r="L44" s="289"/>
      <c r="M44" s="289"/>
      <c r="N44" s="289"/>
      <c r="O44" s="289"/>
      <c r="P44" s="289"/>
      <c r="Q44" s="289"/>
      <c r="R44" s="289"/>
      <c r="S44" s="289"/>
      <c r="T44" s="289"/>
      <c r="U44" s="289"/>
      <c r="V44" s="289"/>
      <c r="W44" s="289"/>
      <c r="X44" s="289"/>
      <c r="Y44" s="289"/>
      <c r="Z44" s="289"/>
      <c r="AA44" s="289"/>
      <c r="AB44" s="289"/>
      <c r="AC44" s="289"/>
      <c r="AD44" s="289"/>
    </row>
  </sheetData>
  <mergeCells count="37">
    <mergeCell ref="Q4:Q5"/>
    <mergeCell ref="Q7:Q8"/>
    <mergeCell ref="R7:R8"/>
    <mergeCell ref="S7:S8"/>
    <mergeCell ref="T7:T8"/>
    <mergeCell ref="U4:U5"/>
    <mergeCell ref="U7:U8"/>
    <mergeCell ref="T4:T5"/>
    <mergeCell ref="S4:S5"/>
    <mergeCell ref="R4:R5"/>
    <mergeCell ref="O4:O5"/>
    <mergeCell ref="N4:N5"/>
    <mergeCell ref="M4:M5"/>
    <mergeCell ref="L4:L5"/>
    <mergeCell ref="K4:K5"/>
    <mergeCell ref="A27:A29"/>
    <mergeCell ref="C27:C29"/>
    <mergeCell ref="B13:H13"/>
    <mergeCell ref="V14:V15"/>
    <mergeCell ref="V17:V19"/>
    <mergeCell ref="I21:I22"/>
    <mergeCell ref="AA21:AB21"/>
    <mergeCell ref="E27:E29"/>
    <mergeCell ref="M27:M29"/>
    <mergeCell ref="O27:O29"/>
    <mergeCell ref="B1:E1"/>
    <mergeCell ref="I24:I25"/>
    <mergeCell ref="G27:G28"/>
    <mergeCell ref="I27:I29"/>
    <mergeCell ref="K27:K28"/>
    <mergeCell ref="K7:K8"/>
    <mergeCell ref="L7:L8"/>
    <mergeCell ref="M7:M8"/>
    <mergeCell ref="N7:N8"/>
    <mergeCell ref="O7:O8"/>
    <mergeCell ref="P7:P8"/>
    <mergeCell ref="P4:P5"/>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F0"/>
    <pageSetUpPr fitToPage="1"/>
  </sheetPr>
  <dimension ref="A1:L27"/>
  <sheetViews>
    <sheetView workbookViewId="0">
      <selection activeCell="M12" sqref="M12"/>
    </sheetView>
  </sheetViews>
  <sheetFormatPr defaultRowHeight="12.75" x14ac:dyDescent="0.2"/>
  <cols>
    <col min="1" max="10" width="12.7109375" customWidth="1"/>
  </cols>
  <sheetData>
    <row r="1" spans="1:12" x14ac:dyDescent="0.2">
      <c r="A1" s="89">
        <v>3283</v>
      </c>
      <c r="B1" s="90">
        <v>7103</v>
      </c>
      <c r="C1" s="90">
        <v>7152</v>
      </c>
      <c r="D1" s="90">
        <v>7237</v>
      </c>
      <c r="E1" s="93">
        <v>7392</v>
      </c>
      <c r="F1" s="90">
        <v>8053</v>
      </c>
      <c r="G1" s="92">
        <v>8081</v>
      </c>
      <c r="H1" s="92">
        <v>9201</v>
      </c>
      <c r="I1" s="90">
        <v>9250</v>
      </c>
      <c r="J1" s="97">
        <v>9276</v>
      </c>
    </row>
    <row r="2" spans="1:12" x14ac:dyDescent="0.2">
      <c r="A2" s="89">
        <v>3284</v>
      </c>
      <c r="B2" s="90">
        <v>7104</v>
      </c>
      <c r="C2" s="91">
        <v>7155</v>
      </c>
      <c r="D2" s="90">
        <v>7238</v>
      </c>
      <c r="E2" s="90">
        <v>7393</v>
      </c>
      <c r="F2" s="89">
        <v>8055</v>
      </c>
      <c r="G2" s="91">
        <v>8082</v>
      </c>
      <c r="H2" s="91">
        <v>9203</v>
      </c>
      <c r="I2" s="90">
        <v>9251</v>
      </c>
      <c r="J2" s="98">
        <v>9277</v>
      </c>
    </row>
    <row r="3" spans="1:12" x14ac:dyDescent="0.2">
      <c r="A3" s="89">
        <v>3285</v>
      </c>
      <c r="B3" s="90">
        <v>7108</v>
      </c>
      <c r="C3" s="92">
        <v>7156</v>
      </c>
      <c r="D3" s="91">
        <v>7239</v>
      </c>
      <c r="E3" s="90">
        <v>7394</v>
      </c>
      <c r="F3" s="4">
        <v>8056</v>
      </c>
      <c r="G3" s="92">
        <v>8083</v>
      </c>
      <c r="H3" s="91">
        <v>9205</v>
      </c>
      <c r="I3" s="90">
        <v>9252</v>
      </c>
      <c r="J3" s="98">
        <v>9278</v>
      </c>
    </row>
    <row r="4" spans="1:12" x14ac:dyDescent="0.2">
      <c r="A4" s="89">
        <v>3286</v>
      </c>
      <c r="B4" s="90">
        <v>7109</v>
      </c>
      <c r="C4" s="90">
        <v>7157</v>
      </c>
      <c r="D4" s="91">
        <v>7240</v>
      </c>
      <c r="E4" s="93">
        <v>7396</v>
      </c>
      <c r="F4" s="90">
        <v>8057</v>
      </c>
      <c r="G4" s="91">
        <v>8089</v>
      </c>
      <c r="H4" s="91">
        <v>9206</v>
      </c>
      <c r="I4" s="90">
        <v>9253</v>
      </c>
      <c r="J4" s="98">
        <v>9279</v>
      </c>
    </row>
    <row r="5" spans="1:12" x14ac:dyDescent="0.2">
      <c r="A5" s="89">
        <v>3287</v>
      </c>
      <c r="B5" s="89">
        <v>7111</v>
      </c>
      <c r="C5" s="92">
        <v>7158</v>
      </c>
      <c r="D5" s="91">
        <v>7241</v>
      </c>
      <c r="E5" s="90">
        <v>7397</v>
      </c>
      <c r="F5" s="90">
        <v>8058</v>
      </c>
      <c r="G5" s="91">
        <v>8093</v>
      </c>
      <c r="H5" s="91">
        <v>9207</v>
      </c>
      <c r="I5" s="90">
        <v>9254</v>
      </c>
      <c r="J5" s="98">
        <v>9280</v>
      </c>
    </row>
    <row r="6" spans="1:12" x14ac:dyDescent="0.2">
      <c r="A6" s="90">
        <v>3289</v>
      </c>
      <c r="B6" s="89">
        <v>7112</v>
      </c>
      <c r="C6" s="91">
        <v>7160</v>
      </c>
      <c r="D6" s="91">
        <v>7243</v>
      </c>
      <c r="E6" s="90">
        <v>7398</v>
      </c>
      <c r="F6" s="90">
        <v>8059</v>
      </c>
      <c r="G6" s="91">
        <v>8101</v>
      </c>
      <c r="H6" s="92">
        <v>9211</v>
      </c>
      <c r="I6" s="90">
        <v>9255</v>
      </c>
      <c r="J6" s="98">
        <v>9281</v>
      </c>
    </row>
    <row r="7" spans="1:12" x14ac:dyDescent="0.2">
      <c r="A7" s="90">
        <v>3290</v>
      </c>
      <c r="B7" s="90">
        <v>7113</v>
      </c>
      <c r="C7" s="91">
        <v>7161</v>
      </c>
      <c r="D7" s="91">
        <v>7247</v>
      </c>
      <c r="E7" s="90">
        <v>7399</v>
      </c>
      <c r="F7" s="89">
        <v>8060</v>
      </c>
      <c r="H7" s="91">
        <v>9212</v>
      </c>
      <c r="I7" s="89">
        <v>9256</v>
      </c>
      <c r="J7" s="98">
        <v>9282</v>
      </c>
    </row>
    <row r="8" spans="1:12" x14ac:dyDescent="0.2">
      <c r="A8" s="90">
        <v>3291</v>
      </c>
      <c r="B8" s="90">
        <v>7115</v>
      </c>
      <c r="C8" s="91">
        <v>7162</v>
      </c>
      <c r="D8" s="92">
        <v>7248</v>
      </c>
      <c r="F8" s="90">
        <v>8061</v>
      </c>
      <c r="H8" s="91">
        <v>9213</v>
      </c>
      <c r="I8" s="89">
        <v>9257</v>
      </c>
      <c r="J8" s="98">
        <v>9283</v>
      </c>
    </row>
    <row r="9" spans="1:12" x14ac:dyDescent="0.2">
      <c r="A9" s="91">
        <v>3293</v>
      </c>
      <c r="B9" s="90">
        <v>7117</v>
      </c>
      <c r="C9" s="91">
        <v>7165</v>
      </c>
      <c r="D9" s="91">
        <v>7249</v>
      </c>
      <c r="F9" s="90">
        <v>8062</v>
      </c>
      <c r="H9" s="91">
        <v>9214</v>
      </c>
      <c r="I9" s="89">
        <v>9259</v>
      </c>
      <c r="J9" s="98">
        <v>9284</v>
      </c>
    </row>
    <row r="10" spans="1:12" x14ac:dyDescent="0.2">
      <c r="A10" s="90">
        <v>3294</v>
      </c>
      <c r="B10" s="90">
        <v>7119</v>
      </c>
      <c r="C10" s="91">
        <v>7166</v>
      </c>
      <c r="D10" s="91">
        <v>7250</v>
      </c>
      <c r="F10" s="90">
        <v>8063</v>
      </c>
      <c r="H10" s="91">
        <v>9215</v>
      </c>
      <c r="I10" s="89">
        <v>9260</v>
      </c>
      <c r="J10" s="98">
        <v>9285</v>
      </c>
    </row>
    <row r="11" spans="1:12" x14ac:dyDescent="0.2">
      <c r="A11" s="89">
        <v>3295</v>
      </c>
      <c r="B11" s="90">
        <v>7121</v>
      </c>
      <c r="C11" s="90">
        <v>7167</v>
      </c>
      <c r="D11" s="91">
        <v>7251</v>
      </c>
      <c r="F11" s="90">
        <v>8064</v>
      </c>
      <c r="H11" s="92">
        <v>9216</v>
      </c>
      <c r="I11" s="89">
        <v>9261</v>
      </c>
    </row>
    <row r="12" spans="1:12" x14ac:dyDescent="0.2">
      <c r="A12" s="90">
        <v>3296</v>
      </c>
      <c r="B12" s="90">
        <v>7123</v>
      </c>
      <c r="C12" s="90">
        <v>7205</v>
      </c>
      <c r="D12" s="91">
        <v>7252</v>
      </c>
      <c r="F12" s="90">
        <v>8065</v>
      </c>
      <c r="H12" s="91">
        <v>9236</v>
      </c>
      <c r="I12" s="89">
        <v>9263</v>
      </c>
    </row>
    <row r="13" spans="1:12" x14ac:dyDescent="0.2">
      <c r="A13" s="90">
        <v>3297</v>
      </c>
      <c r="B13" s="90">
        <v>7124</v>
      </c>
      <c r="C13" s="90">
        <v>7220</v>
      </c>
      <c r="D13" s="91">
        <v>7253</v>
      </c>
      <c r="F13" s="90">
        <v>8066</v>
      </c>
      <c r="H13" s="91">
        <v>9237</v>
      </c>
      <c r="I13" s="89">
        <v>9264</v>
      </c>
    </row>
    <row r="14" spans="1:12" x14ac:dyDescent="0.2">
      <c r="A14" s="90">
        <v>3298</v>
      </c>
      <c r="B14" s="90">
        <v>7125</v>
      </c>
      <c r="C14" s="91">
        <v>7221</v>
      </c>
      <c r="D14" s="92">
        <v>7254</v>
      </c>
      <c r="F14" s="90">
        <v>8067</v>
      </c>
      <c r="H14" s="92">
        <v>9238</v>
      </c>
      <c r="I14" s="89">
        <v>9265</v>
      </c>
    </row>
    <row r="15" spans="1:12" x14ac:dyDescent="0.2">
      <c r="A15" s="90">
        <v>3299</v>
      </c>
      <c r="B15" s="90">
        <v>7127</v>
      </c>
      <c r="C15" s="91">
        <v>7222</v>
      </c>
      <c r="D15" s="91">
        <v>7255</v>
      </c>
      <c r="F15" s="90">
        <v>8068</v>
      </c>
      <c r="H15" s="91">
        <v>9239</v>
      </c>
      <c r="I15" s="89">
        <v>9266</v>
      </c>
    </row>
    <row r="16" spans="1:12" x14ac:dyDescent="0.2">
      <c r="A16" s="90">
        <v>3301</v>
      </c>
      <c r="B16" s="90">
        <v>7129</v>
      </c>
      <c r="C16" s="90">
        <v>7224</v>
      </c>
      <c r="D16" s="91">
        <v>7256</v>
      </c>
      <c r="F16" s="90">
        <v>8069</v>
      </c>
      <c r="H16" s="91">
        <v>9240</v>
      </c>
      <c r="I16" s="89">
        <v>9267</v>
      </c>
    </row>
    <row r="17" spans="1:9" x14ac:dyDescent="0.2">
      <c r="A17" s="89">
        <v>3303</v>
      </c>
      <c r="B17" s="89">
        <v>7133</v>
      </c>
      <c r="C17" s="90">
        <v>7225</v>
      </c>
      <c r="D17" s="91">
        <v>7257</v>
      </c>
      <c r="F17" s="90">
        <v>8070</v>
      </c>
      <c r="H17" s="91">
        <v>9241</v>
      </c>
      <c r="I17" s="89">
        <v>9268</v>
      </c>
    </row>
    <row r="18" spans="1:9" x14ac:dyDescent="0.2">
      <c r="A18" s="90">
        <v>3304</v>
      </c>
      <c r="B18" s="89">
        <v>7134</v>
      </c>
      <c r="C18" s="90">
        <v>7226</v>
      </c>
      <c r="D18" s="91">
        <v>7258</v>
      </c>
      <c r="F18" s="90">
        <v>8071</v>
      </c>
      <c r="H18" s="91">
        <v>9242</v>
      </c>
      <c r="I18" s="95">
        <v>9269</v>
      </c>
    </row>
    <row r="19" spans="1:9" x14ac:dyDescent="0.2">
      <c r="A19" s="90">
        <v>3305</v>
      </c>
      <c r="B19" s="90">
        <v>7137</v>
      </c>
      <c r="C19" s="90">
        <v>7227</v>
      </c>
      <c r="D19" s="91">
        <v>7259</v>
      </c>
      <c r="F19" s="90">
        <v>8072</v>
      </c>
      <c r="H19" s="91">
        <v>9243</v>
      </c>
      <c r="I19" s="95">
        <v>9270</v>
      </c>
    </row>
    <row r="20" spans="1:9" x14ac:dyDescent="0.2">
      <c r="B20" s="90">
        <v>7138</v>
      </c>
      <c r="C20" s="91">
        <v>7228</v>
      </c>
      <c r="D20" s="93">
        <v>7260</v>
      </c>
      <c r="F20" s="90">
        <v>8073</v>
      </c>
      <c r="H20" s="91">
        <v>9244</v>
      </c>
      <c r="I20" s="92">
        <v>9271</v>
      </c>
    </row>
    <row r="21" spans="1:9" x14ac:dyDescent="0.2">
      <c r="B21" s="90">
        <v>7141</v>
      </c>
      <c r="C21" s="90">
        <v>7229</v>
      </c>
      <c r="D21" s="93">
        <v>7380</v>
      </c>
      <c r="F21" s="90">
        <v>8074</v>
      </c>
      <c r="H21" s="90">
        <v>9245</v>
      </c>
      <c r="I21" s="91">
        <v>9272</v>
      </c>
    </row>
    <row r="22" spans="1:9" x14ac:dyDescent="0.2">
      <c r="B22" s="92">
        <v>7142</v>
      </c>
      <c r="C22" s="90">
        <v>7230</v>
      </c>
      <c r="D22" s="94">
        <v>7381</v>
      </c>
      <c r="F22" s="90">
        <v>8075</v>
      </c>
      <c r="H22" s="90">
        <v>9246</v>
      </c>
      <c r="I22" s="92">
        <v>9273</v>
      </c>
    </row>
    <row r="23" spans="1:9" x14ac:dyDescent="0.2">
      <c r="B23" s="92">
        <v>7145</v>
      </c>
      <c r="C23" s="91">
        <v>7231</v>
      </c>
      <c r="D23" s="90">
        <v>7382</v>
      </c>
      <c r="F23" s="90">
        <v>8076</v>
      </c>
      <c r="H23" s="90">
        <v>9247</v>
      </c>
      <c r="I23" s="91">
        <v>9274</v>
      </c>
    </row>
    <row r="24" spans="1:9" x14ac:dyDescent="0.2">
      <c r="B24" s="92">
        <v>7146</v>
      </c>
      <c r="C24" s="91">
        <v>7232</v>
      </c>
      <c r="D24" s="91">
        <v>7383</v>
      </c>
      <c r="F24" s="90">
        <v>8077</v>
      </c>
      <c r="H24" s="90">
        <v>9248</v>
      </c>
      <c r="I24" s="96">
        <v>9275</v>
      </c>
    </row>
    <row r="25" spans="1:9" x14ac:dyDescent="0.2">
      <c r="B25" s="92">
        <v>7147</v>
      </c>
      <c r="C25" s="91">
        <v>7233</v>
      </c>
      <c r="D25" s="93">
        <v>7384</v>
      </c>
      <c r="F25" s="90">
        <v>8078</v>
      </c>
    </row>
    <row r="26" spans="1:9" x14ac:dyDescent="0.2">
      <c r="B26" s="92">
        <v>7148</v>
      </c>
      <c r="C26" s="91">
        <v>7234</v>
      </c>
      <c r="D26" s="90">
        <v>7385</v>
      </c>
      <c r="F26" s="91">
        <v>8079</v>
      </c>
    </row>
    <row r="27" spans="1:9" x14ac:dyDescent="0.2">
      <c r="B27" s="92">
        <v>7150</v>
      </c>
      <c r="C27" s="90">
        <v>7235</v>
      </c>
      <c r="D27" s="93">
        <v>7386</v>
      </c>
      <c r="F27" s="91">
        <v>8080</v>
      </c>
    </row>
  </sheetData>
  <sheetProtection selectLockedCells="1" selectUnlockedCells="1"/>
  <conditionalFormatting sqref="A1:A19">
    <cfRule type="expression" dxfId="50" priority="12">
      <formula>MATCH($A1,List,0)</formula>
    </cfRule>
  </conditionalFormatting>
  <conditionalFormatting sqref="B1:B27">
    <cfRule type="expression" dxfId="49" priority="11">
      <formula>MATCH($B1,List,0)</formula>
    </cfRule>
  </conditionalFormatting>
  <conditionalFormatting sqref="C1:C27">
    <cfRule type="expression" dxfId="48" priority="10">
      <formula>MATCH($C1,List,0)</formula>
    </cfRule>
  </conditionalFormatting>
  <conditionalFormatting sqref="D1:D27">
    <cfRule type="expression" dxfId="47" priority="9">
      <formula>MATCH($D1,List,0)</formula>
    </cfRule>
  </conditionalFormatting>
  <conditionalFormatting sqref="E2:E7">
    <cfRule type="expression" dxfId="46" priority="8">
      <formula>MATCH($E2,List,0)</formula>
    </cfRule>
  </conditionalFormatting>
  <conditionalFormatting sqref="F1:F27">
    <cfRule type="expression" dxfId="45" priority="7">
      <formula>MATCH($F1,List,0)</formula>
    </cfRule>
  </conditionalFormatting>
  <conditionalFormatting sqref="G1:G6">
    <cfRule type="expression" dxfId="44" priority="6">
      <formula>MATCH($G1,List,0)</formula>
    </cfRule>
  </conditionalFormatting>
  <conditionalFormatting sqref="H1:H24">
    <cfRule type="expression" dxfId="43" priority="5">
      <formula>MATCH($H1,List,0)</formula>
    </cfRule>
  </conditionalFormatting>
  <conditionalFormatting sqref="I1:I24">
    <cfRule type="expression" dxfId="42" priority="4">
      <formula>MATCH($I1,List,0)</formula>
    </cfRule>
  </conditionalFormatting>
  <conditionalFormatting sqref="J1">
    <cfRule type="expression" dxfId="41" priority="3">
      <formula>MATCH($J1,List,0)</formula>
    </cfRule>
  </conditionalFormatting>
  <conditionalFormatting sqref="J2:J10">
    <cfRule type="expression" dxfId="40" priority="2">
      <formula>MATCH($J2,List,0)</formula>
    </cfRule>
  </conditionalFormatting>
  <conditionalFormatting sqref="E1">
    <cfRule type="expression" dxfId="39" priority="1">
      <formula>MATCH($E1,List,0)</formula>
    </cfRule>
  </conditionalFormatting>
  <pageMargins left="0.7" right="0.7" top="0.75" bottom="0.75" header="0.3" footer="0.3"/>
  <pageSetup scale="98" orientation="landscape"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sheetPr>
  <dimension ref="A2:G284"/>
  <sheetViews>
    <sheetView workbookViewId="0">
      <selection activeCell="F15" sqref="F15"/>
    </sheetView>
  </sheetViews>
  <sheetFormatPr defaultRowHeight="12.75" x14ac:dyDescent="0.2"/>
  <cols>
    <col min="1" max="1" width="12.7109375" style="114" customWidth="1"/>
    <col min="2" max="2" width="3.5703125" customWidth="1"/>
    <col min="3" max="3" width="18.7109375" style="105" customWidth="1"/>
    <col min="5" max="5" width="18.42578125" customWidth="1"/>
  </cols>
  <sheetData>
    <row r="2" spans="1:7" x14ac:dyDescent="0.2">
      <c r="A2" s="114" t="s">
        <v>57</v>
      </c>
      <c r="C2" s="115" t="s">
        <v>63</v>
      </c>
      <c r="E2" s="5" t="s">
        <v>87</v>
      </c>
    </row>
    <row r="3" spans="1:7" x14ac:dyDescent="0.2">
      <c r="A3" s="114">
        <f>Open!G5</f>
        <v>0</v>
      </c>
      <c r="C3" s="105" t="s">
        <v>41</v>
      </c>
    </row>
    <row r="4" spans="1:7" x14ac:dyDescent="0.2">
      <c r="A4" s="114">
        <f>Open!G6</f>
        <v>0</v>
      </c>
      <c r="C4" s="105" t="s">
        <v>41</v>
      </c>
      <c r="E4" s="115" t="s">
        <v>88</v>
      </c>
    </row>
    <row r="5" spans="1:7" x14ac:dyDescent="0.2">
      <c r="A5" s="114">
        <f>Open!G7</f>
        <v>0</v>
      </c>
      <c r="C5" s="105" t="s">
        <v>41</v>
      </c>
      <c r="E5" s="115" t="s">
        <v>89</v>
      </c>
    </row>
    <row r="6" spans="1:7" x14ac:dyDescent="0.2">
      <c r="A6" s="114">
        <f>Open!G8</f>
        <v>0</v>
      </c>
      <c r="C6" s="105" t="s">
        <v>41</v>
      </c>
    </row>
    <row r="7" spans="1:7" x14ac:dyDescent="0.2">
      <c r="A7" s="114">
        <f>Open!G9</f>
        <v>0</v>
      </c>
      <c r="C7" s="105" t="s">
        <v>41</v>
      </c>
    </row>
    <row r="8" spans="1:7" x14ac:dyDescent="0.2">
      <c r="A8" s="114">
        <f>Open!G10</f>
        <v>0</v>
      </c>
      <c r="C8" s="105" t="s">
        <v>41</v>
      </c>
    </row>
    <row r="9" spans="1:7" x14ac:dyDescent="0.2">
      <c r="A9" s="114">
        <f>Open!G11</f>
        <v>0</v>
      </c>
      <c r="C9" s="105" t="s">
        <v>41</v>
      </c>
    </row>
    <row r="10" spans="1:7" x14ac:dyDescent="0.2">
      <c r="A10" s="114">
        <f>Open!G12</f>
        <v>0</v>
      </c>
      <c r="C10" s="105" t="s">
        <v>41</v>
      </c>
      <c r="E10" s="5" t="s">
        <v>202</v>
      </c>
    </row>
    <row r="11" spans="1:7" x14ac:dyDescent="0.2">
      <c r="A11" s="114">
        <f>Open!G13</f>
        <v>0</v>
      </c>
      <c r="C11" s="105" t="s">
        <v>41</v>
      </c>
      <c r="E11" s="5" t="s">
        <v>203</v>
      </c>
    </row>
    <row r="12" spans="1:7" x14ac:dyDescent="0.2">
      <c r="A12" s="114">
        <f>Open!G14</f>
        <v>0</v>
      </c>
      <c r="C12" s="105" t="s">
        <v>41</v>
      </c>
      <c r="E12" s="5" t="s">
        <v>73</v>
      </c>
      <c r="F12" s="105"/>
    </row>
    <row r="13" spans="1:7" x14ac:dyDescent="0.2">
      <c r="A13" s="114">
        <f>Open!G15</f>
        <v>0</v>
      </c>
      <c r="C13" s="105" t="s">
        <v>41</v>
      </c>
      <c r="E13" s="5" t="s">
        <v>204</v>
      </c>
    </row>
    <row r="14" spans="1:7" x14ac:dyDescent="0.2">
      <c r="A14" s="114">
        <f>Open!G16</f>
        <v>0</v>
      </c>
      <c r="C14" s="105" t="s">
        <v>41</v>
      </c>
      <c r="E14" s="5" t="s">
        <v>72</v>
      </c>
    </row>
    <row r="15" spans="1:7" x14ac:dyDescent="0.2">
      <c r="A15" s="114">
        <f>Open!G17</f>
        <v>0</v>
      </c>
      <c r="C15" s="105" t="s">
        <v>41</v>
      </c>
    </row>
    <row r="16" spans="1:7" x14ac:dyDescent="0.2">
      <c r="A16" s="114">
        <f>Open!G18</f>
        <v>0</v>
      </c>
      <c r="C16" s="105" t="s">
        <v>41</v>
      </c>
    </row>
    <row r="17" spans="1:3" x14ac:dyDescent="0.2">
      <c r="A17" s="114">
        <f>Open!G19</f>
        <v>0</v>
      </c>
      <c r="C17" s="105" t="s">
        <v>41</v>
      </c>
    </row>
    <row r="18" spans="1:3" x14ac:dyDescent="0.2">
      <c r="A18" s="114">
        <f>Open!G20</f>
        <v>0</v>
      </c>
      <c r="C18" s="105" t="s">
        <v>41</v>
      </c>
    </row>
    <row r="19" spans="1:3" x14ac:dyDescent="0.2">
      <c r="A19" s="114">
        <f>Open!G21</f>
        <v>0</v>
      </c>
      <c r="C19" s="105" t="s">
        <v>41</v>
      </c>
    </row>
    <row r="20" spans="1:3" x14ac:dyDescent="0.2">
      <c r="A20" s="114">
        <f>Open!G22</f>
        <v>0</v>
      </c>
      <c r="C20" s="105" t="s">
        <v>41</v>
      </c>
    </row>
    <row r="21" spans="1:3" x14ac:dyDescent="0.2">
      <c r="A21" s="114">
        <f>Open!G23</f>
        <v>0</v>
      </c>
      <c r="C21" s="105" t="s">
        <v>41</v>
      </c>
    </row>
    <row r="22" spans="1:3" x14ac:dyDescent="0.2">
      <c r="A22" s="114">
        <f>Open!G24</f>
        <v>0</v>
      </c>
      <c r="C22" s="105" t="s">
        <v>41</v>
      </c>
    </row>
    <row r="23" spans="1:3" x14ac:dyDescent="0.2">
      <c r="A23" s="114">
        <f>Open!G25</f>
        <v>0</v>
      </c>
      <c r="C23" s="105" t="s">
        <v>41</v>
      </c>
    </row>
    <row r="24" spans="1:3" x14ac:dyDescent="0.2">
      <c r="A24" s="114">
        <f>Open!G26</f>
        <v>0</v>
      </c>
      <c r="C24" s="105" t="s">
        <v>41</v>
      </c>
    </row>
    <row r="25" spans="1:3" x14ac:dyDescent="0.2">
      <c r="A25" s="114">
        <f>Open!G27</f>
        <v>0</v>
      </c>
      <c r="C25" s="105" t="s">
        <v>41</v>
      </c>
    </row>
    <row r="26" spans="1:3" x14ac:dyDescent="0.2">
      <c r="A26" s="114">
        <f>Open!G28</f>
        <v>0</v>
      </c>
      <c r="C26" s="105" t="s">
        <v>41</v>
      </c>
    </row>
    <row r="27" spans="1:3" x14ac:dyDescent="0.2">
      <c r="A27" s="114">
        <f>Open!G29</f>
        <v>0</v>
      </c>
      <c r="C27" s="105" t="s">
        <v>41</v>
      </c>
    </row>
    <row r="28" spans="1:3" x14ac:dyDescent="0.2">
      <c r="A28" s="114">
        <f>Open!G30</f>
        <v>0</v>
      </c>
      <c r="C28" s="105" t="s">
        <v>41</v>
      </c>
    </row>
    <row r="29" spans="1:3" x14ac:dyDescent="0.2">
      <c r="A29" s="114">
        <f>Open!G31</f>
        <v>0</v>
      </c>
      <c r="C29" s="105" t="s">
        <v>41</v>
      </c>
    </row>
    <row r="30" spans="1:3" x14ac:dyDescent="0.2">
      <c r="A30" s="114">
        <f>Open!G32</f>
        <v>0</v>
      </c>
      <c r="C30" s="105" t="s">
        <v>41</v>
      </c>
    </row>
    <row r="31" spans="1:3" x14ac:dyDescent="0.2">
      <c r="A31" s="114">
        <f>Open!G33</f>
        <v>0</v>
      </c>
      <c r="C31" s="105" t="s">
        <v>41</v>
      </c>
    </row>
    <row r="32" spans="1:3" x14ac:dyDescent="0.2">
      <c r="A32" s="114">
        <f>Open!G34</f>
        <v>0</v>
      </c>
      <c r="C32" s="105" t="s">
        <v>41</v>
      </c>
    </row>
    <row r="33" spans="1:3" x14ac:dyDescent="0.2">
      <c r="A33" s="114">
        <f>Open!G35</f>
        <v>0</v>
      </c>
      <c r="C33" s="105" t="s">
        <v>41</v>
      </c>
    </row>
    <row r="34" spans="1:3" x14ac:dyDescent="0.2">
      <c r="A34" s="114">
        <f>Open!G36</f>
        <v>0</v>
      </c>
      <c r="C34" s="105" t="s">
        <v>41</v>
      </c>
    </row>
    <row r="35" spans="1:3" x14ac:dyDescent="0.2">
      <c r="A35" s="114">
        <f>Open!G37</f>
        <v>0</v>
      </c>
      <c r="C35" s="105" t="s">
        <v>41</v>
      </c>
    </row>
    <row r="36" spans="1:3" x14ac:dyDescent="0.2">
      <c r="A36" s="114">
        <f>Open!G38</f>
        <v>0</v>
      </c>
      <c r="C36" s="105" t="s">
        <v>41</v>
      </c>
    </row>
    <row r="37" spans="1:3" x14ac:dyDescent="0.2">
      <c r="A37" s="114">
        <f>Open!G39</f>
        <v>0</v>
      </c>
      <c r="C37" s="105" t="s">
        <v>41</v>
      </c>
    </row>
    <row r="38" spans="1:3" x14ac:dyDescent="0.2">
      <c r="A38" s="114">
        <f>Open!G40</f>
        <v>0</v>
      </c>
      <c r="C38" s="105" t="s">
        <v>41</v>
      </c>
    </row>
    <row r="39" spans="1:3" x14ac:dyDescent="0.2">
      <c r="A39" s="114">
        <f>Open!G41</f>
        <v>0</v>
      </c>
      <c r="C39" s="105" t="s">
        <v>41</v>
      </c>
    </row>
    <row r="40" spans="1:3" x14ac:dyDescent="0.2">
      <c r="A40" s="114">
        <f>Open!G42</f>
        <v>0</v>
      </c>
      <c r="C40" s="105" t="s">
        <v>41</v>
      </c>
    </row>
    <row r="41" spans="1:3" x14ac:dyDescent="0.2">
      <c r="A41" s="114">
        <f>Open!G43</f>
        <v>0</v>
      </c>
      <c r="C41" s="105" t="s">
        <v>41</v>
      </c>
    </row>
    <row r="42" spans="1:3" x14ac:dyDescent="0.2">
      <c r="A42" s="114">
        <f>Open!G44</f>
        <v>0</v>
      </c>
      <c r="C42" s="105" t="s">
        <v>41</v>
      </c>
    </row>
    <row r="43" spans="1:3" x14ac:dyDescent="0.2">
      <c r="A43" s="114">
        <f>Open!G45</f>
        <v>0</v>
      </c>
      <c r="C43" s="105" t="s">
        <v>41</v>
      </c>
    </row>
    <row r="44" spans="1:3" x14ac:dyDescent="0.2">
      <c r="A44" s="114">
        <f>Open!G46</f>
        <v>0</v>
      </c>
      <c r="C44" s="105" t="s">
        <v>41</v>
      </c>
    </row>
    <row r="45" spans="1:3" x14ac:dyDescent="0.2">
      <c r="A45" s="114">
        <f>Open!G47</f>
        <v>0</v>
      </c>
      <c r="C45" s="105" t="s">
        <v>41</v>
      </c>
    </row>
    <row r="46" spans="1:3" x14ac:dyDescent="0.2">
      <c r="A46" s="114">
        <f>Open!G48</f>
        <v>0</v>
      </c>
      <c r="C46" s="105" t="s">
        <v>41</v>
      </c>
    </row>
    <row r="47" spans="1:3" x14ac:dyDescent="0.2">
      <c r="A47" s="114">
        <f>Open!G49</f>
        <v>0</v>
      </c>
      <c r="C47" s="105" t="s">
        <v>41</v>
      </c>
    </row>
    <row r="48" spans="1:3" x14ac:dyDescent="0.2">
      <c r="A48" s="114">
        <f>Open!G50</f>
        <v>0</v>
      </c>
      <c r="C48" s="105" t="s">
        <v>41</v>
      </c>
    </row>
    <row r="49" spans="1:3" x14ac:dyDescent="0.2">
      <c r="A49" s="114">
        <f>Open!G51</f>
        <v>0</v>
      </c>
      <c r="C49" s="105" t="s">
        <v>41</v>
      </c>
    </row>
    <row r="50" spans="1:3" x14ac:dyDescent="0.2">
      <c r="A50" s="114">
        <f>Open!G52</f>
        <v>0</v>
      </c>
      <c r="C50" s="105" t="s">
        <v>41</v>
      </c>
    </row>
    <row r="51" spans="1:3" x14ac:dyDescent="0.2">
      <c r="A51" s="114">
        <f>Open!G53</f>
        <v>0</v>
      </c>
      <c r="C51" s="105" t="s">
        <v>41</v>
      </c>
    </row>
    <row r="52" spans="1:3" x14ac:dyDescent="0.2">
      <c r="A52" s="114">
        <f>Open!G54</f>
        <v>0</v>
      </c>
      <c r="C52" s="105" t="s">
        <v>41</v>
      </c>
    </row>
    <row r="53" spans="1:3" x14ac:dyDescent="0.2">
      <c r="A53" s="114">
        <f>Open!G55</f>
        <v>0</v>
      </c>
      <c r="C53" s="105" t="s">
        <v>41</v>
      </c>
    </row>
    <row r="54" spans="1:3" x14ac:dyDescent="0.2">
      <c r="A54" s="114">
        <f>Open!G56</f>
        <v>0</v>
      </c>
      <c r="C54" s="105" t="s">
        <v>41</v>
      </c>
    </row>
    <row r="55" spans="1:3" x14ac:dyDescent="0.2">
      <c r="A55" s="114">
        <f>Open!G57</f>
        <v>0</v>
      </c>
      <c r="C55" s="105" t="s">
        <v>41</v>
      </c>
    </row>
    <row r="56" spans="1:3" x14ac:dyDescent="0.2">
      <c r="A56" s="114">
        <f>Open!G58</f>
        <v>0</v>
      </c>
      <c r="C56" s="105" t="s">
        <v>41</v>
      </c>
    </row>
    <row r="57" spans="1:3" x14ac:dyDescent="0.2">
      <c r="A57" s="114">
        <f>Open!G59</f>
        <v>0</v>
      </c>
      <c r="C57" s="105" t="s">
        <v>41</v>
      </c>
    </row>
    <row r="58" spans="1:3" x14ac:dyDescent="0.2">
      <c r="A58" s="114">
        <f>Open!G60</f>
        <v>0</v>
      </c>
      <c r="C58" s="105" t="s">
        <v>41</v>
      </c>
    </row>
    <row r="59" spans="1:3" x14ac:dyDescent="0.2">
      <c r="A59" s="114">
        <f>Open!G61</f>
        <v>0</v>
      </c>
      <c r="C59" s="105" t="s">
        <v>41</v>
      </c>
    </row>
    <row r="60" spans="1:3" x14ac:dyDescent="0.2">
      <c r="A60" s="114">
        <f>Open!G62</f>
        <v>0</v>
      </c>
      <c r="C60" s="105" t="s">
        <v>41</v>
      </c>
    </row>
    <row r="61" spans="1:3" x14ac:dyDescent="0.2">
      <c r="A61" s="114">
        <f>Open!G63</f>
        <v>0</v>
      </c>
      <c r="C61" s="105" t="s">
        <v>41</v>
      </c>
    </row>
    <row r="62" spans="1:3" x14ac:dyDescent="0.2">
      <c r="A62" s="114">
        <f>Open!G64</f>
        <v>0</v>
      </c>
      <c r="C62" s="105" t="s">
        <v>41</v>
      </c>
    </row>
    <row r="63" spans="1:3" x14ac:dyDescent="0.2">
      <c r="A63" s="114">
        <f>Open!G65</f>
        <v>0</v>
      </c>
      <c r="C63" s="105" t="s">
        <v>41</v>
      </c>
    </row>
    <row r="64" spans="1:3" x14ac:dyDescent="0.2">
      <c r="A64" s="114">
        <f>Open!G66</f>
        <v>0</v>
      </c>
      <c r="C64" s="105" t="s">
        <v>41</v>
      </c>
    </row>
    <row r="65" spans="1:3" x14ac:dyDescent="0.2">
      <c r="A65" s="114">
        <f>Open!G67</f>
        <v>0</v>
      </c>
      <c r="C65" s="105" t="s">
        <v>41</v>
      </c>
    </row>
    <row r="66" spans="1:3" x14ac:dyDescent="0.2">
      <c r="A66" s="114">
        <f>Open!G68</f>
        <v>0</v>
      </c>
      <c r="C66" s="105" t="s">
        <v>41</v>
      </c>
    </row>
    <row r="67" spans="1:3" x14ac:dyDescent="0.2">
      <c r="A67" s="114">
        <f>Open!G69</f>
        <v>0</v>
      </c>
      <c r="C67" s="105" t="s">
        <v>41</v>
      </c>
    </row>
    <row r="68" spans="1:3" x14ac:dyDescent="0.2">
      <c r="A68" s="114">
        <f>Open!G70</f>
        <v>0</v>
      </c>
      <c r="C68" s="105" t="s">
        <v>41</v>
      </c>
    </row>
    <row r="69" spans="1:3" x14ac:dyDescent="0.2">
      <c r="A69" s="114">
        <f>Open!G71</f>
        <v>0</v>
      </c>
      <c r="C69" s="105" t="s">
        <v>41</v>
      </c>
    </row>
    <row r="70" spans="1:3" x14ac:dyDescent="0.2">
      <c r="A70" s="114">
        <f>Open!G72</f>
        <v>0</v>
      </c>
      <c r="C70" s="105" t="s">
        <v>41</v>
      </c>
    </row>
    <row r="71" spans="1:3" x14ac:dyDescent="0.2">
      <c r="A71" s="114">
        <f>Open!G73</f>
        <v>0</v>
      </c>
      <c r="C71" s="105" t="s">
        <v>41</v>
      </c>
    </row>
    <row r="72" spans="1:3" x14ac:dyDescent="0.2">
      <c r="A72" s="114">
        <f>Open!G74</f>
        <v>0</v>
      </c>
      <c r="C72" s="105" t="s">
        <v>41</v>
      </c>
    </row>
    <row r="73" spans="1:3" x14ac:dyDescent="0.2">
      <c r="A73" s="114">
        <f>Open!G75</f>
        <v>0</v>
      </c>
      <c r="C73" s="105" t="s">
        <v>41</v>
      </c>
    </row>
    <row r="74" spans="1:3" x14ac:dyDescent="0.2">
      <c r="A74" s="114">
        <f>Open!G76</f>
        <v>0</v>
      </c>
      <c r="C74" s="105" t="s">
        <v>41</v>
      </c>
    </row>
    <row r="75" spans="1:3" x14ac:dyDescent="0.2">
      <c r="A75" s="114">
        <f>Open!G77</f>
        <v>0</v>
      </c>
      <c r="C75" s="105" t="s">
        <v>41</v>
      </c>
    </row>
    <row r="76" spans="1:3" x14ac:dyDescent="0.2">
      <c r="A76" s="114">
        <f>Open!G78</f>
        <v>0</v>
      </c>
      <c r="C76" s="105" t="s">
        <v>41</v>
      </c>
    </row>
    <row r="77" spans="1:3" x14ac:dyDescent="0.2">
      <c r="A77" s="114">
        <f>Open!G79</f>
        <v>0</v>
      </c>
      <c r="C77" s="105" t="s">
        <v>41</v>
      </c>
    </row>
    <row r="78" spans="1:3" x14ac:dyDescent="0.2">
      <c r="A78" s="114">
        <f>Open!G80</f>
        <v>0</v>
      </c>
      <c r="C78" s="105" t="s">
        <v>41</v>
      </c>
    </row>
    <row r="79" spans="1:3" x14ac:dyDescent="0.2">
      <c r="A79" s="114">
        <f>Open!G81</f>
        <v>0</v>
      </c>
      <c r="C79" s="105" t="s">
        <v>41</v>
      </c>
    </row>
    <row r="80" spans="1:3" x14ac:dyDescent="0.2">
      <c r="A80" s="114">
        <f>Open!G82</f>
        <v>0</v>
      </c>
      <c r="C80" s="105" t="s">
        <v>41</v>
      </c>
    </row>
    <row r="81" spans="1:3" x14ac:dyDescent="0.2">
      <c r="A81" s="114">
        <f>Open!G83</f>
        <v>0</v>
      </c>
      <c r="C81" s="105" t="s">
        <v>41</v>
      </c>
    </row>
    <row r="82" spans="1:3" x14ac:dyDescent="0.2">
      <c r="A82" s="114">
        <f>Open!G84</f>
        <v>0</v>
      </c>
      <c r="C82" s="105" t="s">
        <v>41</v>
      </c>
    </row>
    <row r="83" spans="1:3" x14ac:dyDescent="0.2">
      <c r="A83" s="114">
        <f>Open!G85</f>
        <v>0</v>
      </c>
      <c r="C83" s="105" t="s">
        <v>41</v>
      </c>
    </row>
    <row r="84" spans="1:3" x14ac:dyDescent="0.2">
      <c r="A84" s="114">
        <f>Open!G86</f>
        <v>0</v>
      </c>
      <c r="C84" s="105" t="s">
        <v>41</v>
      </c>
    </row>
    <row r="85" spans="1:3" x14ac:dyDescent="0.2">
      <c r="A85" s="114">
        <f>Open!G87</f>
        <v>0</v>
      </c>
      <c r="C85" s="105" t="s">
        <v>41</v>
      </c>
    </row>
    <row r="86" spans="1:3" x14ac:dyDescent="0.2">
      <c r="A86" s="114">
        <f>Open!G88</f>
        <v>0</v>
      </c>
      <c r="C86" s="105" t="s">
        <v>41</v>
      </c>
    </row>
    <row r="87" spans="1:3" x14ac:dyDescent="0.2">
      <c r="A87" s="114">
        <f>Open!G89</f>
        <v>0</v>
      </c>
      <c r="C87" s="105" t="s">
        <v>41</v>
      </c>
    </row>
    <row r="88" spans="1:3" x14ac:dyDescent="0.2">
      <c r="A88" s="114">
        <f>Open!P5</f>
        <v>0</v>
      </c>
      <c r="C88" s="105" t="s">
        <v>39</v>
      </c>
    </row>
    <row r="89" spans="1:3" x14ac:dyDescent="0.2">
      <c r="A89" s="114">
        <f>Open!P6</f>
        <v>0</v>
      </c>
      <c r="C89" s="105" t="s">
        <v>39</v>
      </c>
    </row>
    <row r="90" spans="1:3" x14ac:dyDescent="0.2">
      <c r="A90" s="114">
        <f>Open!P7</f>
        <v>0</v>
      </c>
      <c r="C90" s="105" t="s">
        <v>39</v>
      </c>
    </row>
    <row r="91" spans="1:3" x14ac:dyDescent="0.2">
      <c r="A91" s="114">
        <f>Open!P8</f>
        <v>0</v>
      </c>
      <c r="C91" s="105" t="s">
        <v>39</v>
      </c>
    </row>
    <row r="92" spans="1:3" x14ac:dyDescent="0.2">
      <c r="A92" s="114">
        <f>Open!P9</f>
        <v>0</v>
      </c>
      <c r="C92" s="105" t="s">
        <v>39</v>
      </c>
    </row>
    <row r="93" spans="1:3" x14ac:dyDescent="0.2">
      <c r="A93" s="114">
        <f>Open!P10</f>
        <v>0</v>
      </c>
      <c r="C93" s="105" t="s">
        <v>39</v>
      </c>
    </row>
    <row r="94" spans="1:3" x14ac:dyDescent="0.2">
      <c r="A94" s="114">
        <f>Open!P11</f>
        <v>0</v>
      </c>
      <c r="C94" s="105" t="s">
        <v>39</v>
      </c>
    </row>
    <row r="95" spans="1:3" x14ac:dyDescent="0.2">
      <c r="A95" s="114">
        <f>Open!P12</f>
        <v>0</v>
      </c>
      <c r="C95" s="105" t="s">
        <v>39</v>
      </c>
    </row>
    <row r="96" spans="1:3" x14ac:dyDescent="0.2">
      <c r="A96" s="114">
        <f>Open!P13</f>
        <v>0</v>
      </c>
      <c r="C96" s="105" t="s">
        <v>39</v>
      </c>
    </row>
    <row r="97" spans="1:3" x14ac:dyDescent="0.2">
      <c r="A97" s="114">
        <f>Open!P14</f>
        <v>0</v>
      </c>
      <c r="C97" s="105" t="s">
        <v>39</v>
      </c>
    </row>
    <row r="98" spans="1:3" x14ac:dyDescent="0.2">
      <c r="A98" s="114">
        <f>Open!P15</f>
        <v>0</v>
      </c>
      <c r="C98" s="105" t="s">
        <v>39</v>
      </c>
    </row>
    <row r="99" spans="1:3" x14ac:dyDescent="0.2">
      <c r="A99" s="114">
        <f>Open!P16</f>
        <v>0</v>
      </c>
      <c r="C99" s="105" t="s">
        <v>39</v>
      </c>
    </row>
    <row r="100" spans="1:3" x14ac:dyDescent="0.2">
      <c r="A100" s="114">
        <f>Open!P17</f>
        <v>0</v>
      </c>
      <c r="C100" s="105" t="s">
        <v>39</v>
      </c>
    </row>
    <row r="101" spans="1:3" x14ac:dyDescent="0.2">
      <c r="A101" s="114">
        <f>Open!P18</f>
        <v>0</v>
      </c>
      <c r="C101" s="105" t="s">
        <v>39</v>
      </c>
    </row>
    <row r="102" spans="1:3" x14ac:dyDescent="0.2">
      <c r="A102" s="114">
        <f>Open!P19</f>
        <v>0</v>
      </c>
      <c r="C102" s="105" t="s">
        <v>39</v>
      </c>
    </row>
    <row r="103" spans="1:3" x14ac:dyDescent="0.2">
      <c r="A103" s="114">
        <f>Open!P20</f>
        <v>0</v>
      </c>
      <c r="C103" s="105" t="s">
        <v>39</v>
      </c>
    </row>
    <row r="104" spans="1:3" x14ac:dyDescent="0.2">
      <c r="A104" s="114">
        <f>Open!P21</f>
        <v>0</v>
      </c>
      <c r="C104" s="105" t="s">
        <v>39</v>
      </c>
    </row>
    <row r="105" spans="1:3" x14ac:dyDescent="0.2">
      <c r="A105" s="114">
        <f>Open!P22</f>
        <v>0</v>
      </c>
      <c r="C105" s="105" t="s">
        <v>39</v>
      </c>
    </row>
    <row r="106" spans="1:3" x14ac:dyDescent="0.2">
      <c r="A106" s="114">
        <f>Open!P23</f>
        <v>0</v>
      </c>
      <c r="C106" s="105" t="s">
        <v>39</v>
      </c>
    </row>
    <row r="107" spans="1:3" x14ac:dyDescent="0.2">
      <c r="A107" s="114">
        <f>Open!P24</f>
        <v>0</v>
      </c>
      <c r="C107" s="105" t="s">
        <v>39</v>
      </c>
    </row>
    <row r="108" spans="1:3" x14ac:dyDescent="0.2">
      <c r="A108" s="114">
        <f>Open!P25</f>
        <v>0</v>
      </c>
      <c r="C108" s="105" t="s">
        <v>39</v>
      </c>
    </row>
    <row r="109" spans="1:3" x14ac:dyDescent="0.2">
      <c r="A109" s="114">
        <f>Open!P26</f>
        <v>0</v>
      </c>
      <c r="C109" s="105" t="s">
        <v>39</v>
      </c>
    </row>
    <row r="110" spans="1:3" x14ac:dyDescent="0.2">
      <c r="A110" s="114">
        <f>Open!P27</f>
        <v>0</v>
      </c>
      <c r="C110" s="105" t="s">
        <v>39</v>
      </c>
    </row>
    <row r="111" spans="1:3" x14ac:dyDescent="0.2">
      <c r="A111" s="114">
        <f>Open!P28</f>
        <v>0</v>
      </c>
      <c r="C111" s="105" t="s">
        <v>39</v>
      </c>
    </row>
    <row r="112" spans="1:3" x14ac:dyDescent="0.2">
      <c r="A112" s="114">
        <f>Open!P29</f>
        <v>0</v>
      </c>
      <c r="C112" s="105" t="s">
        <v>39</v>
      </c>
    </row>
    <row r="113" spans="1:3" x14ac:dyDescent="0.2">
      <c r="A113" s="114">
        <f>Open!P30</f>
        <v>0</v>
      </c>
      <c r="C113" s="105" t="s">
        <v>39</v>
      </c>
    </row>
    <row r="114" spans="1:3" x14ac:dyDescent="0.2">
      <c r="A114" s="114">
        <f>Open!P31</f>
        <v>0</v>
      </c>
      <c r="C114" s="105" t="s">
        <v>39</v>
      </c>
    </row>
    <row r="115" spans="1:3" x14ac:dyDescent="0.2">
      <c r="A115" s="114">
        <f>Open!P32</f>
        <v>0</v>
      </c>
      <c r="C115" s="105" t="s">
        <v>39</v>
      </c>
    </row>
    <row r="116" spans="1:3" x14ac:dyDescent="0.2">
      <c r="A116" s="114">
        <f>Open!P33</f>
        <v>0</v>
      </c>
      <c r="C116" s="105" t="s">
        <v>39</v>
      </c>
    </row>
    <row r="117" spans="1:3" x14ac:dyDescent="0.2">
      <c r="A117" s="114">
        <f>Open!P34</f>
        <v>0</v>
      </c>
      <c r="C117" s="105" t="s">
        <v>39</v>
      </c>
    </row>
    <row r="118" spans="1:3" x14ac:dyDescent="0.2">
      <c r="A118" s="114">
        <f>Open!P35</f>
        <v>0</v>
      </c>
      <c r="C118" s="105" t="s">
        <v>39</v>
      </c>
    </row>
    <row r="119" spans="1:3" x14ac:dyDescent="0.2">
      <c r="A119" s="114">
        <f>Open!P36</f>
        <v>0</v>
      </c>
      <c r="C119" s="105" t="s">
        <v>39</v>
      </c>
    </row>
    <row r="120" spans="1:3" x14ac:dyDescent="0.2">
      <c r="A120" s="114">
        <f>Open!P37</f>
        <v>0</v>
      </c>
      <c r="C120" s="105" t="s">
        <v>39</v>
      </c>
    </row>
    <row r="121" spans="1:3" x14ac:dyDescent="0.2">
      <c r="A121" s="114">
        <f>Open!P38</f>
        <v>0</v>
      </c>
      <c r="C121" s="105" t="s">
        <v>39</v>
      </c>
    </row>
    <row r="122" spans="1:3" x14ac:dyDescent="0.2">
      <c r="A122" s="114">
        <f>Open!P39</f>
        <v>0</v>
      </c>
      <c r="C122" s="105" t="s">
        <v>39</v>
      </c>
    </row>
    <row r="123" spans="1:3" x14ac:dyDescent="0.2">
      <c r="A123" s="114">
        <f>Open!P40</f>
        <v>0</v>
      </c>
      <c r="C123" s="105" t="s">
        <v>39</v>
      </c>
    </row>
    <row r="124" spans="1:3" x14ac:dyDescent="0.2">
      <c r="A124" s="114">
        <f>Open!P41</f>
        <v>0</v>
      </c>
      <c r="C124" s="105" t="s">
        <v>39</v>
      </c>
    </row>
    <row r="125" spans="1:3" x14ac:dyDescent="0.2">
      <c r="A125" s="114">
        <f>Open!P42</f>
        <v>0</v>
      </c>
      <c r="C125" s="105" t="s">
        <v>39</v>
      </c>
    </row>
    <row r="126" spans="1:3" x14ac:dyDescent="0.2">
      <c r="A126" s="114">
        <f>Open!P43</f>
        <v>0</v>
      </c>
      <c r="C126" s="105" t="s">
        <v>39</v>
      </c>
    </row>
    <row r="127" spans="1:3" x14ac:dyDescent="0.2">
      <c r="A127" s="114">
        <f>Open!P44</f>
        <v>0</v>
      </c>
      <c r="C127" s="105" t="s">
        <v>39</v>
      </c>
    </row>
    <row r="128" spans="1:3" x14ac:dyDescent="0.2">
      <c r="A128" s="114">
        <f>Open!P45</f>
        <v>0</v>
      </c>
      <c r="C128" s="105" t="s">
        <v>39</v>
      </c>
    </row>
    <row r="129" spans="1:3" x14ac:dyDescent="0.2">
      <c r="A129" s="114">
        <f>Open!P46</f>
        <v>0</v>
      </c>
      <c r="C129" s="105" t="s">
        <v>39</v>
      </c>
    </row>
    <row r="130" spans="1:3" x14ac:dyDescent="0.2">
      <c r="A130" s="114">
        <f>Open!P47</f>
        <v>0</v>
      </c>
      <c r="C130" s="105" t="s">
        <v>39</v>
      </c>
    </row>
    <row r="131" spans="1:3" x14ac:dyDescent="0.2">
      <c r="A131" s="114">
        <f>Open!P48</f>
        <v>0</v>
      </c>
      <c r="C131" s="105" t="s">
        <v>39</v>
      </c>
    </row>
    <row r="132" spans="1:3" x14ac:dyDescent="0.2">
      <c r="A132" s="114">
        <f>Open!P49</f>
        <v>0</v>
      </c>
      <c r="C132" s="105" t="s">
        <v>39</v>
      </c>
    </row>
    <row r="133" spans="1:3" x14ac:dyDescent="0.2">
      <c r="A133" s="114">
        <f>Open!P50</f>
        <v>0</v>
      </c>
      <c r="C133" s="105" t="s">
        <v>39</v>
      </c>
    </row>
    <row r="134" spans="1:3" x14ac:dyDescent="0.2">
      <c r="A134" s="114">
        <f>Open!P51</f>
        <v>0</v>
      </c>
      <c r="C134" s="105" t="s">
        <v>39</v>
      </c>
    </row>
    <row r="135" spans="1:3" x14ac:dyDescent="0.2">
      <c r="A135" s="114">
        <f>Open!P52</f>
        <v>0</v>
      </c>
      <c r="C135" s="105" t="s">
        <v>39</v>
      </c>
    </row>
    <row r="136" spans="1:3" x14ac:dyDescent="0.2">
      <c r="A136" s="114">
        <f>Open!P53</f>
        <v>0</v>
      </c>
      <c r="C136" s="105" t="s">
        <v>39</v>
      </c>
    </row>
    <row r="137" spans="1:3" x14ac:dyDescent="0.2">
      <c r="A137" s="114">
        <f>Open!P54</f>
        <v>0</v>
      </c>
      <c r="C137" s="105" t="s">
        <v>39</v>
      </c>
    </row>
    <row r="138" spans="1:3" x14ac:dyDescent="0.2">
      <c r="A138" s="114">
        <f>Open!Y5</f>
        <v>0</v>
      </c>
      <c r="C138" s="105" t="s">
        <v>42</v>
      </c>
    </row>
    <row r="139" spans="1:3" x14ac:dyDescent="0.2">
      <c r="A139" s="114">
        <f>Open!Y6</f>
        <v>0</v>
      </c>
      <c r="C139" s="105" t="s">
        <v>42</v>
      </c>
    </row>
    <row r="140" spans="1:3" x14ac:dyDescent="0.2">
      <c r="A140" s="114">
        <f>Open!Y7</f>
        <v>0</v>
      </c>
      <c r="C140" s="105" t="s">
        <v>42</v>
      </c>
    </row>
    <row r="141" spans="1:3" x14ac:dyDescent="0.2">
      <c r="A141" s="114">
        <f>Open!Y8</f>
        <v>0</v>
      </c>
      <c r="C141" s="105" t="s">
        <v>42</v>
      </c>
    </row>
    <row r="142" spans="1:3" x14ac:dyDescent="0.2">
      <c r="A142" s="114">
        <f>Open!Y9</f>
        <v>0</v>
      </c>
      <c r="C142" s="105" t="s">
        <v>42</v>
      </c>
    </row>
    <row r="143" spans="1:3" x14ac:dyDescent="0.2">
      <c r="A143" s="114">
        <f>Open!Y10</f>
        <v>0</v>
      </c>
      <c r="C143" s="105" t="s">
        <v>42</v>
      </c>
    </row>
    <row r="144" spans="1:3" x14ac:dyDescent="0.2">
      <c r="A144" s="114">
        <f>Open!Y11</f>
        <v>0</v>
      </c>
      <c r="C144" s="105" t="s">
        <v>42</v>
      </c>
    </row>
    <row r="145" spans="1:3" x14ac:dyDescent="0.2">
      <c r="A145" s="114">
        <f>Open!Y12</f>
        <v>0</v>
      </c>
      <c r="C145" s="105" t="s">
        <v>42</v>
      </c>
    </row>
    <row r="146" spans="1:3" x14ac:dyDescent="0.2">
      <c r="A146" s="114">
        <f>Open!Y13</f>
        <v>0</v>
      </c>
      <c r="C146" s="105" t="s">
        <v>42</v>
      </c>
    </row>
    <row r="147" spans="1:3" x14ac:dyDescent="0.2">
      <c r="A147" s="114">
        <f>Open!Y14</f>
        <v>0</v>
      </c>
      <c r="C147" s="105" t="s">
        <v>42</v>
      </c>
    </row>
    <row r="148" spans="1:3" x14ac:dyDescent="0.2">
      <c r="A148" s="114">
        <f>Open!Y15</f>
        <v>0</v>
      </c>
      <c r="C148" s="105" t="s">
        <v>42</v>
      </c>
    </row>
    <row r="149" spans="1:3" x14ac:dyDescent="0.2">
      <c r="A149" s="114">
        <f>Open!Y16</f>
        <v>0</v>
      </c>
      <c r="C149" s="105" t="s">
        <v>42</v>
      </c>
    </row>
    <row r="150" spans="1:3" x14ac:dyDescent="0.2">
      <c r="A150" s="114">
        <f>Open!Y17</f>
        <v>0</v>
      </c>
      <c r="C150" s="105" t="s">
        <v>42</v>
      </c>
    </row>
    <row r="151" spans="1:3" x14ac:dyDescent="0.2">
      <c r="A151" s="114">
        <f>Open!Y18</f>
        <v>0</v>
      </c>
      <c r="C151" s="105" t="s">
        <v>42</v>
      </c>
    </row>
    <row r="152" spans="1:3" x14ac:dyDescent="0.2">
      <c r="A152" s="114">
        <f>Open!Y19</f>
        <v>0</v>
      </c>
      <c r="C152" s="105" t="s">
        <v>42</v>
      </c>
    </row>
    <row r="153" spans="1:3" x14ac:dyDescent="0.2">
      <c r="A153" s="114">
        <f>Open!Y20</f>
        <v>0</v>
      </c>
      <c r="C153" s="105" t="s">
        <v>42</v>
      </c>
    </row>
    <row r="154" spans="1:3" x14ac:dyDescent="0.2">
      <c r="A154" s="114">
        <f>Open!Y21</f>
        <v>0</v>
      </c>
      <c r="C154" s="105" t="s">
        <v>42</v>
      </c>
    </row>
    <row r="155" spans="1:3" x14ac:dyDescent="0.2">
      <c r="A155" s="114">
        <f>Open!Y22</f>
        <v>0</v>
      </c>
      <c r="C155" s="105" t="s">
        <v>42</v>
      </c>
    </row>
    <row r="156" spans="1:3" x14ac:dyDescent="0.2">
      <c r="A156" s="114">
        <f>Open!Y23</f>
        <v>0</v>
      </c>
      <c r="C156" s="105" t="s">
        <v>42</v>
      </c>
    </row>
    <row r="157" spans="1:3" x14ac:dyDescent="0.2">
      <c r="A157" s="114">
        <f>Open!Y24</f>
        <v>0</v>
      </c>
      <c r="C157" s="105" t="s">
        <v>42</v>
      </c>
    </row>
    <row r="158" spans="1:3" x14ac:dyDescent="0.2">
      <c r="A158" s="114">
        <f>Open!Y25</f>
        <v>0</v>
      </c>
      <c r="C158" s="105" t="s">
        <v>42</v>
      </c>
    </row>
    <row r="159" spans="1:3" x14ac:dyDescent="0.2">
      <c r="A159" s="114">
        <f>Open!Y26</f>
        <v>0</v>
      </c>
      <c r="C159" s="105" t="s">
        <v>42</v>
      </c>
    </row>
    <row r="160" spans="1:3" x14ac:dyDescent="0.2">
      <c r="A160" s="114">
        <f>Open!Y27</f>
        <v>0</v>
      </c>
      <c r="C160" s="105" t="s">
        <v>42</v>
      </c>
    </row>
    <row r="161" spans="1:3" x14ac:dyDescent="0.2">
      <c r="A161" s="114">
        <f>Open!Y28</f>
        <v>0</v>
      </c>
      <c r="C161" s="105" t="s">
        <v>42</v>
      </c>
    </row>
    <row r="162" spans="1:3" x14ac:dyDescent="0.2">
      <c r="A162" s="114">
        <f>Open!Y29</f>
        <v>0</v>
      </c>
      <c r="C162" s="105" t="s">
        <v>42</v>
      </c>
    </row>
    <row r="163" spans="1:3" x14ac:dyDescent="0.2">
      <c r="A163" s="114">
        <f>Open!Y30</f>
        <v>0</v>
      </c>
      <c r="C163" s="105" t="s">
        <v>42</v>
      </c>
    </row>
    <row r="164" spans="1:3" x14ac:dyDescent="0.2">
      <c r="A164" s="114">
        <f>Open!J57</f>
        <v>0</v>
      </c>
      <c r="C164" s="115" t="s">
        <v>64</v>
      </c>
    </row>
    <row r="165" spans="1:3" x14ac:dyDescent="0.2">
      <c r="A165" s="114">
        <f>Open!J58</f>
        <v>0</v>
      </c>
      <c r="C165" s="115" t="s">
        <v>64</v>
      </c>
    </row>
    <row r="166" spans="1:3" x14ac:dyDescent="0.2">
      <c r="A166" s="114">
        <f>Open!J59</f>
        <v>0</v>
      </c>
      <c r="C166" s="115" t="s">
        <v>64</v>
      </c>
    </row>
    <row r="167" spans="1:3" x14ac:dyDescent="0.2">
      <c r="A167" s="114">
        <f>Open!J60</f>
        <v>0</v>
      </c>
      <c r="C167" s="115" t="s">
        <v>64</v>
      </c>
    </row>
    <row r="168" spans="1:3" x14ac:dyDescent="0.2">
      <c r="A168" s="114">
        <f>Open!K57</f>
        <v>0</v>
      </c>
      <c r="C168" s="115" t="s">
        <v>64</v>
      </c>
    </row>
    <row r="169" spans="1:3" x14ac:dyDescent="0.2">
      <c r="A169" s="114">
        <f>Open!K58</f>
        <v>0</v>
      </c>
      <c r="C169" s="115" t="s">
        <v>64</v>
      </c>
    </row>
    <row r="170" spans="1:3" x14ac:dyDescent="0.2">
      <c r="A170" s="114">
        <f>Open!K59</f>
        <v>0</v>
      </c>
      <c r="C170" s="115" t="s">
        <v>64</v>
      </c>
    </row>
    <row r="171" spans="1:3" x14ac:dyDescent="0.2">
      <c r="A171" s="114">
        <f>Open!K60</f>
        <v>0</v>
      </c>
      <c r="C171" s="115" t="s">
        <v>64</v>
      </c>
    </row>
    <row r="172" spans="1:3" x14ac:dyDescent="0.2">
      <c r="A172" s="114">
        <f>Open!L57</f>
        <v>0</v>
      </c>
      <c r="C172" s="115" t="s">
        <v>64</v>
      </c>
    </row>
    <row r="173" spans="1:3" x14ac:dyDescent="0.2">
      <c r="A173" s="114">
        <f>Open!L58</f>
        <v>0</v>
      </c>
      <c r="C173" s="115" t="s">
        <v>64</v>
      </c>
    </row>
    <row r="174" spans="1:3" x14ac:dyDescent="0.2">
      <c r="A174" s="114">
        <f>Open!L59</f>
        <v>0</v>
      </c>
      <c r="C174" s="115" t="s">
        <v>64</v>
      </c>
    </row>
    <row r="175" spans="1:3" x14ac:dyDescent="0.2">
      <c r="A175" s="114">
        <f>Open!L60</f>
        <v>0</v>
      </c>
      <c r="C175" s="115" t="s">
        <v>64</v>
      </c>
    </row>
    <row r="176" spans="1:3" x14ac:dyDescent="0.2">
      <c r="A176" s="114">
        <f>Open!M57</f>
        <v>0</v>
      </c>
      <c r="C176" s="115" t="s">
        <v>64</v>
      </c>
    </row>
    <row r="177" spans="1:3" x14ac:dyDescent="0.2">
      <c r="A177" s="114">
        <f>Open!M58</f>
        <v>0</v>
      </c>
      <c r="C177" s="115" t="s">
        <v>64</v>
      </c>
    </row>
    <row r="178" spans="1:3" x14ac:dyDescent="0.2">
      <c r="A178" s="114">
        <f>Open!M59</f>
        <v>0</v>
      </c>
      <c r="C178" s="115" t="s">
        <v>64</v>
      </c>
    </row>
    <row r="179" spans="1:3" x14ac:dyDescent="0.2">
      <c r="A179" s="114">
        <f>Open!M60</f>
        <v>0</v>
      </c>
      <c r="C179" s="115" t="s">
        <v>64</v>
      </c>
    </row>
    <row r="180" spans="1:3" x14ac:dyDescent="0.2">
      <c r="A180" s="114">
        <f>Open!N57</f>
        <v>0</v>
      </c>
      <c r="C180" s="115" t="s">
        <v>64</v>
      </c>
    </row>
    <row r="181" spans="1:3" x14ac:dyDescent="0.2">
      <c r="A181" s="114">
        <f>Open!N58</f>
        <v>0</v>
      </c>
      <c r="C181" s="115" t="s">
        <v>64</v>
      </c>
    </row>
    <row r="182" spans="1:3" x14ac:dyDescent="0.2">
      <c r="A182" s="114">
        <f>Open!N59</f>
        <v>0</v>
      </c>
      <c r="C182" s="115" t="s">
        <v>64</v>
      </c>
    </row>
    <row r="183" spans="1:3" x14ac:dyDescent="0.2">
      <c r="A183" s="114">
        <f>Open!N60</f>
        <v>0</v>
      </c>
      <c r="C183" s="115" t="s">
        <v>64</v>
      </c>
    </row>
    <row r="184" spans="1:3" x14ac:dyDescent="0.2">
      <c r="A184" s="114">
        <f>Open!O57</f>
        <v>0</v>
      </c>
      <c r="C184" s="115" t="s">
        <v>64</v>
      </c>
    </row>
    <row r="185" spans="1:3" x14ac:dyDescent="0.2">
      <c r="A185" s="114">
        <f>Open!O58</f>
        <v>0</v>
      </c>
      <c r="C185" s="115" t="s">
        <v>64</v>
      </c>
    </row>
    <row r="186" spans="1:3" x14ac:dyDescent="0.2">
      <c r="A186" s="114">
        <f>Open!O59</f>
        <v>0</v>
      </c>
      <c r="C186" s="115" t="s">
        <v>64</v>
      </c>
    </row>
    <row r="187" spans="1:3" x14ac:dyDescent="0.2">
      <c r="A187" s="114">
        <f>Open!O60</f>
        <v>0</v>
      </c>
      <c r="C187" s="115" t="s">
        <v>64</v>
      </c>
    </row>
    <row r="188" spans="1:3" x14ac:dyDescent="0.2">
      <c r="A188" s="114">
        <f>Open!P57</f>
        <v>0</v>
      </c>
      <c r="C188" s="115" t="s">
        <v>64</v>
      </c>
    </row>
    <row r="189" spans="1:3" x14ac:dyDescent="0.2">
      <c r="A189" s="114">
        <f>Open!P58</f>
        <v>0</v>
      </c>
      <c r="C189" s="115" t="s">
        <v>64</v>
      </c>
    </row>
    <row r="190" spans="1:3" x14ac:dyDescent="0.2">
      <c r="A190" s="114">
        <f>Open!P59</f>
        <v>0</v>
      </c>
      <c r="C190" s="115" t="s">
        <v>64</v>
      </c>
    </row>
    <row r="191" spans="1:3" x14ac:dyDescent="0.2">
      <c r="A191" s="114">
        <f>Open!P60</f>
        <v>0</v>
      </c>
      <c r="C191" s="115" t="s">
        <v>64</v>
      </c>
    </row>
    <row r="192" spans="1:3" x14ac:dyDescent="0.2">
      <c r="A192" s="114">
        <f>Open!Q57</f>
        <v>0</v>
      </c>
      <c r="C192" s="115" t="s">
        <v>64</v>
      </c>
    </row>
    <row r="193" spans="1:3" x14ac:dyDescent="0.2">
      <c r="A193" s="114">
        <f>Open!Q58</f>
        <v>0</v>
      </c>
      <c r="C193" s="115" t="s">
        <v>64</v>
      </c>
    </row>
    <row r="194" spans="1:3" x14ac:dyDescent="0.2">
      <c r="A194" s="114">
        <f>Open!J63</f>
        <v>0</v>
      </c>
      <c r="C194" s="115" t="s">
        <v>56</v>
      </c>
    </row>
    <row r="195" spans="1:3" x14ac:dyDescent="0.2">
      <c r="A195" s="114">
        <f>Open!J64</f>
        <v>0</v>
      </c>
      <c r="C195" s="115" t="s">
        <v>56</v>
      </c>
    </row>
    <row r="196" spans="1:3" x14ac:dyDescent="0.2">
      <c r="A196" s="114">
        <f>Open!K63</f>
        <v>0</v>
      </c>
      <c r="C196" s="115" t="s">
        <v>56</v>
      </c>
    </row>
    <row r="197" spans="1:3" x14ac:dyDescent="0.2">
      <c r="A197" s="114">
        <f>Open!K64</f>
        <v>0</v>
      </c>
      <c r="C197" s="115" t="s">
        <v>56</v>
      </c>
    </row>
    <row r="198" spans="1:3" x14ac:dyDescent="0.2">
      <c r="A198" s="114">
        <f>Open!L63</f>
        <v>0</v>
      </c>
      <c r="C198" s="115" t="s">
        <v>56</v>
      </c>
    </row>
    <row r="199" spans="1:3" x14ac:dyDescent="0.2">
      <c r="A199" s="114">
        <f>Open!L64</f>
        <v>0</v>
      </c>
      <c r="C199" s="115" t="s">
        <v>56</v>
      </c>
    </row>
    <row r="200" spans="1:3" x14ac:dyDescent="0.2">
      <c r="A200" s="114">
        <f>Open!M63</f>
        <v>0</v>
      </c>
      <c r="C200" s="115" t="s">
        <v>56</v>
      </c>
    </row>
    <row r="201" spans="1:3" x14ac:dyDescent="0.2">
      <c r="A201" s="114">
        <f>Open!M64</f>
        <v>0</v>
      </c>
      <c r="C201" s="115" t="s">
        <v>56</v>
      </c>
    </row>
    <row r="202" spans="1:3" x14ac:dyDescent="0.2">
      <c r="A202" s="114">
        <f>Open!N63</f>
        <v>0</v>
      </c>
      <c r="C202" s="115" t="s">
        <v>56</v>
      </c>
    </row>
    <row r="203" spans="1:3" x14ac:dyDescent="0.2">
      <c r="A203" s="114">
        <f>Open!N64</f>
        <v>0</v>
      </c>
      <c r="C203" s="115" t="s">
        <v>56</v>
      </c>
    </row>
    <row r="204" spans="1:3" x14ac:dyDescent="0.2">
      <c r="A204" s="114">
        <f>Open!O63</f>
        <v>0</v>
      </c>
      <c r="C204" s="115" t="s">
        <v>56</v>
      </c>
    </row>
    <row r="205" spans="1:3" x14ac:dyDescent="0.2">
      <c r="A205" s="114">
        <f>Open!O64</f>
        <v>0</v>
      </c>
      <c r="C205" s="115" t="s">
        <v>56</v>
      </c>
    </row>
    <row r="206" spans="1:3" x14ac:dyDescent="0.2">
      <c r="A206" s="114">
        <f>Open!P63</f>
        <v>0</v>
      </c>
      <c r="C206" s="115" t="s">
        <v>56</v>
      </c>
    </row>
    <row r="207" spans="1:3" x14ac:dyDescent="0.2">
      <c r="A207" s="114">
        <f>Open!P64</f>
        <v>0</v>
      </c>
      <c r="C207" s="115" t="s">
        <v>56</v>
      </c>
    </row>
    <row r="208" spans="1:3" x14ac:dyDescent="0.2">
      <c r="A208" s="114">
        <f>Open!Q63</f>
        <v>0</v>
      </c>
      <c r="C208" s="115" t="s">
        <v>56</v>
      </c>
    </row>
    <row r="209" spans="1:3" x14ac:dyDescent="0.2">
      <c r="A209" s="114">
        <f>Open!J67</f>
        <v>0</v>
      </c>
      <c r="C209" s="115" t="s">
        <v>74</v>
      </c>
    </row>
    <row r="210" spans="1:3" x14ac:dyDescent="0.2">
      <c r="A210" s="114">
        <f>Open!J68</f>
        <v>0</v>
      </c>
      <c r="C210" s="115" t="s">
        <v>74</v>
      </c>
    </row>
    <row r="211" spans="1:3" x14ac:dyDescent="0.2">
      <c r="A211" s="114">
        <f>Open!K67</f>
        <v>0</v>
      </c>
      <c r="C211" s="115" t="s">
        <v>74</v>
      </c>
    </row>
    <row r="212" spans="1:3" x14ac:dyDescent="0.2">
      <c r="A212" s="114">
        <f>Open!K68</f>
        <v>0</v>
      </c>
      <c r="C212" s="115" t="s">
        <v>74</v>
      </c>
    </row>
    <row r="213" spans="1:3" x14ac:dyDescent="0.2">
      <c r="A213" s="114">
        <f>Open!L67</f>
        <v>0</v>
      </c>
      <c r="C213" s="115" t="s">
        <v>74</v>
      </c>
    </row>
    <row r="214" spans="1:3" x14ac:dyDescent="0.2">
      <c r="A214" s="114">
        <f>Open!L68</f>
        <v>0</v>
      </c>
      <c r="C214" s="115" t="s">
        <v>74</v>
      </c>
    </row>
    <row r="215" spans="1:3" x14ac:dyDescent="0.2">
      <c r="A215" s="114">
        <f>Open!M67</f>
        <v>0</v>
      </c>
      <c r="C215" s="115" t="s">
        <v>74</v>
      </c>
    </row>
    <row r="216" spans="1:3" x14ac:dyDescent="0.2">
      <c r="A216" s="114">
        <f>Open!M68</f>
        <v>0</v>
      </c>
      <c r="C216" s="115" t="s">
        <v>74</v>
      </c>
    </row>
    <row r="217" spans="1:3" x14ac:dyDescent="0.2">
      <c r="A217" s="114">
        <f>Open!N67</f>
        <v>0</v>
      </c>
      <c r="C217" s="115" t="s">
        <v>74</v>
      </c>
    </row>
    <row r="218" spans="1:3" x14ac:dyDescent="0.2">
      <c r="A218" s="114">
        <f>Open!N68</f>
        <v>0</v>
      </c>
      <c r="C218" s="115" t="s">
        <v>74</v>
      </c>
    </row>
    <row r="219" spans="1:3" x14ac:dyDescent="0.2">
      <c r="A219" s="114">
        <f>Open!O67</f>
        <v>0</v>
      </c>
      <c r="C219" s="115" t="s">
        <v>74</v>
      </c>
    </row>
    <row r="220" spans="1:3" x14ac:dyDescent="0.2">
      <c r="A220" s="114">
        <f>Open!O68</f>
        <v>0</v>
      </c>
      <c r="C220" s="115" t="s">
        <v>74</v>
      </c>
    </row>
    <row r="221" spans="1:3" x14ac:dyDescent="0.2">
      <c r="A221" s="114">
        <f>Open!P67</f>
        <v>0</v>
      </c>
      <c r="C221" s="115" t="s">
        <v>74</v>
      </c>
    </row>
    <row r="222" spans="1:3" x14ac:dyDescent="0.2">
      <c r="A222" s="114">
        <f>Open!P68</f>
        <v>0</v>
      </c>
      <c r="C222" s="115" t="s">
        <v>74</v>
      </c>
    </row>
    <row r="223" spans="1:3" x14ac:dyDescent="0.2">
      <c r="A223" s="114">
        <f>Open!Q67</f>
        <v>0</v>
      </c>
      <c r="C223" s="115" t="s">
        <v>74</v>
      </c>
    </row>
    <row r="224" spans="1:3" x14ac:dyDescent="0.2">
      <c r="A224" s="114">
        <f>Open!Q68</f>
        <v>0</v>
      </c>
      <c r="C224" s="115" t="s">
        <v>74</v>
      </c>
    </row>
    <row r="225" spans="1:3" x14ac:dyDescent="0.2">
      <c r="A225" s="114">
        <f>Open!J73</f>
        <v>0</v>
      </c>
      <c r="C225" s="115" t="s">
        <v>90</v>
      </c>
    </row>
    <row r="226" spans="1:3" x14ac:dyDescent="0.2">
      <c r="A226" s="114">
        <f>Open!J74</f>
        <v>0</v>
      </c>
      <c r="C226" s="115" t="s">
        <v>90</v>
      </c>
    </row>
    <row r="227" spans="1:3" x14ac:dyDescent="0.2">
      <c r="A227" s="114">
        <f>Open!J75</f>
        <v>0</v>
      </c>
      <c r="C227" s="115" t="s">
        <v>90</v>
      </c>
    </row>
    <row r="228" spans="1:3" x14ac:dyDescent="0.2">
      <c r="A228" s="114">
        <f>Open!J76</f>
        <v>0</v>
      </c>
      <c r="C228" s="115" t="s">
        <v>90</v>
      </c>
    </row>
    <row r="229" spans="1:3" x14ac:dyDescent="0.2">
      <c r="A229" s="114">
        <f>Open!J77</f>
        <v>0</v>
      </c>
      <c r="C229" s="115" t="s">
        <v>90</v>
      </c>
    </row>
    <row r="230" spans="1:3" x14ac:dyDescent="0.2">
      <c r="A230" s="114">
        <f>Open!J78</f>
        <v>0</v>
      </c>
      <c r="C230" s="115" t="s">
        <v>90</v>
      </c>
    </row>
    <row r="231" spans="1:3" x14ac:dyDescent="0.2">
      <c r="A231" s="114">
        <f>Open!J79</f>
        <v>0</v>
      </c>
      <c r="C231" s="115" t="s">
        <v>90</v>
      </c>
    </row>
    <row r="232" spans="1:3" x14ac:dyDescent="0.2">
      <c r="A232" s="114">
        <f>Open!J80</f>
        <v>0</v>
      </c>
      <c r="C232" s="115" t="s">
        <v>90</v>
      </c>
    </row>
    <row r="233" spans="1:3" x14ac:dyDescent="0.2">
      <c r="A233" s="114">
        <f>Open!J81</f>
        <v>0</v>
      </c>
      <c r="C233" s="115" t="s">
        <v>90</v>
      </c>
    </row>
    <row r="234" spans="1:3" x14ac:dyDescent="0.2">
      <c r="A234" s="114">
        <f>Open!J82</f>
        <v>0</v>
      </c>
      <c r="C234" s="115" t="s">
        <v>90</v>
      </c>
    </row>
    <row r="235" spans="1:3" x14ac:dyDescent="0.2">
      <c r="A235" s="114">
        <f>Open!J83</f>
        <v>0</v>
      </c>
      <c r="C235" s="115" t="s">
        <v>90</v>
      </c>
    </row>
    <row r="236" spans="1:3" x14ac:dyDescent="0.2">
      <c r="A236" s="114">
        <f>Open!J84</f>
        <v>0</v>
      </c>
      <c r="C236" s="115" t="s">
        <v>90</v>
      </c>
    </row>
    <row r="237" spans="1:3" x14ac:dyDescent="0.2">
      <c r="A237" s="114">
        <f>Open!J85</f>
        <v>0</v>
      </c>
      <c r="C237" s="115" t="s">
        <v>90</v>
      </c>
    </row>
    <row r="238" spans="1:3" x14ac:dyDescent="0.2">
      <c r="A238" s="114">
        <f>Open!N73</f>
        <v>0</v>
      </c>
      <c r="C238" s="115" t="s">
        <v>90</v>
      </c>
    </row>
    <row r="239" spans="1:3" x14ac:dyDescent="0.2">
      <c r="A239" s="114">
        <f>Open!N74</f>
        <v>0</v>
      </c>
      <c r="C239" s="115" t="s">
        <v>90</v>
      </c>
    </row>
    <row r="240" spans="1:3" x14ac:dyDescent="0.2">
      <c r="A240" s="114">
        <f>Open!N75</f>
        <v>0</v>
      </c>
      <c r="C240" s="115" t="s">
        <v>90</v>
      </c>
    </row>
    <row r="241" spans="1:3" x14ac:dyDescent="0.2">
      <c r="A241" s="114">
        <f>Open!N76</f>
        <v>0</v>
      </c>
      <c r="C241" s="115" t="s">
        <v>90</v>
      </c>
    </row>
    <row r="242" spans="1:3" x14ac:dyDescent="0.2">
      <c r="A242" s="114">
        <f>Open!N77</f>
        <v>0</v>
      </c>
      <c r="C242" s="115" t="s">
        <v>90</v>
      </c>
    </row>
    <row r="243" spans="1:3" x14ac:dyDescent="0.2">
      <c r="A243" s="114">
        <f>Open!N78</f>
        <v>0</v>
      </c>
      <c r="C243" s="115" t="s">
        <v>90</v>
      </c>
    </row>
    <row r="244" spans="1:3" x14ac:dyDescent="0.2">
      <c r="A244" s="114">
        <f>Open!N79</f>
        <v>0</v>
      </c>
      <c r="C244" s="115" t="s">
        <v>90</v>
      </c>
    </row>
    <row r="245" spans="1:3" x14ac:dyDescent="0.2">
      <c r="A245" s="114">
        <f>Open!N80</f>
        <v>0</v>
      </c>
      <c r="C245" s="115" t="s">
        <v>90</v>
      </c>
    </row>
    <row r="246" spans="1:3" x14ac:dyDescent="0.2">
      <c r="A246" s="114">
        <f>Open!N81</f>
        <v>0</v>
      </c>
      <c r="C246" s="115" t="s">
        <v>90</v>
      </c>
    </row>
    <row r="247" spans="1:3" x14ac:dyDescent="0.2">
      <c r="A247" s="114">
        <f>Open!N82</f>
        <v>0</v>
      </c>
      <c r="C247" s="115" t="s">
        <v>90</v>
      </c>
    </row>
    <row r="248" spans="1:3" x14ac:dyDescent="0.2">
      <c r="A248" s="114">
        <f>Open!N83</f>
        <v>0</v>
      </c>
      <c r="C248" s="115" t="s">
        <v>90</v>
      </c>
    </row>
    <row r="249" spans="1:3" x14ac:dyDescent="0.2">
      <c r="A249" s="114">
        <f>Open!N84</f>
        <v>0</v>
      </c>
      <c r="C249" s="115" t="s">
        <v>90</v>
      </c>
    </row>
    <row r="250" spans="1:3" x14ac:dyDescent="0.2">
      <c r="A250" s="114">
        <f>Open!N85</f>
        <v>0</v>
      </c>
      <c r="C250" s="115" t="s">
        <v>90</v>
      </c>
    </row>
    <row r="251" spans="1:3" x14ac:dyDescent="0.2">
      <c r="A251" s="114">
        <f>Open!T73</f>
        <v>0</v>
      </c>
      <c r="C251" s="115" t="s">
        <v>90</v>
      </c>
    </row>
    <row r="252" spans="1:3" x14ac:dyDescent="0.2">
      <c r="A252" s="114">
        <f>Open!T74</f>
        <v>0</v>
      </c>
      <c r="C252" s="115" t="s">
        <v>90</v>
      </c>
    </row>
    <row r="253" spans="1:3" x14ac:dyDescent="0.2">
      <c r="A253" s="114">
        <f>Open!T75</f>
        <v>0</v>
      </c>
      <c r="C253" s="115" t="s">
        <v>90</v>
      </c>
    </row>
    <row r="254" spans="1:3" x14ac:dyDescent="0.2">
      <c r="A254" s="114">
        <f>Open!T76</f>
        <v>0</v>
      </c>
      <c r="C254" s="115" t="s">
        <v>90</v>
      </c>
    </row>
    <row r="255" spans="1:3" x14ac:dyDescent="0.2">
      <c r="A255" s="114">
        <f>Open!T77</f>
        <v>0</v>
      </c>
      <c r="C255" s="115" t="s">
        <v>90</v>
      </c>
    </row>
    <row r="256" spans="1:3" x14ac:dyDescent="0.2">
      <c r="A256" s="114">
        <f>Open!T78</f>
        <v>0</v>
      </c>
      <c r="C256" s="115" t="s">
        <v>90</v>
      </c>
    </row>
    <row r="257" spans="1:3" x14ac:dyDescent="0.2">
      <c r="A257" s="114">
        <f>Open!T79</f>
        <v>0</v>
      </c>
      <c r="C257" s="115" t="s">
        <v>90</v>
      </c>
    </row>
    <row r="258" spans="1:3" x14ac:dyDescent="0.2">
      <c r="A258" s="114">
        <f>Open!T80</f>
        <v>0</v>
      </c>
      <c r="C258" s="115" t="s">
        <v>90</v>
      </c>
    </row>
    <row r="259" spans="1:3" x14ac:dyDescent="0.2">
      <c r="A259" s="114">
        <f>Open!T81</f>
        <v>0</v>
      </c>
      <c r="C259" s="115" t="s">
        <v>90</v>
      </c>
    </row>
    <row r="260" spans="1:3" x14ac:dyDescent="0.2">
      <c r="A260" s="114">
        <f>Open!T82</f>
        <v>0</v>
      </c>
      <c r="C260" s="115" t="s">
        <v>90</v>
      </c>
    </row>
    <row r="261" spans="1:3" x14ac:dyDescent="0.2">
      <c r="A261" s="114">
        <f>Open!T83</f>
        <v>0</v>
      </c>
      <c r="C261" s="115" t="s">
        <v>90</v>
      </c>
    </row>
    <row r="262" spans="1:3" x14ac:dyDescent="0.2">
      <c r="A262" s="114">
        <f>Open!T84</f>
        <v>0</v>
      </c>
      <c r="C262" s="115" t="s">
        <v>90</v>
      </c>
    </row>
    <row r="263" spans="1:3" x14ac:dyDescent="0.2">
      <c r="A263" s="114">
        <f>Open!T85</f>
        <v>0</v>
      </c>
      <c r="C263" s="115" t="s">
        <v>90</v>
      </c>
    </row>
    <row r="264" spans="1:3" x14ac:dyDescent="0.2">
      <c r="A264" s="114">
        <f>Open!X73</f>
        <v>0</v>
      </c>
      <c r="C264" s="115" t="s">
        <v>90</v>
      </c>
    </row>
    <row r="265" spans="1:3" x14ac:dyDescent="0.2">
      <c r="A265" s="114">
        <f>Open!X74</f>
        <v>0</v>
      </c>
      <c r="C265" s="115" t="s">
        <v>90</v>
      </c>
    </row>
    <row r="266" spans="1:3" x14ac:dyDescent="0.2">
      <c r="A266" s="114">
        <f>Open!X75</f>
        <v>0</v>
      </c>
      <c r="C266" s="115" t="s">
        <v>90</v>
      </c>
    </row>
    <row r="267" spans="1:3" x14ac:dyDescent="0.2">
      <c r="A267" s="114">
        <f>Open!X76</f>
        <v>0</v>
      </c>
      <c r="C267" s="115" t="s">
        <v>90</v>
      </c>
    </row>
    <row r="268" spans="1:3" x14ac:dyDescent="0.2">
      <c r="A268" s="114">
        <f>Open!X77</f>
        <v>0</v>
      </c>
      <c r="C268" s="115" t="s">
        <v>90</v>
      </c>
    </row>
    <row r="269" spans="1:3" x14ac:dyDescent="0.2">
      <c r="A269" s="114">
        <f>Open!X78</f>
        <v>0</v>
      </c>
      <c r="C269" s="115" t="s">
        <v>90</v>
      </c>
    </row>
    <row r="270" spans="1:3" x14ac:dyDescent="0.2">
      <c r="A270" s="114">
        <f>Open!X79</f>
        <v>0</v>
      </c>
      <c r="C270" s="115" t="s">
        <v>90</v>
      </c>
    </row>
    <row r="271" spans="1:3" x14ac:dyDescent="0.2">
      <c r="A271" s="114">
        <f>Open!X80</f>
        <v>0</v>
      </c>
      <c r="C271" s="115" t="s">
        <v>90</v>
      </c>
    </row>
    <row r="272" spans="1:3" x14ac:dyDescent="0.2">
      <c r="A272" s="114">
        <f>Open!X81</f>
        <v>0</v>
      </c>
      <c r="C272" s="115" t="s">
        <v>90</v>
      </c>
    </row>
    <row r="273" spans="1:3" x14ac:dyDescent="0.2">
      <c r="A273" s="114">
        <f>Open!X82</f>
        <v>0</v>
      </c>
      <c r="C273" s="115" t="s">
        <v>90</v>
      </c>
    </row>
    <row r="274" spans="1:3" x14ac:dyDescent="0.2">
      <c r="A274" s="114">
        <f>Open!X83</f>
        <v>0</v>
      </c>
      <c r="C274" s="115" t="s">
        <v>90</v>
      </c>
    </row>
    <row r="275" spans="1:3" x14ac:dyDescent="0.2">
      <c r="A275" s="114">
        <f>Open!X84</f>
        <v>0</v>
      </c>
      <c r="C275" s="115" t="s">
        <v>90</v>
      </c>
    </row>
    <row r="276" spans="1:3" x14ac:dyDescent="0.2">
      <c r="A276" s="114">
        <f>Open!X85</f>
        <v>0</v>
      </c>
      <c r="C276" s="115" t="s">
        <v>90</v>
      </c>
    </row>
    <row r="277" spans="1:3" x14ac:dyDescent="0.2">
      <c r="A277" s="114">
        <f>Open!S67</f>
        <v>0</v>
      </c>
      <c r="C277" s="115" t="s">
        <v>65</v>
      </c>
    </row>
    <row r="278" spans="1:3" x14ac:dyDescent="0.2">
      <c r="A278" s="114">
        <f>Open!S68</f>
        <v>0</v>
      </c>
      <c r="C278" s="115" t="s">
        <v>65</v>
      </c>
    </row>
    <row r="279" spans="1:3" x14ac:dyDescent="0.2">
      <c r="A279" s="114">
        <f>Open!T67</f>
        <v>0</v>
      </c>
      <c r="C279" s="115" t="s">
        <v>65</v>
      </c>
    </row>
    <row r="280" spans="1:3" x14ac:dyDescent="0.2">
      <c r="A280" s="114">
        <f>Open!T68</f>
        <v>0</v>
      </c>
      <c r="C280" s="115" t="s">
        <v>65</v>
      </c>
    </row>
    <row r="281" spans="1:3" x14ac:dyDescent="0.2">
      <c r="A281" s="114">
        <f>Open!V67</f>
        <v>0</v>
      </c>
      <c r="C281" s="115" t="s">
        <v>66</v>
      </c>
    </row>
    <row r="282" spans="1:3" x14ac:dyDescent="0.2">
      <c r="A282" s="114">
        <f>Open!V68</f>
        <v>0</v>
      </c>
      <c r="C282" s="115" t="s">
        <v>66</v>
      </c>
    </row>
    <row r="283" spans="1:3" x14ac:dyDescent="0.2">
      <c r="A283" s="114">
        <f>Open!W67</f>
        <v>0</v>
      </c>
      <c r="C283" s="115" t="s">
        <v>66</v>
      </c>
    </row>
    <row r="284" spans="1:3" x14ac:dyDescent="0.2">
      <c r="A284" s="114">
        <f>Open!W68</f>
        <v>0</v>
      </c>
      <c r="C284" s="115" t="s">
        <v>66</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249977111117893"/>
  </sheetPr>
  <dimension ref="A1:U75"/>
  <sheetViews>
    <sheetView workbookViewId="0">
      <selection activeCell="H44" sqref="H44"/>
    </sheetView>
  </sheetViews>
  <sheetFormatPr defaultRowHeight="12.75" x14ac:dyDescent="0.2"/>
  <cols>
    <col min="2" max="2" width="8.7109375" customWidth="1"/>
    <col min="3" max="3" width="12.7109375" customWidth="1"/>
    <col min="4" max="4" width="8.7109375" customWidth="1"/>
    <col min="5" max="5" width="12.7109375" customWidth="1"/>
    <col min="6" max="6" width="8.7109375" customWidth="1"/>
    <col min="7" max="7" width="12.7109375" customWidth="1"/>
    <col min="8" max="8" width="8.7109375" customWidth="1"/>
    <col min="9" max="9" width="12.7109375" customWidth="1"/>
    <col min="11" max="11" width="12.42578125" style="105" customWidth="1"/>
    <col min="12" max="12" width="16.5703125" style="105" customWidth="1"/>
    <col min="13" max="13" width="14.7109375" style="105" customWidth="1"/>
    <col min="15" max="15" width="11.28515625" style="105" customWidth="1"/>
    <col min="16" max="16" width="18.140625" style="105" customWidth="1"/>
    <col min="17" max="17" width="13.5703125" style="105" bestFit="1" customWidth="1"/>
  </cols>
  <sheetData>
    <row r="1" spans="1:21" x14ac:dyDescent="0.2">
      <c r="B1" s="212"/>
      <c r="C1" s="11"/>
      <c r="D1" s="11"/>
      <c r="E1" s="213"/>
      <c r="F1" s="11"/>
      <c r="G1" s="11"/>
      <c r="H1" s="11"/>
      <c r="I1" s="214"/>
    </row>
    <row r="2" spans="1:21" ht="15.95" customHeight="1" x14ac:dyDescent="0.2">
      <c r="B2" s="215" t="s">
        <v>106</v>
      </c>
      <c r="C2" s="216">
        <v>19</v>
      </c>
      <c r="D2" s="215" t="s">
        <v>107</v>
      </c>
      <c r="E2" s="215">
        <v>36</v>
      </c>
      <c r="F2" s="215" t="s">
        <v>108</v>
      </c>
      <c r="G2" s="215">
        <v>32</v>
      </c>
      <c r="H2" s="215" t="s">
        <v>72</v>
      </c>
      <c r="I2" s="217"/>
      <c r="J2" s="218"/>
      <c r="K2" s="219"/>
      <c r="L2" s="219"/>
      <c r="M2" s="219"/>
      <c r="N2" s="218"/>
      <c r="O2" s="219"/>
      <c r="P2" s="219"/>
      <c r="Q2" s="219"/>
      <c r="R2" s="5"/>
    </row>
    <row r="3" spans="1:21" ht="15.95" customHeight="1" x14ac:dyDescent="0.2">
      <c r="A3">
        <v>1</v>
      </c>
      <c r="B3" s="220">
        <v>3283</v>
      </c>
      <c r="C3" s="221"/>
      <c r="D3" s="222">
        <v>7205</v>
      </c>
      <c r="E3" s="221"/>
      <c r="F3" s="220">
        <v>8053</v>
      </c>
      <c r="G3" s="221"/>
      <c r="H3" s="220">
        <v>9247</v>
      </c>
      <c r="I3" s="221"/>
      <c r="J3" s="218"/>
      <c r="K3" s="475" t="s">
        <v>109</v>
      </c>
      <c r="L3" s="477"/>
      <c r="M3" s="477"/>
      <c r="N3" s="477"/>
      <c r="O3" s="477"/>
      <c r="P3" s="477"/>
      <c r="Q3" s="478"/>
      <c r="R3" s="5"/>
    </row>
    <row r="4" spans="1:21" ht="15.95" customHeight="1" x14ac:dyDescent="0.2">
      <c r="A4">
        <f>+A3+1</f>
        <v>2</v>
      </c>
      <c r="B4" s="220">
        <v>3284</v>
      </c>
      <c r="C4" s="221"/>
      <c r="D4" s="222">
        <v>7220</v>
      </c>
      <c r="E4" s="223"/>
      <c r="F4" s="224">
        <v>8055</v>
      </c>
      <c r="G4" s="223"/>
      <c r="H4" s="220">
        <v>9248</v>
      </c>
      <c r="I4" s="221"/>
      <c r="J4" s="218"/>
      <c r="K4" s="476"/>
      <c r="L4" s="479"/>
      <c r="M4" s="479"/>
      <c r="N4" s="479"/>
      <c r="O4" s="479"/>
      <c r="P4" s="479"/>
      <c r="Q4" s="480"/>
      <c r="R4" s="5"/>
    </row>
    <row r="5" spans="1:21" ht="15.95" customHeight="1" x14ac:dyDescent="0.25">
      <c r="A5">
        <f t="shared" ref="A5:A65" si="0">+A4+1</f>
        <v>3</v>
      </c>
      <c r="B5" s="220">
        <v>3285</v>
      </c>
      <c r="C5" s="221"/>
      <c r="D5" s="222">
        <v>7221</v>
      </c>
      <c r="E5" s="225"/>
      <c r="F5" s="226">
        <v>8056</v>
      </c>
      <c r="G5" s="221"/>
      <c r="H5" s="220">
        <v>9250</v>
      </c>
      <c r="I5" s="221"/>
      <c r="J5" s="218"/>
      <c r="K5" s="227"/>
      <c r="L5" s="227"/>
      <c r="M5" s="227"/>
      <c r="N5" s="228"/>
      <c r="O5" s="227"/>
      <c r="P5" s="229"/>
      <c r="Q5" s="229"/>
      <c r="R5" s="230"/>
    </row>
    <row r="6" spans="1:21" ht="15.95" customHeight="1" x14ac:dyDescent="0.25">
      <c r="A6">
        <f t="shared" si="0"/>
        <v>4</v>
      </c>
      <c r="B6" s="220">
        <v>3286</v>
      </c>
      <c r="C6" s="221"/>
      <c r="D6" s="222">
        <v>7222</v>
      </c>
      <c r="E6" s="231"/>
      <c r="F6" s="220">
        <v>8057</v>
      </c>
      <c r="G6" s="221"/>
      <c r="H6" s="220">
        <v>9251</v>
      </c>
      <c r="I6" s="221"/>
      <c r="J6" s="218"/>
      <c r="K6" s="481" t="s">
        <v>110</v>
      </c>
      <c r="L6" s="481"/>
      <c r="M6" s="481"/>
      <c r="N6" s="481"/>
      <c r="O6" s="481"/>
      <c r="P6" s="481"/>
      <c r="Q6" s="481"/>
      <c r="R6" s="232"/>
    </row>
    <row r="7" spans="1:21" ht="15.95" customHeight="1" x14ac:dyDescent="0.25">
      <c r="A7">
        <f t="shared" si="0"/>
        <v>5</v>
      </c>
      <c r="B7" s="220">
        <v>3287</v>
      </c>
      <c r="C7" s="221"/>
      <c r="D7" s="220">
        <v>7224</v>
      </c>
      <c r="E7" s="231"/>
      <c r="F7" s="220">
        <v>8058</v>
      </c>
      <c r="G7" s="221"/>
      <c r="H7" s="220">
        <v>9252</v>
      </c>
      <c r="I7" s="221"/>
      <c r="J7" s="218"/>
      <c r="K7" s="481"/>
      <c r="L7" s="481"/>
      <c r="M7" s="481"/>
      <c r="N7" s="481"/>
      <c r="O7" s="481"/>
      <c r="P7" s="481"/>
      <c r="Q7" s="481"/>
      <c r="R7" s="232"/>
    </row>
    <row r="8" spans="1:21" ht="15.95" customHeight="1" x14ac:dyDescent="0.25">
      <c r="A8">
        <f t="shared" si="0"/>
        <v>6</v>
      </c>
      <c r="B8" s="220">
        <v>3289</v>
      </c>
      <c r="C8" s="221"/>
      <c r="D8" s="220">
        <v>7225</v>
      </c>
      <c r="E8" s="231"/>
      <c r="F8" s="220">
        <v>8059</v>
      </c>
      <c r="G8" s="223"/>
      <c r="H8" s="220">
        <v>9253</v>
      </c>
      <c r="I8" s="221"/>
      <c r="J8" s="218"/>
      <c r="K8" s="219"/>
      <c r="L8" s="219"/>
      <c r="M8" s="219"/>
      <c r="N8" s="218"/>
      <c r="O8" s="219"/>
      <c r="P8" s="219"/>
      <c r="Q8" s="219"/>
      <c r="R8" s="232"/>
    </row>
    <row r="9" spans="1:21" ht="15.95" customHeight="1" x14ac:dyDescent="0.25">
      <c r="A9">
        <f t="shared" si="0"/>
        <v>7</v>
      </c>
      <c r="B9" s="220">
        <v>3290</v>
      </c>
      <c r="C9" s="221"/>
      <c r="D9" s="220">
        <v>7226</v>
      </c>
      <c r="E9" s="231"/>
      <c r="F9" s="224">
        <v>8060</v>
      </c>
      <c r="G9" s="221"/>
      <c r="H9" s="220">
        <v>9254</v>
      </c>
      <c r="I9" s="223"/>
      <c r="J9" s="218"/>
      <c r="K9" s="470" t="s">
        <v>111</v>
      </c>
      <c r="L9" s="470"/>
      <c r="M9" s="470"/>
      <c r="N9" s="227"/>
      <c r="O9" s="482" t="s">
        <v>112</v>
      </c>
      <c r="P9" s="482"/>
      <c r="Q9" s="482"/>
      <c r="R9" s="232"/>
    </row>
    <row r="10" spans="1:21" ht="15.95" customHeight="1" x14ac:dyDescent="0.25">
      <c r="A10">
        <f t="shared" si="0"/>
        <v>8</v>
      </c>
      <c r="B10" s="220">
        <v>3291</v>
      </c>
      <c r="C10" s="221"/>
      <c r="D10" s="220">
        <v>7227</v>
      </c>
      <c r="E10" s="231"/>
      <c r="F10" s="220">
        <v>8061</v>
      </c>
      <c r="G10" s="221"/>
      <c r="H10" s="220">
        <v>9255</v>
      </c>
      <c r="I10" s="221"/>
      <c r="J10" s="218"/>
      <c r="K10" s="233" t="s">
        <v>113</v>
      </c>
      <c r="L10" s="234" t="s">
        <v>114</v>
      </c>
      <c r="M10" s="234" t="s">
        <v>115</v>
      </c>
      <c r="N10" s="227"/>
      <c r="O10" s="235" t="s">
        <v>113</v>
      </c>
      <c r="P10" s="236" t="s">
        <v>114</v>
      </c>
      <c r="Q10" s="236" t="s">
        <v>115</v>
      </c>
      <c r="R10" s="232"/>
      <c r="T10" t="s">
        <v>116</v>
      </c>
    </row>
    <row r="11" spans="1:21" ht="15.95" customHeight="1" x14ac:dyDescent="0.25">
      <c r="A11">
        <f t="shared" si="0"/>
        <v>9</v>
      </c>
      <c r="B11" s="220">
        <v>3293</v>
      </c>
      <c r="C11" s="221"/>
      <c r="D11" s="217">
        <v>7228</v>
      </c>
      <c r="E11" s="221"/>
      <c r="F11" s="220">
        <v>8062</v>
      </c>
      <c r="G11" s="221"/>
      <c r="H11" s="224">
        <v>9256</v>
      </c>
      <c r="I11" s="221"/>
      <c r="J11" s="218"/>
      <c r="K11" s="225"/>
      <c r="L11" s="225"/>
      <c r="M11" s="225"/>
      <c r="N11" s="218"/>
      <c r="O11" s="225"/>
      <c r="P11" s="225"/>
      <c r="Q11" s="225"/>
      <c r="R11" s="232"/>
    </row>
    <row r="12" spans="1:21" ht="15.95" customHeight="1" x14ac:dyDescent="0.25">
      <c r="A12">
        <f t="shared" si="0"/>
        <v>10</v>
      </c>
      <c r="B12" s="220">
        <v>3294</v>
      </c>
      <c r="C12" s="221"/>
      <c r="D12" s="220">
        <v>7229</v>
      </c>
      <c r="E12" s="221"/>
      <c r="F12" s="220">
        <v>8063</v>
      </c>
      <c r="G12" s="221"/>
      <c r="H12" s="224">
        <v>9257</v>
      </c>
      <c r="I12" s="231"/>
      <c r="J12" s="218"/>
      <c r="K12" s="225"/>
      <c r="L12" s="225"/>
      <c r="M12" s="225"/>
      <c r="N12" s="218"/>
      <c r="O12" s="225"/>
      <c r="P12" s="225"/>
      <c r="Q12" s="225"/>
      <c r="R12" s="232"/>
    </row>
    <row r="13" spans="1:21" ht="15.95" customHeight="1" x14ac:dyDescent="0.25">
      <c r="A13">
        <f t="shared" si="0"/>
        <v>11</v>
      </c>
      <c r="B13" s="220">
        <v>3295</v>
      </c>
      <c r="C13" s="221"/>
      <c r="D13" s="220">
        <v>7230</v>
      </c>
      <c r="E13" s="221"/>
      <c r="F13" s="220">
        <v>8064</v>
      </c>
      <c r="G13" s="221"/>
      <c r="H13" s="224">
        <v>9259</v>
      </c>
      <c r="I13" s="221"/>
      <c r="J13" s="218"/>
      <c r="K13" s="225"/>
      <c r="L13" s="225"/>
      <c r="M13" s="225"/>
      <c r="N13" s="218"/>
      <c r="O13" s="225"/>
      <c r="P13" s="225"/>
      <c r="Q13" s="225"/>
      <c r="R13" s="232"/>
    </row>
    <row r="14" spans="1:21" ht="15.95" customHeight="1" x14ac:dyDescent="0.25">
      <c r="A14">
        <f t="shared" si="0"/>
        <v>12</v>
      </c>
      <c r="B14" s="220">
        <v>3296</v>
      </c>
      <c r="C14" s="221"/>
      <c r="D14" s="217">
        <v>7231</v>
      </c>
      <c r="E14" s="221"/>
      <c r="F14" s="220">
        <v>8065</v>
      </c>
      <c r="G14" s="221"/>
      <c r="H14" s="224">
        <v>9260</v>
      </c>
      <c r="I14" s="237"/>
      <c r="J14" s="218"/>
      <c r="N14" s="218"/>
      <c r="O14" s="225"/>
      <c r="P14" s="225"/>
      <c r="Q14" s="225"/>
    </row>
    <row r="15" spans="1:21" ht="15.95" customHeight="1" x14ac:dyDescent="0.25">
      <c r="A15">
        <f t="shared" si="0"/>
        <v>13</v>
      </c>
      <c r="B15" s="220">
        <v>3297</v>
      </c>
      <c r="C15" s="221"/>
      <c r="D15" s="217">
        <v>7232</v>
      </c>
      <c r="E15" s="237"/>
      <c r="F15" s="220">
        <v>8066</v>
      </c>
      <c r="G15" s="221"/>
      <c r="H15" s="224">
        <v>9261</v>
      </c>
      <c r="I15" s="231"/>
      <c r="J15" s="218"/>
      <c r="K15" s="470" t="s">
        <v>117</v>
      </c>
      <c r="L15" s="470"/>
      <c r="M15" s="470"/>
      <c r="N15" s="218"/>
      <c r="O15" s="225"/>
      <c r="P15" s="225"/>
      <c r="Q15" s="225"/>
      <c r="T15" s="218"/>
      <c r="U15" s="218"/>
    </row>
    <row r="16" spans="1:21" ht="15.95" customHeight="1" x14ac:dyDescent="0.25">
      <c r="A16">
        <f t="shared" si="0"/>
        <v>14</v>
      </c>
      <c r="B16" s="220">
        <v>3298</v>
      </c>
      <c r="C16" s="221"/>
      <c r="D16" s="217">
        <v>7233</v>
      </c>
      <c r="E16" s="221"/>
      <c r="F16" s="220">
        <v>8067</v>
      </c>
      <c r="G16" s="221"/>
      <c r="H16" s="224">
        <v>9263</v>
      </c>
      <c r="I16" s="221"/>
      <c r="J16" s="218"/>
      <c r="K16" s="233" t="s">
        <v>113</v>
      </c>
      <c r="L16" s="234" t="s">
        <v>114</v>
      </c>
      <c r="M16" s="234" t="s">
        <v>115</v>
      </c>
      <c r="N16" s="218"/>
      <c r="O16" s="225"/>
      <c r="P16" s="225"/>
      <c r="Q16" s="225"/>
      <c r="R16" s="5"/>
      <c r="T16" s="218"/>
      <c r="U16" s="218"/>
    </row>
    <row r="17" spans="1:21" ht="15.95" customHeight="1" x14ac:dyDescent="0.25">
      <c r="A17">
        <f t="shared" si="0"/>
        <v>15</v>
      </c>
      <c r="B17" s="220">
        <v>3299</v>
      </c>
      <c r="C17" s="221"/>
      <c r="D17" s="217">
        <v>7234</v>
      </c>
      <c r="E17" s="221"/>
      <c r="F17" s="220">
        <v>8068</v>
      </c>
      <c r="G17" s="221"/>
      <c r="H17" s="224">
        <v>9264</v>
      </c>
      <c r="I17" s="237"/>
      <c r="J17" s="218"/>
      <c r="K17" s="225"/>
      <c r="L17" s="225"/>
      <c r="M17" s="225"/>
      <c r="N17" s="218"/>
      <c r="O17" s="225"/>
      <c r="P17" s="225"/>
      <c r="Q17" s="225"/>
      <c r="R17" s="5"/>
    </row>
    <row r="18" spans="1:21" ht="15.95" customHeight="1" x14ac:dyDescent="0.25">
      <c r="A18">
        <f t="shared" si="0"/>
        <v>16</v>
      </c>
      <c r="B18" s="220">
        <v>3301</v>
      </c>
      <c r="C18" s="221"/>
      <c r="D18" s="220">
        <v>7235</v>
      </c>
      <c r="E18" s="221"/>
      <c r="F18" s="220">
        <v>8069</v>
      </c>
      <c r="G18" s="221"/>
      <c r="H18" s="224">
        <v>9265</v>
      </c>
      <c r="I18" s="221"/>
      <c r="J18" s="218"/>
      <c r="K18" s="225"/>
      <c r="L18" s="225"/>
      <c r="M18" s="225"/>
      <c r="N18" s="218"/>
      <c r="O18" s="225"/>
      <c r="P18" s="225"/>
      <c r="Q18" s="225"/>
      <c r="R18" s="5"/>
    </row>
    <row r="19" spans="1:21" ht="15.95" customHeight="1" x14ac:dyDescent="0.25">
      <c r="A19">
        <f t="shared" si="0"/>
        <v>17</v>
      </c>
      <c r="B19" s="220">
        <v>3303</v>
      </c>
      <c r="C19" s="221"/>
      <c r="D19" s="220">
        <v>7237</v>
      </c>
      <c r="E19" s="223"/>
      <c r="F19" s="220">
        <v>8070</v>
      </c>
      <c r="G19" s="221"/>
      <c r="H19" s="224">
        <v>9266</v>
      </c>
      <c r="I19" s="221"/>
      <c r="J19" s="218"/>
      <c r="K19" s="225"/>
      <c r="L19" s="225"/>
      <c r="M19" s="225"/>
      <c r="N19" s="218"/>
      <c r="O19" s="225"/>
      <c r="P19" s="225"/>
      <c r="Q19" s="225"/>
      <c r="R19" s="5"/>
    </row>
    <row r="20" spans="1:21" ht="15.95" customHeight="1" x14ac:dyDescent="0.25">
      <c r="A20">
        <f t="shared" si="0"/>
        <v>18</v>
      </c>
      <c r="B20" s="220">
        <v>3304</v>
      </c>
      <c r="C20" s="221"/>
      <c r="D20" s="220">
        <v>7238</v>
      </c>
      <c r="E20" s="223"/>
      <c r="F20" s="220">
        <v>8071</v>
      </c>
      <c r="G20" s="221"/>
      <c r="H20" s="224">
        <v>9267</v>
      </c>
      <c r="I20" s="221"/>
      <c r="J20" s="218"/>
      <c r="K20" s="225"/>
      <c r="L20" s="225"/>
      <c r="M20" s="225"/>
      <c r="N20" s="227"/>
      <c r="R20" s="5"/>
    </row>
    <row r="21" spans="1:21" ht="15.95" customHeight="1" x14ac:dyDescent="0.25">
      <c r="A21">
        <f t="shared" si="0"/>
        <v>19</v>
      </c>
      <c r="B21" s="220">
        <v>3305</v>
      </c>
      <c r="C21" s="221"/>
      <c r="D21" s="222">
        <v>7239</v>
      </c>
      <c r="E21" s="221"/>
      <c r="F21" s="220">
        <v>8072</v>
      </c>
      <c r="G21" s="221"/>
      <c r="H21" s="224">
        <v>9268</v>
      </c>
      <c r="I21" s="221"/>
      <c r="J21" s="218"/>
      <c r="K21" s="238"/>
      <c r="L21" s="238"/>
      <c r="M21" s="238"/>
      <c r="N21" s="227"/>
      <c r="O21" s="467" t="s">
        <v>118</v>
      </c>
      <c r="P21" s="468"/>
      <c r="Q21" s="469"/>
    </row>
    <row r="22" spans="1:21" ht="15.95" customHeight="1" x14ac:dyDescent="0.25">
      <c r="A22">
        <f t="shared" si="0"/>
        <v>20</v>
      </c>
      <c r="B22" s="239"/>
      <c r="C22" s="221"/>
      <c r="D22" s="222">
        <v>7240</v>
      </c>
      <c r="E22" s="221"/>
      <c r="F22" s="220">
        <v>8073</v>
      </c>
      <c r="G22" s="221"/>
      <c r="H22" s="240">
        <v>9269</v>
      </c>
      <c r="I22" s="221"/>
      <c r="J22" s="218"/>
      <c r="N22" s="218"/>
      <c r="O22" s="241" t="s">
        <v>113</v>
      </c>
      <c r="P22" s="242" t="s">
        <v>114</v>
      </c>
      <c r="Q22" s="242" t="s">
        <v>115</v>
      </c>
    </row>
    <row r="23" spans="1:21" ht="15.95" customHeight="1" x14ac:dyDescent="0.25">
      <c r="A23">
        <f t="shared" si="0"/>
        <v>21</v>
      </c>
      <c r="B23" s="215" t="s">
        <v>107</v>
      </c>
      <c r="C23" s="215">
        <v>34</v>
      </c>
      <c r="D23" s="222">
        <v>7241</v>
      </c>
      <c r="E23" s="223"/>
      <c r="F23" s="220">
        <v>8074</v>
      </c>
      <c r="G23" s="221"/>
      <c r="H23" s="240">
        <v>9270</v>
      </c>
      <c r="I23" s="243"/>
      <c r="J23" s="218"/>
      <c r="K23" s="470" t="s">
        <v>119</v>
      </c>
      <c r="L23" s="470"/>
      <c r="M23" s="470"/>
      <c r="N23" s="218"/>
      <c r="O23" s="225"/>
      <c r="P23" s="225"/>
      <c r="Q23" s="225"/>
      <c r="R23" s="5"/>
    </row>
    <row r="24" spans="1:21" ht="15.95" customHeight="1" x14ac:dyDescent="0.25">
      <c r="A24">
        <f t="shared" si="0"/>
        <v>22</v>
      </c>
      <c r="B24" s="220">
        <v>7103</v>
      </c>
      <c r="C24" s="221"/>
      <c r="D24" s="220">
        <v>7243</v>
      </c>
      <c r="E24" s="221"/>
      <c r="F24" s="220">
        <v>8075</v>
      </c>
      <c r="G24" s="221"/>
      <c r="H24" s="244">
        <v>9271</v>
      </c>
      <c r="I24" s="221"/>
      <c r="J24" s="218"/>
      <c r="K24" s="233" t="s">
        <v>113</v>
      </c>
      <c r="L24" s="234" t="s">
        <v>114</v>
      </c>
      <c r="M24" s="234" t="s">
        <v>115</v>
      </c>
      <c r="N24" s="218"/>
      <c r="O24" s="225"/>
      <c r="P24" s="225"/>
      <c r="Q24" s="225"/>
      <c r="R24" s="5"/>
    </row>
    <row r="25" spans="1:21" ht="15.95" customHeight="1" x14ac:dyDescent="0.25">
      <c r="A25">
        <f t="shared" si="0"/>
        <v>23</v>
      </c>
      <c r="B25" s="220">
        <v>7104</v>
      </c>
      <c r="C25" s="221"/>
      <c r="D25" s="220">
        <v>7247</v>
      </c>
      <c r="E25" s="225"/>
      <c r="F25" s="220">
        <v>8076</v>
      </c>
      <c r="G25" s="223"/>
      <c r="H25" s="217">
        <v>9272</v>
      </c>
      <c r="I25" s="221"/>
      <c r="J25" s="218"/>
      <c r="K25" s="238"/>
      <c r="L25" s="231"/>
      <c r="M25" s="231"/>
      <c r="N25" s="218"/>
      <c r="O25" s="225"/>
      <c r="P25" s="225"/>
      <c r="Q25" s="225"/>
      <c r="R25" s="5"/>
    </row>
    <row r="26" spans="1:21" ht="15.95" customHeight="1" x14ac:dyDescent="0.25">
      <c r="A26">
        <f t="shared" si="0"/>
        <v>24</v>
      </c>
      <c r="B26" s="220">
        <v>7108</v>
      </c>
      <c r="C26" s="221"/>
      <c r="D26" s="224">
        <v>7248</v>
      </c>
      <c r="E26" s="221"/>
      <c r="F26" s="220">
        <v>8077</v>
      </c>
      <c r="G26" s="221"/>
      <c r="H26" s="244">
        <v>9273</v>
      </c>
      <c r="I26" s="221"/>
      <c r="J26" s="218"/>
      <c r="K26" s="225"/>
      <c r="L26" s="225"/>
      <c r="M26" s="225"/>
      <c r="N26" s="218"/>
      <c r="R26" s="5"/>
    </row>
    <row r="27" spans="1:21" ht="15.95" customHeight="1" x14ac:dyDescent="0.25">
      <c r="A27">
        <f t="shared" si="0"/>
        <v>25</v>
      </c>
      <c r="B27" s="220">
        <v>7109</v>
      </c>
      <c r="C27" s="221"/>
      <c r="D27" s="220">
        <v>7249</v>
      </c>
      <c r="E27" s="221"/>
      <c r="F27" s="220">
        <v>8078</v>
      </c>
      <c r="G27" s="221"/>
      <c r="H27" s="217">
        <v>9274</v>
      </c>
      <c r="I27" s="221"/>
      <c r="J27" s="218"/>
      <c r="K27" s="225"/>
      <c r="L27" s="225"/>
      <c r="M27" s="225"/>
      <c r="N27" s="218"/>
      <c r="O27" s="467" t="s">
        <v>120</v>
      </c>
      <c r="P27" s="468"/>
      <c r="Q27" s="469"/>
      <c r="R27" s="5"/>
    </row>
    <row r="28" spans="1:21" ht="15.95" customHeight="1" x14ac:dyDescent="0.25">
      <c r="A28">
        <f t="shared" si="0"/>
        <v>26</v>
      </c>
      <c r="B28" s="220">
        <v>7111</v>
      </c>
      <c r="C28" s="221"/>
      <c r="D28" s="220">
        <v>7250</v>
      </c>
      <c r="E28" s="221"/>
      <c r="F28" s="217">
        <v>8079</v>
      </c>
      <c r="G28" s="221"/>
      <c r="H28" s="245">
        <v>9275</v>
      </c>
      <c r="I28" s="221"/>
      <c r="J28" s="218"/>
      <c r="K28" s="225"/>
      <c r="L28" s="225"/>
      <c r="M28" s="225"/>
      <c r="N28" s="218"/>
      <c r="O28" s="241" t="s">
        <v>113</v>
      </c>
      <c r="P28" s="242" t="s">
        <v>114</v>
      </c>
      <c r="Q28" s="242" t="s">
        <v>115</v>
      </c>
      <c r="R28" s="5"/>
    </row>
    <row r="29" spans="1:21" ht="15.95" customHeight="1" x14ac:dyDescent="0.25">
      <c r="A29">
        <f t="shared" si="0"/>
        <v>27</v>
      </c>
      <c r="B29" s="220">
        <v>7113</v>
      </c>
      <c r="C29" s="221"/>
      <c r="D29" s="220">
        <v>7251</v>
      </c>
      <c r="E29" s="221"/>
      <c r="F29" s="222">
        <v>8080</v>
      </c>
      <c r="G29" s="223"/>
      <c r="H29" s="246">
        <v>9276</v>
      </c>
      <c r="I29" s="221"/>
      <c r="J29" s="218"/>
      <c r="K29" s="225"/>
      <c r="L29" s="225"/>
      <c r="M29" s="225"/>
      <c r="N29" s="218"/>
      <c r="O29" s="225"/>
      <c r="P29" s="225"/>
      <c r="Q29" s="225"/>
      <c r="R29" s="5"/>
      <c r="U29" s="247"/>
    </row>
    <row r="30" spans="1:21" ht="15.95" customHeight="1" x14ac:dyDescent="0.25">
      <c r="A30">
        <f t="shared" si="0"/>
        <v>28</v>
      </c>
      <c r="B30" s="220">
        <v>7115</v>
      </c>
      <c r="C30" s="221"/>
      <c r="D30" s="217">
        <v>7252</v>
      </c>
      <c r="E30" s="225"/>
      <c r="F30" s="248">
        <v>8081</v>
      </c>
      <c r="G30" s="223"/>
      <c r="H30" s="221"/>
      <c r="I30" s="221"/>
      <c r="J30" s="218"/>
      <c r="N30" s="218"/>
      <c r="O30" s="225"/>
      <c r="P30" s="225"/>
      <c r="Q30" s="225"/>
      <c r="R30" s="5"/>
    </row>
    <row r="31" spans="1:21" ht="15.95" customHeight="1" x14ac:dyDescent="0.25">
      <c r="A31">
        <f t="shared" si="0"/>
        <v>29</v>
      </c>
      <c r="B31" s="220">
        <v>7117</v>
      </c>
      <c r="C31" s="221"/>
      <c r="D31" s="217">
        <v>7253</v>
      </c>
      <c r="E31" s="243"/>
      <c r="F31" s="222">
        <v>8082</v>
      </c>
      <c r="G31" s="223"/>
      <c r="H31" s="216" t="s">
        <v>121</v>
      </c>
      <c r="I31" s="221"/>
      <c r="J31" s="218"/>
      <c r="K31" s="471" t="s">
        <v>138</v>
      </c>
      <c r="L31" s="471"/>
      <c r="M31" s="471"/>
      <c r="N31" s="218"/>
      <c r="O31" s="225"/>
      <c r="P31" s="225"/>
      <c r="Q31" s="225"/>
      <c r="R31" s="5"/>
    </row>
    <row r="32" spans="1:21" ht="15.95" customHeight="1" x14ac:dyDescent="0.25">
      <c r="A32">
        <f t="shared" si="0"/>
        <v>30</v>
      </c>
      <c r="B32" s="220">
        <v>7121</v>
      </c>
      <c r="C32" s="221"/>
      <c r="D32" s="244">
        <v>7254</v>
      </c>
      <c r="E32" s="221"/>
      <c r="F32" s="248">
        <v>8083</v>
      </c>
      <c r="G32" s="223"/>
      <c r="H32" s="249" t="s">
        <v>72</v>
      </c>
      <c r="I32" s="216">
        <v>9</v>
      </c>
      <c r="J32" s="218"/>
      <c r="K32" s="250" t="s">
        <v>113</v>
      </c>
      <c r="L32" s="251" t="s">
        <v>114</v>
      </c>
      <c r="M32" s="251" t="s">
        <v>115</v>
      </c>
      <c r="N32" s="218"/>
      <c r="O32" s="225"/>
      <c r="P32" s="225"/>
      <c r="Q32" s="225"/>
      <c r="R32" s="5"/>
    </row>
    <row r="33" spans="1:21" ht="15.95" customHeight="1" x14ac:dyDescent="0.25">
      <c r="A33">
        <f t="shared" si="0"/>
        <v>31</v>
      </c>
      <c r="B33" s="220">
        <v>7123</v>
      </c>
      <c r="C33" s="221"/>
      <c r="D33" s="217">
        <v>7255</v>
      </c>
      <c r="E33" s="221"/>
      <c r="F33" s="222">
        <v>8093</v>
      </c>
      <c r="G33" s="223"/>
      <c r="H33" s="252">
        <v>9277</v>
      </c>
      <c r="I33" s="237" t="s">
        <v>123</v>
      </c>
      <c r="J33" s="218"/>
      <c r="K33" s="253"/>
      <c r="L33" s="253"/>
      <c r="M33" s="253"/>
      <c r="N33" s="218"/>
      <c r="O33" s="225"/>
      <c r="P33" s="225"/>
      <c r="Q33" s="225"/>
      <c r="R33" s="5"/>
    </row>
    <row r="34" spans="1:21" ht="15.95" customHeight="1" x14ac:dyDescent="0.25">
      <c r="A34">
        <f t="shared" si="0"/>
        <v>32</v>
      </c>
      <c r="B34" s="220">
        <v>7124</v>
      </c>
      <c r="C34" s="221"/>
      <c r="D34" s="217">
        <v>7256</v>
      </c>
      <c r="E34" s="221"/>
      <c r="F34" s="222">
        <v>8101</v>
      </c>
      <c r="G34" s="221"/>
      <c r="H34" s="254">
        <v>9278</v>
      </c>
      <c r="I34" s="237" t="s">
        <v>123</v>
      </c>
      <c r="J34" s="218"/>
      <c r="K34" s="253"/>
      <c r="L34" s="253"/>
      <c r="M34" s="253"/>
      <c r="N34" s="218"/>
    </row>
    <row r="35" spans="1:21" ht="15.95" customHeight="1" x14ac:dyDescent="0.25">
      <c r="A35">
        <f t="shared" si="0"/>
        <v>33</v>
      </c>
      <c r="B35" s="220">
        <v>7125</v>
      </c>
      <c r="C35" s="221"/>
      <c r="D35" s="217">
        <v>7257</v>
      </c>
      <c r="E35" s="221"/>
      <c r="F35" s="239"/>
      <c r="G35" s="221"/>
      <c r="H35" s="254">
        <v>9279</v>
      </c>
      <c r="I35" s="237" t="s">
        <v>123</v>
      </c>
      <c r="J35" s="218"/>
      <c r="K35" s="225"/>
      <c r="L35" s="225"/>
      <c r="M35" s="225"/>
      <c r="N35" s="218"/>
      <c r="O35" s="467" t="s">
        <v>124</v>
      </c>
      <c r="P35" s="468"/>
      <c r="Q35" s="469"/>
    </row>
    <row r="36" spans="1:21" ht="15.95" customHeight="1" x14ac:dyDescent="0.25">
      <c r="A36">
        <f t="shared" si="0"/>
        <v>34</v>
      </c>
      <c r="B36" s="220">
        <v>7127</v>
      </c>
      <c r="C36" s="221"/>
      <c r="D36" s="220">
        <v>7258</v>
      </c>
      <c r="E36" s="221"/>
      <c r="F36" s="221"/>
      <c r="G36" s="221"/>
      <c r="H36" s="254">
        <v>9280</v>
      </c>
      <c r="I36" s="237" t="s">
        <v>123</v>
      </c>
      <c r="J36" s="218"/>
      <c r="K36" s="225"/>
      <c r="L36" s="225"/>
      <c r="M36" s="225"/>
      <c r="N36" s="218"/>
      <c r="O36" s="241" t="s">
        <v>113</v>
      </c>
      <c r="P36" s="242" t="s">
        <v>114</v>
      </c>
      <c r="Q36" s="242" t="s">
        <v>115</v>
      </c>
    </row>
    <row r="37" spans="1:21" ht="15.95" customHeight="1" x14ac:dyDescent="0.25">
      <c r="A37">
        <f t="shared" si="0"/>
        <v>35</v>
      </c>
      <c r="B37" s="220">
        <v>7129</v>
      </c>
      <c r="C37" s="221"/>
      <c r="D37" s="222">
        <v>7259</v>
      </c>
      <c r="E37" s="221"/>
      <c r="F37" s="255"/>
      <c r="G37" s="223"/>
      <c r="H37" s="256">
        <v>9281</v>
      </c>
      <c r="I37" s="237" t="s">
        <v>123</v>
      </c>
      <c r="J37" s="218"/>
      <c r="K37" s="225"/>
      <c r="L37" s="225"/>
      <c r="M37" s="225"/>
      <c r="N37" s="218"/>
      <c r="O37" s="225"/>
      <c r="P37" s="225"/>
      <c r="Q37" s="225"/>
    </row>
    <row r="38" spans="1:21" ht="15.95" customHeight="1" x14ac:dyDescent="0.25">
      <c r="A38">
        <f t="shared" si="0"/>
        <v>36</v>
      </c>
      <c r="B38" s="220">
        <v>7133</v>
      </c>
      <c r="C38" s="221"/>
      <c r="D38" s="257">
        <v>7260</v>
      </c>
      <c r="E38" s="221"/>
      <c r="F38" s="243"/>
      <c r="G38" s="225"/>
      <c r="H38" s="254">
        <v>9282</v>
      </c>
      <c r="I38" s="237" t="s">
        <v>123</v>
      </c>
      <c r="J38" s="218"/>
      <c r="K38" s="225"/>
      <c r="L38" s="225"/>
      <c r="M38" s="225"/>
      <c r="N38" s="218"/>
      <c r="O38" s="225"/>
      <c r="P38" s="225"/>
      <c r="Q38" s="225"/>
      <c r="S38" s="258"/>
      <c r="U38" s="218"/>
    </row>
    <row r="39" spans="1:21" ht="15.95" customHeight="1" x14ac:dyDescent="0.25">
      <c r="A39">
        <f t="shared" si="0"/>
        <v>37</v>
      </c>
      <c r="B39" s="220">
        <v>7134</v>
      </c>
      <c r="C39" s="221"/>
      <c r="D39" s="231"/>
      <c r="E39" s="221"/>
      <c r="F39" s="215" t="s">
        <v>72</v>
      </c>
      <c r="G39" s="249">
        <v>49</v>
      </c>
      <c r="H39" s="254">
        <v>9283</v>
      </c>
      <c r="I39" s="237" t="s">
        <v>123</v>
      </c>
      <c r="J39" s="218"/>
      <c r="N39" s="218"/>
      <c r="O39" s="225"/>
      <c r="P39" s="225"/>
      <c r="Q39" s="225"/>
      <c r="S39" s="258"/>
    </row>
    <row r="40" spans="1:21" ht="15.95" customHeight="1" x14ac:dyDescent="0.25">
      <c r="A40">
        <f t="shared" si="0"/>
        <v>38</v>
      </c>
      <c r="B40" s="220">
        <v>7137</v>
      </c>
      <c r="C40" s="221"/>
      <c r="D40" s="261" t="s">
        <v>126</v>
      </c>
      <c r="E40" s="216">
        <v>14</v>
      </c>
      <c r="F40" s="243"/>
      <c r="G40" s="225"/>
      <c r="H40" s="262">
        <v>9284</v>
      </c>
      <c r="I40" s="237" t="s">
        <v>123</v>
      </c>
      <c r="J40" s="218"/>
      <c r="K40" s="472" t="s">
        <v>125</v>
      </c>
      <c r="L40" s="473"/>
      <c r="M40" s="474"/>
      <c r="N40" s="218"/>
      <c r="O40" s="225"/>
      <c r="P40" s="225"/>
      <c r="Q40" s="225"/>
      <c r="S40" s="258"/>
    </row>
    <row r="41" spans="1:21" ht="15.95" customHeight="1" x14ac:dyDescent="0.25">
      <c r="A41">
        <f t="shared" si="0"/>
        <v>39</v>
      </c>
      <c r="B41" s="220">
        <v>7138</v>
      </c>
      <c r="C41" s="221"/>
      <c r="D41" s="231"/>
      <c r="E41" s="221"/>
      <c r="F41" s="243"/>
      <c r="G41" s="225"/>
      <c r="H41" s="262">
        <v>9285</v>
      </c>
      <c r="I41" s="237" t="s">
        <v>123</v>
      </c>
      <c r="J41" s="218"/>
      <c r="K41" s="259" t="s">
        <v>113</v>
      </c>
      <c r="L41" s="260" t="s">
        <v>114</v>
      </c>
      <c r="M41" s="260" t="s">
        <v>115</v>
      </c>
      <c r="N41" s="218"/>
      <c r="O41" s="225"/>
      <c r="P41" s="225"/>
      <c r="Q41" s="225"/>
      <c r="S41" s="258"/>
    </row>
    <row r="42" spans="1:21" ht="15.95" customHeight="1" thickBot="1" x14ac:dyDescent="0.3">
      <c r="A42">
        <f t="shared" si="0"/>
        <v>40</v>
      </c>
      <c r="B42" s="222">
        <v>7142</v>
      </c>
      <c r="C42" s="221"/>
      <c r="D42" s="263">
        <v>7380</v>
      </c>
      <c r="E42" s="223"/>
      <c r="F42" s="224">
        <v>9201</v>
      </c>
      <c r="G42" s="264"/>
      <c r="H42" s="225"/>
      <c r="I42" s="243"/>
      <c r="J42" s="218"/>
      <c r="K42" s="225"/>
      <c r="L42" s="225"/>
      <c r="M42" s="225"/>
      <c r="N42" s="218"/>
      <c r="S42" s="258"/>
    </row>
    <row r="43" spans="1:21" ht="15.95" customHeight="1" thickTop="1" x14ac:dyDescent="0.25">
      <c r="A43">
        <f t="shared" si="0"/>
        <v>41</v>
      </c>
      <c r="B43" s="222">
        <v>7145</v>
      </c>
      <c r="C43" s="221"/>
      <c r="D43" s="265">
        <v>7381</v>
      </c>
      <c r="E43" s="237"/>
      <c r="F43" s="220">
        <v>9203</v>
      </c>
      <c r="G43" s="221"/>
      <c r="H43" s="459" t="s">
        <v>127</v>
      </c>
      <c r="I43" s="460"/>
      <c r="J43" s="218"/>
      <c r="K43" s="225"/>
      <c r="L43" s="225"/>
      <c r="M43" s="225"/>
      <c r="N43" s="218"/>
      <c r="O43" s="439" t="s">
        <v>189</v>
      </c>
      <c r="P43" s="439"/>
      <c r="Q43" s="439"/>
      <c r="S43" s="258"/>
    </row>
    <row r="44" spans="1:21" ht="15.95" customHeight="1" x14ac:dyDescent="0.25">
      <c r="A44">
        <f t="shared" si="0"/>
        <v>42</v>
      </c>
      <c r="B44" s="222">
        <v>7146</v>
      </c>
      <c r="C44" s="221"/>
      <c r="D44" s="220">
        <v>7382</v>
      </c>
      <c r="E44" s="221"/>
      <c r="F44" s="217">
        <v>9205</v>
      </c>
      <c r="G44" s="221"/>
      <c r="H44" s="266"/>
      <c r="I44" s="267"/>
      <c r="J44" s="218"/>
      <c r="K44" s="225"/>
      <c r="L44" s="225"/>
      <c r="M44" s="225"/>
      <c r="N44" s="218"/>
      <c r="O44" s="241" t="s">
        <v>113</v>
      </c>
      <c r="P44" s="242" t="s">
        <v>114</v>
      </c>
      <c r="Q44" s="242" t="s">
        <v>115</v>
      </c>
      <c r="S44" s="258"/>
    </row>
    <row r="45" spans="1:21" ht="15.95" customHeight="1" x14ac:dyDescent="0.25">
      <c r="A45">
        <f t="shared" si="0"/>
        <v>43</v>
      </c>
      <c r="B45" s="222">
        <v>7147</v>
      </c>
      <c r="C45" s="221"/>
      <c r="D45" s="217">
        <v>7383</v>
      </c>
      <c r="E45" s="221"/>
      <c r="F45" s="217">
        <v>9206</v>
      </c>
      <c r="G45" s="221"/>
      <c r="H45" s="453" t="s">
        <v>130</v>
      </c>
      <c r="I45" s="454"/>
      <c r="J45" s="218"/>
      <c r="N45" s="218"/>
      <c r="O45" s="293"/>
      <c r="P45" s="293"/>
      <c r="Q45" s="293"/>
      <c r="S45" s="258"/>
    </row>
    <row r="46" spans="1:21" ht="15.95" customHeight="1" x14ac:dyDescent="0.25">
      <c r="A46">
        <f t="shared" si="0"/>
        <v>44</v>
      </c>
      <c r="B46" s="222">
        <v>7148</v>
      </c>
      <c r="C46" s="221"/>
      <c r="D46" s="263">
        <v>7384</v>
      </c>
      <c r="E46" s="221"/>
      <c r="F46" s="217">
        <v>9207</v>
      </c>
      <c r="G46" s="221"/>
      <c r="H46" s="455" t="s">
        <v>131</v>
      </c>
      <c r="I46" s="456"/>
      <c r="J46" s="218"/>
      <c r="K46" s="462" t="s">
        <v>182</v>
      </c>
      <c r="L46" s="463"/>
      <c r="M46" s="464"/>
      <c r="N46" s="218"/>
      <c r="O46" s="293"/>
      <c r="P46" s="293"/>
      <c r="Q46" s="293"/>
      <c r="S46" s="258"/>
    </row>
    <row r="47" spans="1:21" ht="15.95" customHeight="1" x14ac:dyDescent="0.25">
      <c r="A47">
        <f t="shared" si="0"/>
        <v>45</v>
      </c>
      <c r="B47" s="222">
        <v>7150</v>
      </c>
      <c r="C47" s="221"/>
      <c r="D47" s="220">
        <v>7385</v>
      </c>
      <c r="E47" s="221"/>
      <c r="F47" s="248">
        <v>9211</v>
      </c>
      <c r="G47" s="223"/>
      <c r="H47" s="465"/>
      <c r="I47" s="466"/>
      <c r="J47" s="218"/>
      <c r="K47" s="269" t="s">
        <v>113</v>
      </c>
      <c r="L47" s="270" t="s">
        <v>114</v>
      </c>
      <c r="M47" s="270" t="s">
        <v>115</v>
      </c>
      <c r="N47" s="218"/>
      <c r="O47" s="293"/>
      <c r="P47" s="293"/>
      <c r="Q47" s="293"/>
      <c r="S47" s="271"/>
    </row>
    <row r="48" spans="1:21" ht="15.95" customHeight="1" x14ac:dyDescent="0.25">
      <c r="A48">
        <f t="shared" si="0"/>
        <v>46</v>
      </c>
      <c r="B48" s="217">
        <v>7152</v>
      </c>
      <c r="C48" s="221"/>
      <c r="D48" s="263">
        <v>7386</v>
      </c>
      <c r="E48" s="225"/>
      <c r="F48" s="222">
        <v>9212</v>
      </c>
      <c r="G48" s="223"/>
      <c r="H48" s="272"/>
      <c r="I48" s="273"/>
      <c r="J48" s="218"/>
      <c r="K48" s="225"/>
      <c r="L48" s="225"/>
      <c r="M48" s="225"/>
      <c r="N48" s="218"/>
      <c r="O48" s="293"/>
      <c r="P48" s="293"/>
      <c r="Q48" s="293"/>
      <c r="S48" s="258"/>
    </row>
    <row r="49" spans="1:21" ht="15.95" customHeight="1" x14ac:dyDescent="0.25">
      <c r="A49">
        <f t="shared" si="0"/>
        <v>47</v>
      </c>
      <c r="B49" s="217">
        <v>7155</v>
      </c>
      <c r="C49" s="221"/>
      <c r="D49" s="263">
        <v>7392</v>
      </c>
      <c r="E49" s="225"/>
      <c r="F49" s="222">
        <v>9213</v>
      </c>
      <c r="G49" s="274"/>
      <c r="H49" s="453" t="s">
        <v>132</v>
      </c>
      <c r="I49" s="454"/>
      <c r="J49" s="218"/>
      <c r="K49" s="225"/>
      <c r="L49" s="225"/>
      <c r="M49" s="225"/>
      <c r="N49" s="218"/>
      <c r="O49" s="293"/>
      <c r="P49" s="293"/>
      <c r="Q49" s="336"/>
      <c r="S49" s="258"/>
    </row>
    <row r="50" spans="1:21" ht="15.95" customHeight="1" x14ac:dyDescent="0.25">
      <c r="A50">
        <f t="shared" si="0"/>
        <v>48</v>
      </c>
      <c r="B50" s="217">
        <v>7156</v>
      </c>
      <c r="C50" s="221"/>
      <c r="D50" s="220">
        <v>7393</v>
      </c>
      <c r="E50" s="225"/>
      <c r="F50" s="222">
        <v>9214</v>
      </c>
      <c r="G50" s="274"/>
      <c r="H50" s="455" t="s">
        <v>133</v>
      </c>
      <c r="I50" s="456"/>
      <c r="K50" s="225"/>
      <c r="L50" s="225"/>
      <c r="M50" s="225"/>
      <c r="O50" s="293"/>
      <c r="P50" s="293"/>
      <c r="Q50" s="336"/>
    </row>
    <row r="51" spans="1:21" ht="15.95" customHeight="1" thickBot="1" x14ac:dyDescent="0.3">
      <c r="A51">
        <f t="shared" si="0"/>
        <v>49</v>
      </c>
      <c r="B51" s="217">
        <v>7157</v>
      </c>
      <c r="C51" s="221"/>
      <c r="D51" s="220">
        <v>7394</v>
      </c>
      <c r="E51" s="221"/>
      <c r="F51" s="222">
        <v>9215</v>
      </c>
      <c r="G51" s="274"/>
      <c r="H51" s="457" t="s">
        <v>134</v>
      </c>
      <c r="I51" s="458"/>
      <c r="K51" s="275"/>
      <c r="L51" s="225"/>
      <c r="M51" s="225"/>
      <c r="Q51" s="219"/>
    </row>
    <row r="52" spans="1:21" ht="15.95" customHeight="1" thickTop="1" x14ac:dyDescent="0.25">
      <c r="A52">
        <f t="shared" si="0"/>
        <v>50</v>
      </c>
      <c r="B52" s="217">
        <v>7158</v>
      </c>
      <c r="C52" s="221"/>
      <c r="D52" s="263">
        <v>7396</v>
      </c>
      <c r="E52" s="221"/>
      <c r="F52" s="248">
        <v>9216</v>
      </c>
      <c r="G52" s="274"/>
      <c r="H52" s="451"/>
      <c r="I52" s="452"/>
      <c r="K52" s="225"/>
      <c r="L52" s="225"/>
      <c r="M52" s="225"/>
      <c r="O52" s="461" t="s">
        <v>91</v>
      </c>
      <c r="P52" s="461"/>
      <c r="Q52" s="219"/>
    </row>
    <row r="53" spans="1:21" ht="15.95" customHeight="1" x14ac:dyDescent="0.25">
      <c r="A53">
        <f t="shared" si="0"/>
        <v>51</v>
      </c>
      <c r="B53" s="217">
        <v>7160</v>
      </c>
      <c r="C53" s="221"/>
      <c r="D53" s="220">
        <v>7397</v>
      </c>
      <c r="E53" s="221"/>
      <c r="F53" s="220">
        <v>9236</v>
      </c>
      <c r="G53" s="276"/>
      <c r="H53" s="451"/>
      <c r="I53" s="452"/>
      <c r="K53" s="225"/>
      <c r="L53" s="225"/>
      <c r="M53" s="225"/>
      <c r="O53" s="268" t="s">
        <v>129</v>
      </c>
      <c r="P53" s="268" t="s">
        <v>128</v>
      </c>
      <c r="Q53" s="219"/>
    </row>
    <row r="54" spans="1:21" ht="15.95" customHeight="1" x14ac:dyDescent="0.25">
      <c r="A54">
        <f t="shared" si="0"/>
        <v>52</v>
      </c>
      <c r="B54" s="217">
        <v>7161</v>
      </c>
      <c r="C54" s="221"/>
      <c r="D54" s="220">
        <v>7398</v>
      </c>
      <c r="E54" s="221"/>
      <c r="F54" s="220">
        <v>9237</v>
      </c>
      <c r="G54" s="277"/>
      <c r="H54" s="440"/>
      <c r="I54" s="441"/>
      <c r="K54" s="225"/>
      <c r="L54" s="225"/>
      <c r="M54" s="225"/>
      <c r="O54" s="225"/>
      <c r="P54" s="225"/>
      <c r="Q54" s="219"/>
    </row>
    <row r="55" spans="1:21" ht="15.95" customHeight="1" x14ac:dyDescent="0.25">
      <c r="A55">
        <f t="shared" si="0"/>
        <v>53</v>
      </c>
      <c r="B55" s="217">
        <v>7162</v>
      </c>
      <c r="C55" s="221"/>
      <c r="D55" s="220">
        <v>7399</v>
      </c>
      <c r="E55" s="223"/>
      <c r="F55" s="224">
        <v>9238</v>
      </c>
      <c r="G55" s="221"/>
      <c r="H55" s="442"/>
      <c r="I55" s="443"/>
      <c r="K55" s="225"/>
      <c r="L55" s="225"/>
      <c r="M55" s="225"/>
      <c r="O55" s="225"/>
      <c r="P55" s="225"/>
      <c r="Q55" s="219"/>
    </row>
    <row r="56" spans="1:21" ht="15.95" customHeight="1" x14ac:dyDescent="0.25">
      <c r="A56">
        <f t="shared" si="0"/>
        <v>54</v>
      </c>
      <c r="B56" s="217">
        <v>7165</v>
      </c>
      <c r="C56" s="221"/>
      <c r="D56" s="221"/>
      <c r="E56" s="221"/>
      <c r="F56" s="220">
        <v>9239</v>
      </c>
      <c r="G56" s="277"/>
      <c r="H56" s="440"/>
      <c r="I56" s="441"/>
      <c r="K56" s="258"/>
      <c r="O56" s="225"/>
      <c r="P56" s="225"/>
    </row>
    <row r="57" spans="1:21" ht="15.95" customHeight="1" x14ac:dyDescent="0.25">
      <c r="A57">
        <f t="shared" si="0"/>
        <v>55</v>
      </c>
      <c r="B57" s="217">
        <v>7166</v>
      </c>
      <c r="C57" s="221"/>
      <c r="D57" s="231"/>
      <c r="E57" s="221"/>
      <c r="F57" s="220">
        <v>9240</v>
      </c>
      <c r="G57" s="277"/>
      <c r="H57" s="447"/>
      <c r="I57" s="448"/>
      <c r="K57" s="438" t="s">
        <v>122</v>
      </c>
      <c r="L57" s="438"/>
      <c r="M57" s="438"/>
      <c r="O57" s="225"/>
      <c r="P57" s="225"/>
    </row>
    <row r="58" spans="1:21" ht="15.95" customHeight="1" x14ac:dyDescent="0.25">
      <c r="A58">
        <f t="shared" si="0"/>
        <v>56</v>
      </c>
      <c r="B58" s="217">
        <v>7167</v>
      </c>
      <c r="C58" s="221"/>
      <c r="D58" s="237"/>
      <c r="E58" s="221"/>
      <c r="F58" s="220">
        <v>9241</v>
      </c>
      <c r="G58" s="277"/>
      <c r="H58" s="449"/>
      <c r="I58" s="450"/>
      <c r="K58" s="285" t="s">
        <v>113</v>
      </c>
      <c r="L58" s="286" t="s">
        <v>114</v>
      </c>
      <c r="M58" s="286" t="s">
        <v>115</v>
      </c>
      <c r="O58" s="225"/>
      <c r="P58" s="225"/>
    </row>
    <row r="59" spans="1:21" ht="15.95" customHeight="1" x14ac:dyDescent="0.25">
      <c r="A59">
        <f t="shared" si="0"/>
        <v>57</v>
      </c>
      <c r="B59" s="221"/>
      <c r="C59" s="221"/>
      <c r="D59" s="231"/>
      <c r="E59" s="223"/>
      <c r="F59" s="220">
        <v>9242</v>
      </c>
      <c r="G59" s="277"/>
      <c r="H59" s="451"/>
      <c r="I59" s="452"/>
      <c r="K59" s="253"/>
      <c r="L59" s="253"/>
      <c r="M59" s="253"/>
      <c r="O59" s="225"/>
      <c r="P59" s="225"/>
    </row>
    <row r="60" spans="1:21" ht="15.95" customHeight="1" x14ac:dyDescent="0.25">
      <c r="A60">
        <f t="shared" si="0"/>
        <v>58</v>
      </c>
      <c r="B60" s="223"/>
      <c r="C60" s="221"/>
      <c r="D60" s="237"/>
      <c r="E60" s="231"/>
      <c r="F60" s="220">
        <v>9243</v>
      </c>
      <c r="G60" s="278"/>
      <c r="H60" s="451"/>
      <c r="I60" s="452"/>
      <c r="K60" s="253"/>
      <c r="L60" s="253"/>
      <c r="M60" s="253"/>
      <c r="O60" s="253"/>
      <c r="P60" s="253"/>
    </row>
    <row r="61" spans="1:21" ht="15.95" customHeight="1" x14ac:dyDescent="0.25">
      <c r="A61">
        <f t="shared" si="0"/>
        <v>59</v>
      </c>
      <c r="B61" s="279" t="s">
        <v>135</v>
      </c>
      <c r="C61" s="221"/>
      <c r="D61" s="237"/>
      <c r="E61" s="280"/>
      <c r="F61" s="220">
        <v>9244</v>
      </c>
      <c r="G61" s="264"/>
      <c r="H61" s="440"/>
      <c r="I61" s="441"/>
      <c r="K61" s="225"/>
      <c r="L61" s="225"/>
      <c r="M61" s="225"/>
      <c r="O61" s="307"/>
      <c r="P61" s="307"/>
      <c r="U61" s="218"/>
    </row>
    <row r="62" spans="1:21" ht="15.95" customHeight="1" x14ac:dyDescent="0.25">
      <c r="A62">
        <f t="shared" si="0"/>
        <v>60</v>
      </c>
      <c r="B62" s="279">
        <v>7170</v>
      </c>
      <c r="C62" s="279" t="s">
        <v>136</v>
      </c>
      <c r="D62" s="231"/>
      <c r="E62" s="231"/>
      <c r="F62" s="220">
        <v>9245</v>
      </c>
      <c r="G62" s="277"/>
      <c r="H62" s="442"/>
      <c r="I62" s="443"/>
      <c r="K62" s="225"/>
      <c r="L62" s="225"/>
      <c r="M62" s="225"/>
    </row>
    <row r="63" spans="1:21" ht="15.95" customHeight="1" x14ac:dyDescent="0.25">
      <c r="A63">
        <f t="shared" si="0"/>
        <v>61</v>
      </c>
      <c r="B63" s="279">
        <v>7175</v>
      </c>
      <c r="C63" s="279" t="s">
        <v>136</v>
      </c>
      <c r="D63" s="237"/>
      <c r="E63" s="231"/>
      <c r="F63" s="220">
        <v>9246</v>
      </c>
      <c r="G63" s="225"/>
      <c r="H63" s="440"/>
      <c r="I63" s="441"/>
      <c r="K63" s="437"/>
      <c r="L63" s="437"/>
      <c r="M63" s="437"/>
    </row>
    <row r="64" spans="1:21" ht="15.95" customHeight="1" x14ac:dyDescent="0.25">
      <c r="A64">
        <f t="shared" si="0"/>
        <v>62</v>
      </c>
      <c r="B64" s="281">
        <v>7182</v>
      </c>
      <c r="C64" s="279" t="s">
        <v>136</v>
      </c>
      <c r="D64" s="237"/>
      <c r="E64" s="231"/>
      <c r="F64" s="220"/>
      <c r="G64" s="225"/>
      <c r="H64" s="442"/>
      <c r="I64" s="443"/>
      <c r="K64" s="258"/>
    </row>
    <row r="65" spans="1:11" ht="15" x14ac:dyDescent="0.25">
      <c r="A65">
        <f t="shared" si="0"/>
        <v>63</v>
      </c>
      <c r="B65" s="281">
        <v>7183</v>
      </c>
      <c r="C65" s="279" t="s">
        <v>136</v>
      </c>
      <c r="D65" s="237"/>
      <c r="E65" s="282" t="s">
        <v>137</v>
      </c>
      <c r="F65" s="220"/>
      <c r="G65" s="231"/>
      <c r="H65" s="442"/>
      <c r="I65" s="443"/>
      <c r="K65" s="258"/>
    </row>
    <row r="66" spans="1:11" ht="15" x14ac:dyDescent="0.25">
      <c r="B66" s="281">
        <v>7194</v>
      </c>
      <c r="C66" s="283" t="s">
        <v>136</v>
      </c>
      <c r="D66" s="231"/>
      <c r="E66" s="231"/>
      <c r="F66" s="284" t="s">
        <v>83</v>
      </c>
      <c r="G66" s="444">
        <f t="shared" ref="G66" si="1">$L$4</f>
        <v>0</v>
      </c>
      <c r="H66" s="445"/>
      <c r="I66" s="446"/>
      <c r="K66" s="258"/>
    </row>
    <row r="67" spans="1:11" x14ac:dyDescent="0.2">
      <c r="K67" s="258"/>
    </row>
    <row r="68" spans="1:11" x14ac:dyDescent="0.2">
      <c r="K68" s="258"/>
    </row>
    <row r="69" spans="1:11" x14ac:dyDescent="0.2">
      <c r="K69" s="258"/>
    </row>
    <row r="70" spans="1:11" x14ac:dyDescent="0.2">
      <c r="K70" s="258"/>
    </row>
    <row r="71" spans="1:11" x14ac:dyDescent="0.2">
      <c r="K71" s="258"/>
    </row>
    <row r="72" spans="1:11" x14ac:dyDescent="0.2">
      <c r="K72" s="258"/>
    </row>
    <row r="73" spans="1:11" x14ac:dyDescent="0.2">
      <c r="K73" s="258"/>
    </row>
    <row r="74" spans="1:11" x14ac:dyDescent="0.2">
      <c r="K74" s="258"/>
    </row>
    <row r="75" spans="1:11" x14ac:dyDescent="0.2">
      <c r="K75" s="258"/>
    </row>
  </sheetData>
  <protectedRanges>
    <protectedRange sqref="K3 L4:Q7 K5:K7" name="Range1"/>
    <protectedRange sqref="K9:Q10 K15:M16 K23:M24" name="Range1_1"/>
    <protectedRange sqref="O21:Q22 K21:M21 K25:M25 O27:Q28 O35:Q36 O52:P53 N20:N21 O44:Q44" name="Range1_2"/>
    <protectedRange sqref="K31:M32 K57:M58" name="Range1_3"/>
    <protectedRange sqref="K40:M41" name="Range1_4"/>
    <protectedRange sqref="K47:M47" name="Range1_5"/>
  </protectedRanges>
  <mergeCells count="39">
    <mergeCell ref="K15:M15"/>
    <mergeCell ref="K3:K4"/>
    <mergeCell ref="L3:Q4"/>
    <mergeCell ref="K6:Q7"/>
    <mergeCell ref="K9:M9"/>
    <mergeCell ref="O9:Q9"/>
    <mergeCell ref="H46:I46"/>
    <mergeCell ref="H47:I47"/>
    <mergeCell ref="O21:Q21"/>
    <mergeCell ref="K23:M23"/>
    <mergeCell ref="O27:Q27"/>
    <mergeCell ref="K31:M31"/>
    <mergeCell ref="O35:Q35"/>
    <mergeCell ref="K40:M40"/>
    <mergeCell ref="H64:I64"/>
    <mergeCell ref="H65:I65"/>
    <mergeCell ref="G66:I66"/>
    <mergeCell ref="H55:I55"/>
    <mergeCell ref="H56:I56"/>
    <mergeCell ref="H57:I57"/>
    <mergeCell ref="H58:I58"/>
    <mergeCell ref="H59:I59"/>
    <mergeCell ref="H60:I60"/>
    <mergeCell ref="K63:M63"/>
    <mergeCell ref="K57:M57"/>
    <mergeCell ref="O43:Q43"/>
    <mergeCell ref="H61:I61"/>
    <mergeCell ref="H62:I62"/>
    <mergeCell ref="H63:I63"/>
    <mergeCell ref="H49:I49"/>
    <mergeCell ref="H50:I50"/>
    <mergeCell ref="H51:I51"/>
    <mergeCell ref="H52:I52"/>
    <mergeCell ref="H53:I53"/>
    <mergeCell ref="H54:I54"/>
    <mergeCell ref="H43:I43"/>
    <mergeCell ref="O52:P52"/>
    <mergeCell ref="K46:M46"/>
    <mergeCell ref="H45:I45"/>
  </mergeCells>
  <conditionalFormatting sqref="B3:B21 B24:B58 D3:D38 H33:H41 D42:D55 F42:F63 F3:F34 H3:H29">
    <cfRule type="expression" dxfId="38" priority="41">
      <formula>MATCH(B3,off,0)</formula>
    </cfRule>
  </conditionalFormatting>
  <conditionalFormatting sqref="C3:C21">
    <cfRule type="expression" dxfId="37" priority="40">
      <formula>MATCH(B3,off,0)</formula>
    </cfRule>
  </conditionalFormatting>
  <conditionalFormatting sqref="C24:C58">
    <cfRule type="expression" dxfId="36" priority="39">
      <formula>MATCH(B24,off,0)</formula>
    </cfRule>
  </conditionalFormatting>
  <conditionalFormatting sqref="E3:E38 E42:E55">
    <cfRule type="expression" dxfId="35" priority="38">
      <formula>MATCH(D3,off,0)</formula>
    </cfRule>
  </conditionalFormatting>
  <conditionalFormatting sqref="G42:G63 G3:G34">
    <cfRule type="expression" dxfId="34" priority="36">
      <formula>MATCH(F3,short,0)</formula>
    </cfRule>
    <cfRule type="expression" dxfId="33" priority="37">
      <formula>MATCH(F3,off,0)</formula>
    </cfRule>
  </conditionalFormatting>
  <conditionalFormatting sqref="I3:I29 I33:I41">
    <cfRule type="expression" dxfId="32" priority="35">
      <formula>MATCH(H3,off,0)</formula>
    </cfRule>
  </conditionalFormatting>
  <conditionalFormatting sqref="B3:B21 H33:H41 B62:B66 D3:D38 B24:B58 D42:D55 F42:F63 F3:F34 H3:H29">
    <cfRule type="expression" dxfId="31" priority="2">
      <formula>MATCH(B3,hold,0)</formula>
    </cfRule>
    <cfRule type="expression" dxfId="30" priority="4">
      <formula>MATCH(B3,long,0)</formula>
    </cfRule>
    <cfRule type="expression" dxfId="29" priority="32">
      <formula>MATCH(B3,interior,0)</formula>
    </cfRule>
    <cfRule type="expression" dxfId="28" priority="33">
      <formula>MATCH(B3,short,0)</formula>
    </cfRule>
    <cfRule type="expression" dxfId="27" priority="34">
      <formula>MATCH(B3,reline,0)</formula>
    </cfRule>
  </conditionalFormatting>
  <conditionalFormatting sqref="C3:C21 C62:C66 C24:C58">
    <cfRule type="expression" dxfId="26" priority="7">
      <formula>MATCH(B3,hold,0)</formula>
    </cfRule>
    <cfRule type="expression" dxfId="25" priority="25">
      <formula>MATCH(B3,long,0)</formula>
    </cfRule>
    <cfRule type="expression" dxfId="24" priority="27">
      <formula>MATCH(B3,interior,0)</formula>
    </cfRule>
    <cfRule type="expression" dxfId="23" priority="28">
      <formula>MATCH(B3,short,0)</formula>
    </cfRule>
    <cfRule type="expression" dxfId="22" priority="29">
      <formula>MATCH(B3,reline,0)</formula>
    </cfRule>
  </conditionalFormatting>
  <conditionalFormatting sqref="E3:E38 E42:E55">
    <cfRule type="expression" dxfId="21" priority="20">
      <formula>MATCH(D3,hold,0)</formula>
    </cfRule>
    <cfRule type="expression" dxfId="20" priority="21">
      <formula>MATCH(D3,long,0)</formula>
    </cfRule>
    <cfRule type="expression" dxfId="19" priority="22">
      <formula>MATCH(D3,interior,0)</formula>
    </cfRule>
    <cfRule type="expression" dxfId="18" priority="23">
      <formula>MATCH(D3,short,0)</formula>
    </cfRule>
    <cfRule type="expression" dxfId="17" priority="24">
      <formula>MATCH(D3,reline,0)</formula>
    </cfRule>
  </conditionalFormatting>
  <conditionalFormatting sqref="G42:G63 G3:G34">
    <cfRule type="expression" dxfId="16" priority="3">
      <formula>MATCH(F3,hold,0)</formula>
    </cfRule>
    <cfRule type="expression" dxfId="15" priority="10">
      <formula>MATCH(F3,long,0)</formula>
    </cfRule>
    <cfRule type="expression" dxfId="14" priority="19">
      <formula>MATCH(F3,reline,0)</formula>
    </cfRule>
  </conditionalFormatting>
  <conditionalFormatting sqref="I3:I29 I33:I41">
    <cfRule type="expression" dxfId="13" priority="1">
      <formula>MATCH(H3,hold,0)</formula>
    </cfRule>
    <cfRule type="expression" dxfId="12" priority="9">
      <formula>MATCH(H3,long,0)</formula>
    </cfRule>
    <cfRule type="expression" dxfId="11" priority="15">
      <formula>MATCH(H3,short,0)</formula>
    </cfRule>
    <cfRule type="expression" dxfId="10" priority="16">
      <formula>MATCH(H3,reline,0)</formula>
    </cfRule>
  </conditionalFormatting>
  <conditionalFormatting sqref="G3:G34">
    <cfRule type="expression" dxfId="9" priority="18">
      <formula>MATCH(F3,interior,0)</formula>
    </cfRule>
  </conditionalFormatting>
  <conditionalFormatting sqref="I3:I29">
    <cfRule type="expression" dxfId="8" priority="14">
      <formula>MATCH(H3,interior,0)</formula>
    </cfRule>
  </conditionalFormatting>
  <conditionalFormatting sqref="G42:G63">
    <cfRule type="expression" dxfId="7" priority="17">
      <formula>MATCH(F42,interior,0)</formula>
    </cfRule>
  </conditionalFormatting>
  <conditionalFormatting sqref="I33:I41">
    <cfRule type="expression" dxfId="6" priority="13">
      <formula>MATCH(H33,interior,0)</formula>
    </cfRule>
  </conditionalFormatting>
  <conditionalFormatting sqref="B3:B21 B24:B58 B62:B66 D3:D38 D42:D55 F3:F34 F42:F63 H3:H29 H33:H41">
    <cfRule type="expression" dxfId="5" priority="8">
      <formula>MATCH(B3,inspections,0)</formula>
    </cfRule>
  </conditionalFormatting>
  <conditionalFormatting sqref="C3:C21 C24:C58 C62:C66">
    <cfRule type="expression" dxfId="4" priority="26">
      <formula>MATCH(B3,inspections,0)</formula>
    </cfRule>
  </conditionalFormatting>
  <conditionalFormatting sqref="E3:E38 E42:E55">
    <cfRule type="expression" dxfId="3" priority="5">
      <formula>MATCH(D3,inspections,0)</formula>
    </cfRule>
  </conditionalFormatting>
  <conditionalFormatting sqref="G3:G34 G42:G63">
    <cfRule type="expression" dxfId="2" priority="12">
      <formula>MATCH(F3,inspections,0)</formula>
    </cfRule>
  </conditionalFormatting>
  <conditionalFormatting sqref="I3:I29 I33:I41">
    <cfRule type="expression" dxfId="1" priority="11">
      <formula>MATCH(H3,inspections,0)</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249977111117893"/>
  </sheetPr>
  <dimension ref="A1:N22"/>
  <sheetViews>
    <sheetView workbookViewId="0">
      <selection activeCell="G29" sqref="G29"/>
    </sheetView>
  </sheetViews>
  <sheetFormatPr defaultRowHeight="12.75" x14ac:dyDescent="0.2"/>
  <cols>
    <col min="2" max="2" width="12.42578125" style="105" bestFit="1" customWidth="1"/>
    <col min="4" max="4" width="18.140625" style="105" customWidth="1"/>
    <col min="6" max="6" width="18.140625" style="105" customWidth="1"/>
    <col min="8" max="8" width="14.7109375" style="105" bestFit="1" customWidth="1"/>
    <col min="10" max="10" width="12.85546875" style="105" bestFit="1" customWidth="1"/>
    <col min="12" max="12" width="10.85546875" style="105" bestFit="1" customWidth="1"/>
    <col min="14" max="14" width="17.85546875" customWidth="1"/>
  </cols>
  <sheetData>
    <row r="1" spans="1:14" x14ac:dyDescent="0.2"/>
    <row r="3" spans="1:14" x14ac:dyDescent="0.2">
      <c r="B3" s="105" t="s">
        <v>100</v>
      </c>
      <c r="D3" s="105" t="s">
        <v>101</v>
      </c>
      <c r="F3" s="105" t="s">
        <v>102</v>
      </c>
      <c r="H3" s="105" t="s">
        <v>103</v>
      </c>
      <c r="J3" s="105" t="s">
        <v>104</v>
      </c>
      <c r="L3" s="105" t="s">
        <v>105</v>
      </c>
      <c r="N3" t="s">
        <v>139</v>
      </c>
    </row>
    <row r="4" spans="1:14" x14ac:dyDescent="0.2">
      <c r="B4" s="287">
        <f>'Fuel Sheet'!K11</f>
        <v>0</v>
      </c>
      <c r="D4" s="287">
        <f>'Fuel Sheet'!O11</f>
        <v>0</v>
      </c>
      <c r="F4" s="287">
        <f>'Fuel Sheet'!O23</f>
        <v>0</v>
      </c>
      <c r="H4" s="287">
        <f>'Fuel Sheet'!K59</f>
        <v>0</v>
      </c>
      <c r="J4" s="287">
        <f>'Fuel Sheet'!K42</f>
        <v>0</v>
      </c>
      <c r="L4" s="287">
        <f>'Fuel Sheet'!K48</f>
        <v>0</v>
      </c>
      <c r="N4">
        <f>'Fuel Sheet'!K33</f>
        <v>0</v>
      </c>
    </row>
    <row r="5" spans="1:14" x14ac:dyDescent="0.2">
      <c r="B5" s="287">
        <f>'Fuel Sheet'!K12</f>
        <v>0</v>
      </c>
      <c r="D5" s="287">
        <f>'Fuel Sheet'!O12</f>
        <v>0</v>
      </c>
      <c r="F5" s="287">
        <f>'Fuel Sheet'!O24</f>
        <v>0</v>
      </c>
      <c r="H5" s="287">
        <f>'Fuel Sheet'!K60</f>
        <v>0</v>
      </c>
      <c r="J5" s="287">
        <f>'Fuel Sheet'!K43</f>
        <v>0</v>
      </c>
      <c r="L5" s="287">
        <f>'Fuel Sheet'!K49</f>
        <v>0</v>
      </c>
      <c r="N5">
        <f>'Fuel Sheet'!K34</f>
        <v>0</v>
      </c>
    </row>
    <row r="6" spans="1:14" x14ac:dyDescent="0.2">
      <c r="B6" s="287">
        <f>'Fuel Sheet'!K13</f>
        <v>0</v>
      </c>
      <c r="D6" s="287">
        <f>'Fuel Sheet'!O13</f>
        <v>0</v>
      </c>
      <c r="F6" s="287">
        <f>'Fuel Sheet'!O25</f>
        <v>0</v>
      </c>
      <c r="H6" s="287">
        <f>'Fuel Sheet'!K61</f>
        <v>0</v>
      </c>
      <c r="J6" s="287">
        <f>'Fuel Sheet'!K44</f>
        <v>0</v>
      </c>
      <c r="L6" s="287">
        <f>'Fuel Sheet'!K50</f>
        <v>0</v>
      </c>
      <c r="N6">
        <f>'Fuel Sheet'!K35</f>
        <v>0</v>
      </c>
    </row>
    <row r="7" spans="1:14" x14ac:dyDescent="0.2">
      <c r="B7" s="287">
        <f>'Fuel Sheet'!K17</f>
        <v>0</v>
      </c>
      <c r="D7" s="287">
        <f>'Fuel Sheet'!O14</f>
        <v>0</v>
      </c>
      <c r="F7" s="287">
        <f>'Fuel Sheet'!O29</f>
        <v>0</v>
      </c>
      <c r="H7" s="287">
        <f>'Fuel Sheet'!K62</f>
        <v>0</v>
      </c>
      <c r="L7" s="287">
        <f>'Fuel Sheet'!K51</f>
        <v>0</v>
      </c>
      <c r="N7">
        <f>'Fuel Sheet'!K36</f>
        <v>0</v>
      </c>
    </row>
    <row r="8" spans="1:14" x14ac:dyDescent="0.2">
      <c r="B8" s="287">
        <f>'Fuel Sheet'!K18</f>
        <v>0</v>
      </c>
      <c r="D8" s="287">
        <f>'Fuel Sheet'!O15</f>
        <v>0</v>
      </c>
      <c r="F8" s="287">
        <f>'Fuel Sheet'!O30</f>
        <v>0</v>
      </c>
      <c r="L8" s="287">
        <f>'Fuel Sheet'!K52</f>
        <v>0</v>
      </c>
      <c r="N8">
        <f>'Fuel Sheet'!K37</f>
        <v>0</v>
      </c>
    </row>
    <row r="9" spans="1:14" x14ac:dyDescent="0.2">
      <c r="B9" s="287">
        <f>'Fuel Sheet'!K19</f>
        <v>0</v>
      </c>
      <c r="D9" s="287">
        <f>'Fuel Sheet'!O16</f>
        <v>0</v>
      </c>
      <c r="F9" s="287">
        <f>'Fuel Sheet'!O31</f>
        <v>0</v>
      </c>
      <c r="L9" s="287">
        <f>'Fuel Sheet'!K53</f>
        <v>0</v>
      </c>
      <c r="N9">
        <f>'Fuel Sheet'!K38</f>
        <v>0</v>
      </c>
    </row>
    <row r="10" spans="1:14" x14ac:dyDescent="0.2">
      <c r="B10" s="287">
        <f>'Fuel Sheet'!K20</f>
        <v>0</v>
      </c>
      <c r="D10" s="287">
        <f>'Fuel Sheet'!O17</f>
        <v>0</v>
      </c>
      <c r="F10" s="287">
        <f>'Fuel Sheet'!O32</f>
        <v>0</v>
      </c>
      <c r="L10" s="287">
        <f>'Fuel Sheet'!K54</f>
        <v>0</v>
      </c>
    </row>
    <row r="11" spans="1:14" x14ac:dyDescent="0.2">
      <c r="B11" s="287">
        <f>'Fuel Sheet'!K21</f>
        <v>0</v>
      </c>
      <c r="D11" s="287">
        <f>'Fuel Sheet'!O18</f>
        <v>0</v>
      </c>
      <c r="F11" s="287">
        <f>'Fuel Sheet'!O33</f>
        <v>0</v>
      </c>
      <c r="L11" s="287">
        <f>'Fuel Sheet'!K55</f>
        <v>0</v>
      </c>
    </row>
    <row r="12" spans="1:14" x14ac:dyDescent="0.2">
      <c r="B12" s="287">
        <f>'Fuel Sheet'!K25</f>
        <v>0</v>
      </c>
      <c r="D12" s="287">
        <f>'Fuel Sheet'!O19</f>
        <v>0</v>
      </c>
      <c r="F12" s="287">
        <f>'Fuel Sheet'!O37</f>
        <v>0</v>
      </c>
    </row>
    <row r="13" spans="1:14" x14ac:dyDescent="0.2">
      <c r="B13" s="287">
        <f>'Fuel Sheet'!K26</f>
        <v>0</v>
      </c>
      <c r="F13" s="287">
        <f>'Fuel Sheet'!O38</f>
        <v>0</v>
      </c>
    </row>
    <row r="14" spans="1:14" x14ac:dyDescent="0.2">
      <c r="B14" s="287">
        <f>'Fuel Sheet'!K27</f>
        <v>0</v>
      </c>
      <c r="F14" s="287">
        <f>'Fuel Sheet'!O39</f>
        <v>0</v>
      </c>
    </row>
    <row r="15" spans="1:14" x14ac:dyDescent="0.2">
      <c r="B15" s="287">
        <f>'Fuel Sheet'!K28</f>
        <v>0</v>
      </c>
      <c r="F15" s="287">
        <f>'Fuel Sheet'!O40</f>
        <v>0</v>
      </c>
    </row>
    <row r="16" spans="1:14" x14ac:dyDescent="0.2">
      <c r="B16" s="287">
        <f>'Fuel Sheet'!K29</f>
        <v>0</v>
      </c>
      <c r="F16" s="287">
        <f>'Fuel Sheet'!O41</f>
        <v>0</v>
      </c>
    </row>
    <row r="17" spans="6:6" x14ac:dyDescent="0.2">
      <c r="F17" s="287">
        <f>'Fuel Sheet'!O45</f>
        <v>0</v>
      </c>
    </row>
    <row r="18" spans="6:6" x14ac:dyDescent="0.2">
      <c r="F18" s="287">
        <f>'Fuel Sheet'!O46</f>
        <v>0</v>
      </c>
    </row>
    <row r="19" spans="6:6" x14ac:dyDescent="0.2">
      <c r="F19" s="287">
        <f>'Fuel Sheet'!O47</f>
        <v>0</v>
      </c>
    </row>
    <row r="20" spans="6:6" x14ac:dyDescent="0.2">
      <c r="F20" s="287">
        <f>'Fuel Sheet'!O48</f>
        <v>0</v>
      </c>
    </row>
    <row r="21" spans="6:6" x14ac:dyDescent="0.2">
      <c r="F21" s="287">
        <f>'Fuel Sheet'!O49</f>
        <v>0</v>
      </c>
    </row>
    <row r="22" spans="6:6" x14ac:dyDescent="0.2">
      <c r="F22" s="287">
        <f>'Fuel Sheet'!O50</f>
        <v>0</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B149"/>
  <sheetViews>
    <sheetView topLeftCell="E4" workbookViewId="0">
      <selection activeCell="O28" sqref="O28"/>
    </sheetView>
  </sheetViews>
  <sheetFormatPr defaultRowHeight="12.75" x14ac:dyDescent="0.2"/>
  <cols>
    <col min="6" max="6" width="10.85546875" customWidth="1"/>
    <col min="9" max="9" width="3.42578125" customWidth="1"/>
    <col min="14" max="14" width="9.42578125" customWidth="1"/>
    <col min="18" max="18" width="2.85546875" customWidth="1"/>
    <col min="27" max="27" width="3.140625" customWidth="1"/>
  </cols>
  <sheetData>
    <row r="1" spans="1:27" ht="18.75" x14ac:dyDescent="0.3">
      <c r="A1" s="120"/>
      <c r="B1" s="120"/>
      <c r="C1" s="120"/>
      <c r="D1" s="120"/>
      <c r="E1" s="120"/>
      <c r="F1" s="120"/>
      <c r="G1" s="120"/>
      <c r="H1" s="200"/>
      <c r="I1" s="187"/>
      <c r="J1" s="120"/>
      <c r="K1" s="202" t="s">
        <v>83</v>
      </c>
      <c r="L1" s="489"/>
      <c r="M1" s="489"/>
      <c r="N1" s="489"/>
      <c r="O1" s="201"/>
      <c r="P1" s="201"/>
      <c r="Q1" s="201"/>
      <c r="R1" s="201"/>
      <c r="S1" s="187"/>
      <c r="T1" s="120"/>
      <c r="U1" s="120"/>
      <c r="V1" s="120"/>
      <c r="W1" s="120"/>
      <c r="X1" s="120"/>
      <c r="Y1" s="120"/>
      <c r="Z1" s="120"/>
      <c r="AA1" s="120"/>
    </row>
    <row r="2" spans="1:27" x14ac:dyDescent="0.2">
      <c r="A2" s="120"/>
      <c r="B2" s="120"/>
      <c r="C2" s="144"/>
      <c r="D2" s="144"/>
      <c r="E2" s="144"/>
      <c r="F2" s="120"/>
      <c r="G2" s="120"/>
      <c r="H2" s="120"/>
      <c r="I2" s="120"/>
      <c r="J2" s="120"/>
      <c r="K2" s="120"/>
      <c r="L2" s="144"/>
      <c r="M2" s="144"/>
      <c r="N2" s="144"/>
      <c r="O2" s="120"/>
      <c r="P2" s="120"/>
      <c r="Q2" s="120"/>
      <c r="R2" s="120"/>
      <c r="S2" s="120"/>
      <c r="T2" s="120"/>
      <c r="U2" s="144"/>
      <c r="V2" s="144"/>
      <c r="W2" s="144"/>
      <c r="X2" s="120"/>
      <c r="Y2" s="120"/>
      <c r="Z2" s="120"/>
      <c r="AA2" s="120"/>
    </row>
    <row r="3" spans="1:27" ht="16.5" thickBot="1" x14ac:dyDescent="0.3">
      <c r="A3" s="120"/>
      <c r="B3" s="120"/>
      <c r="C3" s="483" t="s">
        <v>71</v>
      </c>
      <c r="D3" s="483"/>
      <c r="E3" s="483"/>
      <c r="F3" s="120"/>
      <c r="G3" s="120"/>
      <c r="H3" s="120"/>
      <c r="I3" s="120"/>
      <c r="J3" s="120"/>
      <c r="K3" s="120"/>
      <c r="L3" s="483" t="s">
        <v>72</v>
      </c>
      <c r="M3" s="483"/>
      <c r="N3" s="483"/>
      <c r="O3" s="120"/>
      <c r="P3" s="120"/>
      <c r="Q3" s="120"/>
      <c r="R3" s="120"/>
      <c r="S3" s="120"/>
      <c r="T3" s="120"/>
      <c r="U3" s="483" t="s">
        <v>73</v>
      </c>
      <c r="V3" s="483"/>
      <c r="W3" s="483"/>
      <c r="X3" s="120"/>
      <c r="Y3" s="120"/>
      <c r="Z3" s="120"/>
      <c r="AA3" s="120"/>
    </row>
    <row r="4" spans="1:27" ht="15" x14ac:dyDescent="0.25">
      <c r="A4" s="119" t="s">
        <v>68</v>
      </c>
      <c r="B4" s="119" t="s">
        <v>69</v>
      </c>
      <c r="C4" s="119" t="s">
        <v>70</v>
      </c>
      <c r="D4" s="119" t="s">
        <v>11</v>
      </c>
      <c r="E4" s="119" t="s">
        <v>12</v>
      </c>
      <c r="F4" s="119" t="s">
        <v>13</v>
      </c>
      <c r="G4" s="119" t="s">
        <v>51</v>
      </c>
      <c r="H4" s="119" t="s">
        <v>16</v>
      </c>
      <c r="I4" s="120"/>
      <c r="J4" s="119" t="s">
        <v>68</v>
      </c>
      <c r="K4" s="119" t="s">
        <v>69</v>
      </c>
      <c r="L4" s="119" t="s">
        <v>70</v>
      </c>
      <c r="M4" s="119" t="s">
        <v>11</v>
      </c>
      <c r="N4" s="119" t="s">
        <v>12</v>
      </c>
      <c r="O4" s="119" t="s">
        <v>13</v>
      </c>
      <c r="P4" s="119" t="s">
        <v>51</v>
      </c>
      <c r="Q4" s="119" t="s">
        <v>16</v>
      </c>
      <c r="R4" s="120"/>
      <c r="S4" s="128" t="s">
        <v>68</v>
      </c>
      <c r="T4" s="125" t="s">
        <v>69</v>
      </c>
      <c r="U4" s="125" t="s">
        <v>70</v>
      </c>
      <c r="V4" s="125" t="s">
        <v>11</v>
      </c>
      <c r="W4" s="125" t="s">
        <v>12</v>
      </c>
      <c r="X4" s="125" t="s">
        <v>13</v>
      </c>
      <c r="Y4" s="125" t="s">
        <v>51</v>
      </c>
      <c r="Z4" s="127" t="s">
        <v>16</v>
      </c>
      <c r="AA4" s="120"/>
    </row>
    <row r="5" spans="1:27" ht="18.75" x14ac:dyDescent="0.3">
      <c r="A5" s="101" t="s">
        <v>41</v>
      </c>
      <c r="B5" s="138">
        <v>1</v>
      </c>
      <c r="C5" s="138">
        <v>401</v>
      </c>
      <c r="D5" s="138">
        <v>424</v>
      </c>
      <c r="E5" s="138">
        <v>2616</v>
      </c>
      <c r="F5" s="143"/>
      <c r="G5" s="143"/>
      <c r="H5" s="141">
        <v>489</v>
      </c>
      <c r="I5" s="145"/>
      <c r="J5" s="101" t="s">
        <v>39</v>
      </c>
      <c r="K5" s="138">
        <v>10</v>
      </c>
      <c r="L5" s="138">
        <v>601</v>
      </c>
      <c r="M5" s="138">
        <v>352</v>
      </c>
      <c r="N5" s="138">
        <v>2003</v>
      </c>
      <c r="O5" s="143"/>
      <c r="P5" s="143"/>
      <c r="Q5" s="141">
        <v>598</v>
      </c>
      <c r="R5" s="145"/>
      <c r="S5" s="160" t="s">
        <v>42</v>
      </c>
      <c r="T5" s="161">
        <v>10</v>
      </c>
      <c r="U5" s="161">
        <v>480</v>
      </c>
      <c r="V5" s="161">
        <v>444</v>
      </c>
      <c r="W5" s="161">
        <v>1148</v>
      </c>
      <c r="X5" s="189"/>
      <c r="Y5" s="189"/>
      <c r="Z5" s="162">
        <v>175</v>
      </c>
      <c r="AA5" s="120"/>
    </row>
    <row r="6" spans="1:27" ht="18.75" x14ac:dyDescent="0.3">
      <c r="A6" s="86" t="s">
        <v>41</v>
      </c>
      <c r="B6" s="124">
        <v>21</v>
      </c>
      <c r="C6" s="124">
        <v>401</v>
      </c>
      <c r="D6" s="124">
        <v>425</v>
      </c>
      <c r="E6" s="124">
        <v>2308</v>
      </c>
      <c r="F6" s="140"/>
      <c r="G6" s="140"/>
      <c r="H6" s="129">
        <v>415</v>
      </c>
      <c r="I6" s="145"/>
      <c r="J6" s="86" t="s">
        <v>39</v>
      </c>
      <c r="K6" s="124">
        <v>8</v>
      </c>
      <c r="L6" s="124">
        <v>601</v>
      </c>
      <c r="M6" s="124">
        <v>352</v>
      </c>
      <c r="N6" s="124">
        <v>1935</v>
      </c>
      <c r="O6" s="140"/>
      <c r="P6" s="140"/>
      <c r="Q6" s="129">
        <v>564</v>
      </c>
      <c r="R6" s="145"/>
      <c r="S6" s="148" t="s">
        <v>42</v>
      </c>
      <c r="T6" s="149">
        <v>11</v>
      </c>
      <c r="U6" s="149">
        <v>480</v>
      </c>
      <c r="V6" s="149">
        <v>447</v>
      </c>
      <c r="W6" s="149">
        <v>1128</v>
      </c>
      <c r="X6" s="190"/>
      <c r="Y6" s="190"/>
      <c r="Z6" s="152">
        <v>159</v>
      </c>
      <c r="AA6" s="120"/>
    </row>
    <row r="7" spans="1:27" ht="18.75" x14ac:dyDescent="0.3">
      <c r="A7" s="60" t="s">
        <v>41</v>
      </c>
      <c r="B7" s="118">
        <v>23</v>
      </c>
      <c r="C7" s="118">
        <v>401</v>
      </c>
      <c r="D7" s="118">
        <v>425</v>
      </c>
      <c r="E7" s="118">
        <v>2901</v>
      </c>
      <c r="F7" s="142"/>
      <c r="G7" s="142"/>
      <c r="H7" s="62">
        <v>563</v>
      </c>
      <c r="I7" s="145"/>
      <c r="J7" s="60" t="s">
        <v>39</v>
      </c>
      <c r="K7" s="118">
        <v>11</v>
      </c>
      <c r="L7" s="118">
        <v>601</v>
      </c>
      <c r="M7" s="118">
        <v>412</v>
      </c>
      <c r="N7" s="118">
        <v>1926</v>
      </c>
      <c r="O7" s="142"/>
      <c r="P7" s="142"/>
      <c r="Q7" s="62">
        <v>594</v>
      </c>
      <c r="R7" s="145"/>
      <c r="S7" s="60" t="s">
        <v>42</v>
      </c>
      <c r="T7" s="118">
        <v>2</v>
      </c>
      <c r="U7" s="118">
        <v>480</v>
      </c>
      <c r="V7" s="118">
        <v>517</v>
      </c>
      <c r="W7" s="118">
        <v>1807</v>
      </c>
      <c r="X7" s="191"/>
      <c r="Y7" s="191"/>
      <c r="Z7" s="62">
        <v>294</v>
      </c>
      <c r="AA7" s="120"/>
    </row>
    <row r="8" spans="1:27" ht="18.75" x14ac:dyDescent="0.3">
      <c r="A8" s="86" t="s">
        <v>41</v>
      </c>
      <c r="B8" s="124">
        <v>6</v>
      </c>
      <c r="C8" s="124">
        <v>401</v>
      </c>
      <c r="D8" s="124">
        <v>426</v>
      </c>
      <c r="E8" s="124">
        <v>1953</v>
      </c>
      <c r="F8" s="140"/>
      <c r="G8" s="140"/>
      <c r="H8" s="129">
        <v>361</v>
      </c>
      <c r="I8" s="145"/>
      <c r="J8" s="86" t="s">
        <v>39</v>
      </c>
      <c r="K8" s="124">
        <v>5</v>
      </c>
      <c r="L8" s="124">
        <v>601</v>
      </c>
      <c r="M8" s="124">
        <v>413</v>
      </c>
      <c r="N8" s="124">
        <v>1941</v>
      </c>
      <c r="O8" s="140"/>
      <c r="P8" s="140"/>
      <c r="Q8" s="129">
        <v>570</v>
      </c>
      <c r="R8" s="145"/>
      <c r="S8" s="86" t="s">
        <v>42</v>
      </c>
      <c r="T8" s="124">
        <v>34</v>
      </c>
      <c r="U8" s="124">
        <v>480</v>
      </c>
      <c r="V8" s="124">
        <v>517</v>
      </c>
      <c r="W8" s="124">
        <v>1938</v>
      </c>
      <c r="X8" s="190"/>
      <c r="Y8" s="190"/>
      <c r="Z8" s="129">
        <v>287</v>
      </c>
      <c r="AA8" s="120"/>
    </row>
    <row r="9" spans="1:27" ht="18.75" x14ac:dyDescent="0.3">
      <c r="A9" s="60" t="s">
        <v>41</v>
      </c>
      <c r="B9" s="118">
        <v>16</v>
      </c>
      <c r="C9" s="118">
        <v>401</v>
      </c>
      <c r="D9" s="118">
        <v>427</v>
      </c>
      <c r="E9" s="118">
        <v>1823</v>
      </c>
      <c r="F9" s="142"/>
      <c r="G9" s="142"/>
      <c r="H9" s="62">
        <v>336</v>
      </c>
      <c r="I9" s="145"/>
      <c r="J9" s="60" t="s">
        <v>39</v>
      </c>
      <c r="K9" s="118">
        <v>2</v>
      </c>
      <c r="L9" s="118">
        <v>601</v>
      </c>
      <c r="M9" s="118">
        <v>421</v>
      </c>
      <c r="N9" s="118">
        <v>2000</v>
      </c>
      <c r="O9" s="142"/>
      <c r="P9" s="142"/>
      <c r="Q9" s="62">
        <v>604</v>
      </c>
      <c r="R9" s="145"/>
      <c r="S9" s="60" t="s">
        <v>42</v>
      </c>
      <c r="T9" s="118">
        <v>8</v>
      </c>
      <c r="U9" s="118">
        <v>620</v>
      </c>
      <c r="V9" s="118">
        <v>539</v>
      </c>
      <c r="W9" s="118">
        <v>2347</v>
      </c>
      <c r="X9" s="191"/>
      <c r="Y9" s="191"/>
      <c r="Z9" s="62">
        <v>519</v>
      </c>
      <c r="AA9" s="120"/>
    </row>
    <row r="10" spans="1:27" ht="18.75" x14ac:dyDescent="0.3">
      <c r="A10" s="86" t="s">
        <v>41</v>
      </c>
      <c r="B10" s="124">
        <v>3</v>
      </c>
      <c r="C10" s="124">
        <v>404</v>
      </c>
      <c r="D10" s="124">
        <v>432</v>
      </c>
      <c r="E10" s="124">
        <v>2614</v>
      </c>
      <c r="F10" s="140"/>
      <c r="G10" s="140"/>
      <c r="H10" s="129">
        <v>420</v>
      </c>
      <c r="I10" s="145"/>
      <c r="J10" s="174" t="s">
        <v>39</v>
      </c>
      <c r="K10" s="175">
        <v>12</v>
      </c>
      <c r="L10" s="175">
        <v>601</v>
      </c>
      <c r="M10" s="175">
        <v>425</v>
      </c>
      <c r="N10" s="175">
        <v>2246</v>
      </c>
      <c r="O10" s="140"/>
      <c r="P10" s="140"/>
      <c r="Q10" s="129">
        <v>657</v>
      </c>
      <c r="R10" s="145"/>
      <c r="S10" s="148" t="s">
        <v>42</v>
      </c>
      <c r="T10" s="149">
        <v>56</v>
      </c>
      <c r="U10" s="149">
        <v>480</v>
      </c>
      <c r="V10" s="149">
        <v>553</v>
      </c>
      <c r="W10" s="149">
        <v>1101</v>
      </c>
      <c r="X10" s="190"/>
      <c r="Y10" s="190"/>
      <c r="Z10" s="152">
        <v>115</v>
      </c>
      <c r="AA10" s="120"/>
    </row>
    <row r="11" spans="1:27" ht="18.75" x14ac:dyDescent="0.3">
      <c r="A11" s="60" t="s">
        <v>41</v>
      </c>
      <c r="B11" s="118">
        <v>18</v>
      </c>
      <c r="C11" s="118">
        <v>401</v>
      </c>
      <c r="D11" s="118">
        <v>438</v>
      </c>
      <c r="E11" s="118">
        <v>2121</v>
      </c>
      <c r="F11" s="142"/>
      <c r="G11" s="142"/>
      <c r="H11" s="62">
        <v>385</v>
      </c>
      <c r="I11" s="145"/>
      <c r="J11" s="60" t="s">
        <v>39</v>
      </c>
      <c r="K11" s="118">
        <v>13</v>
      </c>
      <c r="L11" s="118">
        <v>601</v>
      </c>
      <c r="M11" s="118">
        <v>433</v>
      </c>
      <c r="N11" s="118">
        <v>1920</v>
      </c>
      <c r="O11" s="142"/>
      <c r="P11" s="142"/>
      <c r="Q11" s="62">
        <v>560</v>
      </c>
      <c r="R11" s="145"/>
      <c r="S11" s="150" t="s">
        <v>42</v>
      </c>
      <c r="T11" s="151">
        <v>51</v>
      </c>
      <c r="U11" s="151">
        <v>480</v>
      </c>
      <c r="V11" s="151">
        <v>601</v>
      </c>
      <c r="W11" s="151">
        <v>1108</v>
      </c>
      <c r="X11" s="191"/>
      <c r="Y11" s="191"/>
      <c r="Z11" s="153">
        <v>115</v>
      </c>
      <c r="AA11" s="120"/>
    </row>
    <row r="12" spans="1:27" ht="18.75" x14ac:dyDescent="0.3">
      <c r="A12" s="86" t="s">
        <v>41</v>
      </c>
      <c r="B12" s="124">
        <v>20</v>
      </c>
      <c r="C12" s="124">
        <v>401</v>
      </c>
      <c r="D12" s="124">
        <v>443</v>
      </c>
      <c r="E12" s="124">
        <v>1900</v>
      </c>
      <c r="F12" s="140"/>
      <c r="G12" s="140"/>
      <c r="H12" s="129">
        <v>316</v>
      </c>
      <c r="I12" s="145"/>
      <c r="J12" s="86" t="s">
        <v>39</v>
      </c>
      <c r="K12" s="124">
        <v>9</v>
      </c>
      <c r="L12" s="124">
        <v>601</v>
      </c>
      <c r="M12" s="124">
        <v>440</v>
      </c>
      <c r="N12" s="124">
        <v>1950</v>
      </c>
      <c r="O12" s="140"/>
      <c r="P12" s="140"/>
      <c r="Q12" s="129">
        <v>532</v>
      </c>
      <c r="R12" s="145"/>
      <c r="S12" s="86" t="s">
        <v>42</v>
      </c>
      <c r="T12" s="124">
        <v>4</v>
      </c>
      <c r="U12" s="124">
        <v>480</v>
      </c>
      <c r="V12" s="124">
        <v>617</v>
      </c>
      <c r="W12" s="124">
        <v>1732</v>
      </c>
      <c r="X12" s="190"/>
      <c r="Y12" s="190"/>
      <c r="Z12" s="129">
        <v>253</v>
      </c>
      <c r="AA12" s="120"/>
    </row>
    <row r="13" spans="1:27" ht="18.75" x14ac:dyDescent="0.3">
      <c r="A13" s="60" t="s">
        <v>41</v>
      </c>
      <c r="B13" s="118">
        <v>11</v>
      </c>
      <c r="C13" s="118">
        <v>401</v>
      </c>
      <c r="D13" s="118">
        <v>446</v>
      </c>
      <c r="E13" s="118">
        <v>2602</v>
      </c>
      <c r="F13" s="142"/>
      <c r="G13" s="142"/>
      <c r="H13" s="62">
        <v>477</v>
      </c>
      <c r="I13" s="145"/>
      <c r="J13" s="150" t="s">
        <v>39</v>
      </c>
      <c r="K13" s="151">
        <v>20</v>
      </c>
      <c r="L13" s="151">
        <v>352</v>
      </c>
      <c r="M13" s="151">
        <v>444</v>
      </c>
      <c r="N13" s="151">
        <v>758</v>
      </c>
      <c r="O13" s="142"/>
      <c r="P13" s="142"/>
      <c r="Q13" s="153">
        <v>163</v>
      </c>
      <c r="R13" s="145"/>
      <c r="S13" s="60" t="s">
        <v>42</v>
      </c>
      <c r="T13" s="118">
        <v>6</v>
      </c>
      <c r="U13" s="118">
        <v>480</v>
      </c>
      <c r="V13" s="118">
        <v>624</v>
      </c>
      <c r="W13" s="118">
        <v>2200</v>
      </c>
      <c r="X13" s="191"/>
      <c r="Y13" s="191"/>
      <c r="Z13" s="62">
        <v>330</v>
      </c>
      <c r="AA13" s="120"/>
    </row>
    <row r="14" spans="1:27" ht="18.75" x14ac:dyDescent="0.3">
      <c r="A14" s="86" t="s">
        <v>41</v>
      </c>
      <c r="B14" s="124">
        <v>5</v>
      </c>
      <c r="C14" s="124">
        <v>401</v>
      </c>
      <c r="D14" s="124">
        <v>453</v>
      </c>
      <c r="E14" s="124">
        <v>2108</v>
      </c>
      <c r="F14" s="140"/>
      <c r="G14" s="140"/>
      <c r="H14" s="129">
        <v>382</v>
      </c>
      <c r="I14" s="145"/>
      <c r="J14" s="86" t="s">
        <v>39</v>
      </c>
      <c r="K14" s="124">
        <v>1</v>
      </c>
      <c r="L14" s="124">
        <v>601</v>
      </c>
      <c r="M14" s="124">
        <v>445</v>
      </c>
      <c r="N14" s="124">
        <v>2143</v>
      </c>
      <c r="O14" s="140"/>
      <c r="P14" s="140"/>
      <c r="Q14" s="129">
        <v>587</v>
      </c>
      <c r="R14" s="145"/>
      <c r="S14" s="172" t="s">
        <v>42</v>
      </c>
      <c r="T14" s="173">
        <v>81</v>
      </c>
      <c r="U14" s="173">
        <v>480</v>
      </c>
      <c r="V14" s="173">
        <v>626</v>
      </c>
      <c r="W14" s="173">
        <v>1035</v>
      </c>
      <c r="X14" s="190"/>
      <c r="Y14" s="190"/>
      <c r="Z14" s="152">
        <v>107</v>
      </c>
      <c r="AA14" s="120"/>
    </row>
    <row r="15" spans="1:27" ht="18.75" x14ac:dyDescent="0.3">
      <c r="A15" s="60" t="s">
        <v>41</v>
      </c>
      <c r="B15" s="118">
        <v>10</v>
      </c>
      <c r="C15" s="118">
        <v>402</v>
      </c>
      <c r="D15" s="118">
        <v>454</v>
      </c>
      <c r="E15" s="118">
        <v>2154</v>
      </c>
      <c r="F15" s="142"/>
      <c r="G15" s="142"/>
      <c r="H15" s="62">
        <v>362</v>
      </c>
      <c r="I15" s="145"/>
      <c r="J15" s="150" t="s">
        <v>39</v>
      </c>
      <c r="K15" s="151">
        <v>13</v>
      </c>
      <c r="L15" s="151">
        <v>352</v>
      </c>
      <c r="M15" s="151">
        <v>447</v>
      </c>
      <c r="N15" s="151">
        <v>759</v>
      </c>
      <c r="O15" s="142"/>
      <c r="P15" s="142"/>
      <c r="Q15" s="153">
        <v>163</v>
      </c>
      <c r="R15" s="145"/>
      <c r="S15" s="60" t="s">
        <v>42</v>
      </c>
      <c r="T15" s="151">
        <v>53</v>
      </c>
      <c r="U15" s="151">
        <v>480</v>
      </c>
      <c r="V15" s="151">
        <v>627</v>
      </c>
      <c r="W15" s="151">
        <v>936</v>
      </c>
      <c r="X15" s="191"/>
      <c r="Y15" s="191"/>
      <c r="Z15" s="153">
        <v>79</v>
      </c>
      <c r="AA15" s="120"/>
    </row>
    <row r="16" spans="1:27" ht="18.75" x14ac:dyDescent="0.3">
      <c r="A16" s="86" t="s">
        <v>41</v>
      </c>
      <c r="B16" s="124">
        <v>26</v>
      </c>
      <c r="C16" s="124">
        <v>401</v>
      </c>
      <c r="D16" s="124">
        <v>457</v>
      </c>
      <c r="E16" s="124">
        <v>1738</v>
      </c>
      <c r="F16" s="140"/>
      <c r="G16" s="140"/>
      <c r="H16" s="129">
        <v>300</v>
      </c>
      <c r="I16" s="145"/>
      <c r="J16" s="148" t="s">
        <v>39</v>
      </c>
      <c r="K16" s="149">
        <v>41</v>
      </c>
      <c r="L16" s="149">
        <v>601</v>
      </c>
      <c r="M16" s="149">
        <v>453</v>
      </c>
      <c r="N16" s="149">
        <v>843</v>
      </c>
      <c r="O16" s="140"/>
      <c r="P16" s="140"/>
      <c r="Q16" s="152">
        <v>165</v>
      </c>
      <c r="R16" s="145"/>
      <c r="S16" s="86" t="s">
        <v>42</v>
      </c>
      <c r="T16" s="149">
        <v>50</v>
      </c>
      <c r="U16" s="149">
        <v>480</v>
      </c>
      <c r="V16" s="149">
        <v>638</v>
      </c>
      <c r="W16" s="149">
        <v>915</v>
      </c>
      <c r="X16" s="190"/>
      <c r="Y16" s="190"/>
      <c r="Z16" s="152">
        <v>114</v>
      </c>
      <c r="AA16" s="120"/>
    </row>
    <row r="17" spans="1:27" ht="18.75" x14ac:dyDescent="0.3">
      <c r="A17" s="60" t="s">
        <v>41</v>
      </c>
      <c r="B17" s="118">
        <v>30</v>
      </c>
      <c r="C17" s="118">
        <v>480</v>
      </c>
      <c r="D17" s="118">
        <v>502</v>
      </c>
      <c r="E17" s="118">
        <v>2219</v>
      </c>
      <c r="F17" s="142"/>
      <c r="G17" s="142"/>
      <c r="H17" s="62">
        <v>357</v>
      </c>
      <c r="I17" s="145"/>
      <c r="J17" s="60" t="s">
        <v>39</v>
      </c>
      <c r="K17" s="118">
        <v>7</v>
      </c>
      <c r="L17" s="118">
        <v>601</v>
      </c>
      <c r="M17" s="118">
        <v>501</v>
      </c>
      <c r="N17" s="118">
        <v>2125</v>
      </c>
      <c r="O17" s="142"/>
      <c r="P17" s="142"/>
      <c r="Q17" s="62">
        <v>627</v>
      </c>
      <c r="R17" s="145"/>
      <c r="S17" s="60" t="s">
        <v>42</v>
      </c>
      <c r="T17" s="118">
        <v>2</v>
      </c>
      <c r="U17" s="118">
        <v>620</v>
      </c>
      <c r="V17" s="118">
        <v>638</v>
      </c>
      <c r="W17" s="118">
        <v>2247</v>
      </c>
      <c r="X17" s="191"/>
      <c r="Y17" s="191"/>
      <c r="Z17" s="62">
        <v>464</v>
      </c>
      <c r="AA17" s="120"/>
    </row>
    <row r="18" spans="1:27" ht="18.75" x14ac:dyDescent="0.3">
      <c r="A18" s="86" t="s">
        <v>41</v>
      </c>
      <c r="B18" s="124">
        <v>31</v>
      </c>
      <c r="C18" s="124">
        <v>480</v>
      </c>
      <c r="D18" s="124">
        <v>502</v>
      </c>
      <c r="E18" s="124">
        <v>2012</v>
      </c>
      <c r="F18" s="140"/>
      <c r="G18" s="140"/>
      <c r="H18" s="129">
        <v>283</v>
      </c>
      <c r="I18" s="145"/>
      <c r="J18" s="148" t="s">
        <v>39</v>
      </c>
      <c r="K18" s="149">
        <v>22</v>
      </c>
      <c r="L18" s="149">
        <v>601</v>
      </c>
      <c r="M18" s="149">
        <v>506</v>
      </c>
      <c r="N18" s="149">
        <v>849</v>
      </c>
      <c r="O18" s="140"/>
      <c r="P18" s="140"/>
      <c r="Q18" s="152">
        <v>170</v>
      </c>
      <c r="R18" s="145"/>
      <c r="S18" s="172" t="s">
        <v>42</v>
      </c>
      <c r="T18" s="173">
        <v>82</v>
      </c>
      <c r="U18" s="173">
        <v>480</v>
      </c>
      <c r="V18" s="173">
        <v>642</v>
      </c>
      <c r="W18" s="173">
        <v>1110</v>
      </c>
      <c r="X18" s="190"/>
      <c r="Y18" s="190"/>
      <c r="Z18" s="152">
        <v>107</v>
      </c>
      <c r="AA18" s="120"/>
    </row>
    <row r="19" spans="1:27" ht="18.75" x14ac:dyDescent="0.3">
      <c r="A19" s="60" t="s">
        <v>41</v>
      </c>
      <c r="B19" s="118">
        <v>4</v>
      </c>
      <c r="C19" s="118">
        <v>401</v>
      </c>
      <c r="D19" s="118">
        <v>504</v>
      </c>
      <c r="E19" s="118">
        <v>1756</v>
      </c>
      <c r="F19" s="142"/>
      <c r="G19" s="142"/>
      <c r="H19" s="62">
        <v>293</v>
      </c>
      <c r="I19" s="145"/>
      <c r="J19" s="60" t="s">
        <v>39</v>
      </c>
      <c r="K19" s="118">
        <v>3</v>
      </c>
      <c r="L19" s="118">
        <v>601</v>
      </c>
      <c r="M19" s="118">
        <v>509</v>
      </c>
      <c r="N19" s="118">
        <v>2013</v>
      </c>
      <c r="O19" s="142"/>
      <c r="P19" s="142"/>
      <c r="Q19" s="62">
        <v>559</v>
      </c>
      <c r="R19" s="145"/>
      <c r="S19" s="150" t="s">
        <v>42</v>
      </c>
      <c r="T19" s="151">
        <v>52</v>
      </c>
      <c r="U19" s="151">
        <v>480</v>
      </c>
      <c r="V19" s="151">
        <v>650</v>
      </c>
      <c r="W19" s="151">
        <v>1032</v>
      </c>
      <c r="X19" s="191"/>
      <c r="Y19" s="191"/>
      <c r="Z19" s="153">
        <v>112</v>
      </c>
      <c r="AA19" s="120"/>
    </row>
    <row r="20" spans="1:27" ht="18.75" x14ac:dyDescent="0.3">
      <c r="A20" s="86" t="s">
        <v>41</v>
      </c>
      <c r="B20" s="124">
        <v>30</v>
      </c>
      <c r="C20" s="124">
        <v>401</v>
      </c>
      <c r="D20" s="124">
        <v>510</v>
      </c>
      <c r="E20" s="124">
        <v>1916</v>
      </c>
      <c r="F20" s="140"/>
      <c r="G20" s="140"/>
      <c r="H20" s="129">
        <v>341</v>
      </c>
      <c r="I20" s="145"/>
      <c r="J20" s="148" t="s">
        <v>39</v>
      </c>
      <c r="K20" s="149">
        <v>14</v>
      </c>
      <c r="L20" s="149">
        <v>352</v>
      </c>
      <c r="M20" s="149">
        <v>512</v>
      </c>
      <c r="N20" s="149">
        <v>830</v>
      </c>
      <c r="O20" s="140"/>
      <c r="P20" s="140"/>
      <c r="Q20" s="152">
        <v>163</v>
      </c>
      <c r="R20" s="145"/>
      <c r="S20" s="86" t="s">
        <v>42</v>
      </c>
      <c r="T20" s="124">
        <v>1</v>
      </c>
      <c r="U20" s="124">
        <v>480</v>
      </c>
      <c r="V20" s="124">
        <v>655</v>
      </c>
      <c r="W20" s="124">
        <v>2615</v>
      </c>
      <c r="X20" s="190"/>
      <c r="Y20" s="190"/>
      <c r="Z20" s="129">
        <v>392</v>
      </c>
      <c r="AA20" s="120"/>
    </row>
    <row r="21" spans="1:27" ht="18.75" x14ac:dyDescent="0.3">
      <c r="A21" s="60" t="s">
        <v>41</v>
      </c>
      <c r="B21" s="118">
        <v>13</v>
      </c>
      <c r="C21" s="118">
        <v>402</v>
      </c>
      <c r="D21" s="118">
        <v>515</v>
      </c>
      <c r="E21" s="118">
        <v>2850</v>
      </c>
      <c r="F21" s="142"/>
      <c r="G21" s="142"/>
      <c r="H21" s="62">
        <v>502</v>
      </c>
      <c r="I21" s="145"/>
      <c r="J21" s="150" t="s">
        <v>39</v>
      </c>
      <c r="K21" s="151">
        <v>5</v>
      </c>
      <c r="L21" s="151">
        <v>311</v>
      </c>
      <c r="M21" s="151">
        <v>513</v>
      </c>
      <c r="N21" s="151">
        <v>757</v>
      </c>
      <c r="O21" s="142"/>
      <c r="P21" s="142"/>
      <c r="Q21" s="153">
        <v>112</v>
      </c>
      <c r="R21" s="145"/>
      <c r="S21" s="60" t="s">
        <v>42</v>
      </c>
      <c r="T21" s="118">
        <v>1</v>
      </c>
      <c r="U21" s="118">
        <v>620</v>
      </c>
      <c r="V21" s="118">
        <v>700</v>
      </c>
      <c r="W21" s="118">
        <v>1400</v>
      </c>
      <c r="X21" s="191"/>
      <c r="Y21" s="191"/>
      <c r="Z21" s="146"/>
      <c r="AA21" s="120"/>
    </row>
    <row r="22" spans="1:27" ht="18.75" x14ac:dyDescent="0.3">
      <c r="A22" s="86" t="s">
        <v>41</v>
      </c>
      <c r="B22" s="124">
        <v>32</v>
      </c>
      <c r="C22" s="124">
        <v>480</v>
      </c>
      <c r="D22" s="124">
        <v>515</v>
      </c>
      <c r="E22" s="124">
        <v>2534</v>
      </c>
      <c r="F22" s="140"/>
      <c r="G22" s="140"/>
      <c r="H22" s="129">
        <v>397</v>
      </c>
      <c r="I22" s="145"/>
      <c r="J22" s="148" t="s">
        <v>39</v>
      </c>
      <c r="K22" s="149">
        <v>20</v>
      </c>
      <c r="L22" s="149">
        <v>601</v>
      </c>
      <c r="M22" s="149">
        <v>517</v>
      </c>
      <c r="N22" s="149">
        <v>1020</v>
      </c>
      <c r="O22" s="140"/>
      <c r="P22" s="140"/>
      <c r="Q22" s="152">
        <v>233</v>
      </c>
      <c r="R22" s="145"/>
      <c r="S22" s="172" t="s">
        <v>42</v>
      </c>
      <c r="T22" s="173">
        <v>84</v>
      </c>
      <c r="U22" s="173">
        <v>480</v>
      </c>
      <c r="V22" s="173">
        <v>702</v>
      </c>
      <c r="W22" s="173">
        <v>1122</v>
      </c>
      <c r="X22" s="190"/>
      <c r="Y22" s="190"/>
      <c r="Z22" s="152">
        <v>102</v>
      </c>
      <c r="AA22" s="120"/>
    </row>
    <row r="23" spans="1:27" ht="18.75" x14ac:dyDescent="0.3">
      <c r="A23" s="60" t="s">
        <v>41</v>
      </c>
      <c r="B23" s="118">
        <v>13</v>
      </c>
      <c r="C23" s="118">
        <v>401</v>
      </c>
      <c r="D23" s="118">
        <v>517</v>
      </c>
      <c r="E23" s="118">
        <v>2312</v>
      </c>
      <c r="F23" s="142"/>
      <c r="G23" s="142"/>
      <c r="H23" s="62">
        <v>375</v>
      </c>
      <c r="I23" s="145"/>
      <c r="J23" s="150" t="s">
        <v>39</v>
      </c>
      <c r="K23" s="151">
        <v>1</v>
      </c>
      <c r="L23" s="151">
        <v>311</v>
      </c>
      <c r="M23" s="151">
        <v>520</v>
      </c>
      <c r="N23" s="151">
        <v>812</v>
      </c>
      <c r="O23" s="142"/>
      <c r="P23" s="142"/>
      <c r="Q23" s="153">
        <v>128</v>
      </c>
      <c r="R23" s="145"/>
      <c r="S23" s="150" t="s">
        <v>42</v>
      </c>
      <c r="T23" s="151">
        <v>15</v>
      </c>
      <c r="U23" s="151">
        <v>480</v>
      </c>
      <c r="V23" s="151">
        <v>707</v>
      </c>
      <c r="W23" s="151">
        <v>1016</v>
      </c>
      <c r="X23" s="191"/>
      <c r="Y23" s="191"/>
      <c r="Z23" s="153">
        <v>90</v>
      </c>
      <c r="AA23" s="120"/>
    </row>
    <row r="24" spans="1:27" ht="18.75" x14ac:dyDescent="0.3">
      <c r="A24" s="86" t="s">
        <v>41</v>
      </c>
      <c r="B24" s="124">
        <v>5</v>
      </c>
      <c r="C24" s="124">
        <v>404</v>
      </c>
      <c r="D24" s="124">
        <v>517</v>
      </c>
      <c r="E24" s="124">
        <v>2234</v>
      </c>
      <c r="F24" s="140"/>
      <c r="G24" s="140"/>
      <c r="H24" s="129">
        <v>355</v>
      </c>
      <c r="I24" s="145"/>
      <c r="J24" s="148" t="s">
        <v>39</v>
      </c>
      <c r="K24" s="149">
        <v>34</v>
      </c>
      <c r="L24" s="149">
        <v>601</v>
      </c>
      <c r="M24" s="149">
        <v>524</v>
      </c>
      <c r="N24" s="149">
        <v>757</v>
      </c>
      <c r="O24" s="140"/>
      <c r="P24" s="140"/>
      <c r="Q24" s="152">
        <v>99</v>
      </c>
      <c r="R24" s="145"/>
      <c r="S24" s="86" t="s">
        <v>42</v>
      </c>
      <c r="T24" s="124">
        <v>5</v>
      </c>
      <c r="U24" s="124">
        <v>480</v>
      </c>
      <c r="V24" s="124">
        <v>710</v>
      </c>
      <c r="W24" s="124">
        <v>2123</v>
      </c>
      <c r="X24" s="190"/>
      <c r="Y24" s="190"/>
      <c r="Z24" s="129">
        <v>330</v>
      </c>
      <c r="AA24" s="120"/>
    </row>
    <row r="25" spans="1:27" ht="18.75" x14ac:dyDescent="0.3">
      <c r="A25" s="60" t="s">
        <v>41</v>
      </c>
      <c r="B25" s="118">
        <v>36</v>
      </c>
      <c r="C25" s="118">
        <v>401</v>
      </c>
      <c r="D25" s="118">
        <v>522</v>
      </c>
      <c r="E25" s="118">
        <v>1009</v>
      </c>
      <c r="F25" s="142"/>
      <c r="G25" s="142"/>
      <c r="H25" s="62">
        <v>129</v>
      </c>
      <c r="I25" s="145"/>
      <c r="J25" s="150" t="s">
        <v>39</v>
      </c>
      <c r="K25" s="151">
        <v>26</v>
      </c>
      <c r="L25" s="151">
        <v>601</v>
      </c>
      <c r="M25" s="151">
        <v>533</v>
      </c>
      <c r="N25" s="151">
        <v>843</v>
      </c>
      <c r="O25" s="142"/>
      <c r="P25" s="142"/>
      <c r="Q25" s="153">
        <v>139</v>
      </c>
      <c r="R25" s="145"/>
      <c r="S25" s="150" t="s">
        <v>42</v>
      </c>
      <c r="T25" s="151">
        <v>92</v>
      </c>
      <c r="U25" s="151">
        <v>480</v>
      </c>
      <c r="V25" s="151">
        <v>719</v>
      </c>
      <c r="W25" s="151">
        <v>925</v>
      </c>
      <c r="X25" s="191"/>
      <c r="Y25" s="191"/>
      <c r="Z25" s="153">
        <v>61</v>
      </c>
      <c r="AA25" s="120"/>
    </row>
    <row r="26" spans="1:27" ht="18.75" x14ac:dyDescent="0.3">
      <c r="A26" s="86" t="s">
        <v>41</v>
      </c>
      <c r="B26" s="124">
        <v>3</v>
      </c>
      <c r="C26" s="124">
        <v>401</v>
      </c>
      <c r="D26" s="124">
        <v>523</v>
      </c>
      <c r="E26" s="124">
        <v>2002</v>
      </c>
      <c r="F26" s="140"/>
      <c r="G26" s="140"/>
      <c r="H26" s="129">
        <v>354</v>
      </c>
      <c r="I26" s="145"/>
      <c r="J26" s="172" t="s">
        <v>39</v>
      </c>
      <c r="K26" s="173">
        <v>42</v>
      </c>
      <c r="L26" s="173">
        <v>601</v>
      </c>
      <c r="M26" s="173">
        <v>533</v>
      </c>
      <c r="N26" s="173">
        <v>759</v>
      </c>
      <c r="O26" s="140"/>
      <c r="P26" s="140"/>
      <c r="Q26" s="152">
        <v>100</v>
      </c>
      <c r="R26" s="145"/>
      <c r="S26" s="148" t="s">
        <v>42</v>
      </c>
      <c r="T26" s="149">
        <v>12</v>
      </c>
      <c r="U26" s="149">
        <v>480</v>
      </c>
      <c r="V26" s="149">
        <v>727</v>
      </c>
      <c r="W26" s="149">
        <v>943</v>
      </c>
      <c r="X26" s="190"/>
      <c r="Y26" s="190"/>
      <c r="Z26" s="152">
        <v>57</v>
      </c>
      <c r="AA26" s="120"/>
    </row>
    <row r="27" spans="1:27" ht="18.75" x14ac:dyDescent="0.3">
      <c r="A27" s="60" t="s">
        <v>41</v>
      </c>
      <c r="B27" s="118">
        <v>2</v>
      </c>
      <c r="C27" s="118">
        <v>404</v>
      </c>
      <c r="D27" s="118">
        <v>523</v>
      </c>
      <c r="E27" s="118">
        <v>2634</v>
      </c>
      <c r="F27" s="142"/>
      <c r="G27" s="142"/>
      <c r="H27" s="62">
        <v>434</v>
      </c>
      <c r="I27" s="145"/>
      <c r="J27" s="150" t="s">
        <v>39</v>
      </c>
      <c r="K27" s="151">
        <v>15</v>
      </c>
      <c r="L27" s="151">
        <v>601</v>
      </c>
      <c r="M27" s="151">
        <v>535</v>
      </c>
      <c r="N27" s="151">
        <v>959</v>
      </c>
      <c r="O27" s="142"/>
      <c r="P27" s="142"/>
      <c r="Q27" s="153">
        <v>178</v>
      </c>
      <c r="R27" s="145"/>
      <c r="S27" s="60" t="s">
        <v>42</v>
      </c>
      <c r="T27" s="118">
        <v>7</v>
      </c>
      <c r="U27" s="118">
        <v>480</v>
      </c>
      <c r="V27" s="118">
        <v>730</v>
      </c>
      <c r="W27" s="118">
        <v>2033</v>
      </c>
      <c r="X27" s="191"/>
      <c r="Y27" s="191"/>
      <c r="Z27" s="62">
        <v>316</v>
      </c>
      <c r="AA27" s="120"/>
    </row>
    <row r="28" spans="1:27" ht="18.75" x14ac:dyDescent="0.3">
      <c r="A28" s="86" t="s">
        <v>41</v>
      </c>
      <c r="B28" s="124">
        <v>2</v>
      </c>
      <c r="C28" s="124">
        <v>401</v>
      </c>
      <c r="D28" s="124">
        <v>524</v>
      </c>
      <c r="E28" s="124">
        <v>1913</v>
      </c>
      <c r="F28" s="140"/>
      <c r="G28" s="140"/>
      <c r="H28" s="129">
        <v>289</v>
      </c>
      <c r="I28" s="145"/>
      <c r="J28" s="148" t="s">
        <v>39</v>
      </c>
      <c r="K28" s="149">
        <v>21</v>
      </c>
      <c r="L28" s="149">
        <v>601</v>
      </c>
      <c r="M28" s="149">
        <v>538</v>
      </c>
      <c r="N28" s="149">
        <v>834</v>
      </c>
      <c r="O28" s="140"/>
      <c r="P28" s="140"/>
      <c r="Q28" s="152">
        <v>137</v>
      </c>
      <c r="R28" s="145"/>
      <c r="S28" s="148" t="s">
        <v>42</v>
      </c>
      <c r="T28" s="149">
        <v>13</v>
      </c>
      <c r="U28" s="149">
        <v>480</v>
      </c>
      <c r="V28" s="149">
        <v>745</v>
      </c>
      <c r="W28" s="149">
        <v>919</v>
      </c>
      <c r="X28" s="190"/>
      <c r="Y28" s="190"/>
      <c r="Z28" s="152">
        <v>52</v>
      </c>
      <c r="AA28" s="120"/>
    </row>
    <row r="29" spans="1:27" ht="18.75" x14ac:dyDescent="0.3">
      <c r="A29" s="60" t="s">
        <v>41</v>
      </c>
      <c r="B29" s="118">
        <v>81</v>
      </c>
      <c r="C29" s="118">
        <v>405</v>
      </c>
      <c r="D29" s="118">
        <v>525</v>
      </c>
      <c r="E29" s="118">
        <v>2519</v>
      </c>
      <c r="F29" s="142"/>
      <c r="G29" s="142"/>
      <c r="H29" s="62">
        <v>430</v>
      </c>
      <c r="I29" s="145"/>
      <c r="J29" s="150" t="s">
        <v>39</v>
      </c>
      <c r="K29" s="151">
        <v>28</v>
      </c>
      <c r="L29" s="151">
        <v>601</v>
      </c>
      <c r="M29" s="151">
        <v>538</v>
      </c>
      <c r="N29" s="151">
        <v>906</v>
      </c>
      <c r="O29" s="142"/>
      <c r="P29" s="142"/>
      <c r="Q29" s="153">
        <v>159</v>
      </c>
      <c r="R29" s="145"/>
      <c r="S29" s="150" t="s">
        <v>42</v>
      </c>
      <c r="T29" s="151">
        <v>14</v>
      </c>
      <c r="U29" s="151">
        <v>480</v>
      </c>
      <c r="V29" s="151">
        <v>746</v>
      </c>
      <c r="W29" s="151">
        <v>1002</v>
      </c>
      <c r="X29" s="191"/>
      <c r="Y29" s="191"/>
      <c r="Z29" s="153">
        <v>66</v>
      </c>
      <c r="AA29" s="120"/>
    </row>
    <row r="30" spans="1:27" ht="18.75" x14ac:dyDescent="0.3">
      <c r="A30" s="86" t="s">
        <v>41</v>
      </c>
      <c r="B30" s="124">
        <v>33</v>
      </c>
      <c r="C30" s="124">
        <v>401</v>
      </c>
      <c r="D30" s="124">
        <v>529</v>
      </c>
      <c r="E30" s="124">
        <v>848</v>
      </c>
      <c r="F30" s="140"/>
      <c r="G30" s="140"/>
      <c r="H30" s="129">
        <v>88</v>
      </c>
      <c r="I30" s="145"/>
      <c r="J30" s="148" t="s">
        <v>39</v>
      </c>
      <c r="K30" s="149">
        <v>11</v>
      </c>
      <c r="L30" s="149">
        <v>352</v>
      </c>
      <c r="M30" s="149">
        <v>540</v>
      </c>
      <c r="N30" s="149">
        <v>848</v>
      </c>
      <c r="O30" s="140"/>
      <c r="P30" s="140"/>
      <c r="Q30" s="152">
        <v>146</v>
      </c>
      <c r="R30" s="145"/>
      <c r="S30" s="130" t="s">
        <v>42</v>
      </c>
      <c r="T30" s="131">
        <v>3</v>
      </c>
      <c r="U30" s="131">
        <v>480</v>
      </c>
      <c r="V30" s="131">
        <v>816</v>
      </c>
      <c r="W30" s="131">
        <v>1841</v>
      </c>
      <c r="X30" s="192"/>
      <c r="Y30" s="192"/>
      <c r="Z30" s="126">
        <v>221</v>
      </c>
      <c r="AA30" s="120"/>
    </row>
    <row r="31" spans="1:27" ht="18.75" x14ac:dyDescent="0.3">
      <c r="A31" s="60" t="s">
        <v>41</v>
      </c>
      <c r="B31" s="118">
        <v>84</v>
      </c>
      <c r="C31" s="118">
        <v>405</v>
      </c>
      <c r="D31" s="118">
        <v>530</v>
      </c>
      <c r="E31" s="118">
        <v>2013</v>
      </c>
      <c r="F31" s="142"/>
      <c r="G31" s="142"/>
      <c r="H31" s="62">
        <v>326</v>
      </c>
      <c r="I31" s="120"/>
      <c r="J31" s="150" t="s">
        <v>39</v>
      </c>
      <c r="K31" s="151">
        <v>15</v>
      </c>
      <c r="L31" s="151">
        <v>352</v>
      </c>
      <c r="M31" s="151">
        <v>549</v>
      </c>
      <c r="N31" s="151">
        <v>825</v>
      </c>
      <c r="O31" s="142"/>
      <c r="P31" s="142"/>
      <c r="Q31" s="153">
        <v>109</v>
      </c>
      <c r="R31" s="120"/>
      <c r="S31" s="120"/>
      <c r="T31" s="120"/>
      <c r="U31" s="120"/>
      <c r="V31" s="120"/>
      <c r="W31" s="120"/>
      <c r="X31" s="120"/>
      <c r="Y31" s="120"/>
      <c r="Z31" s="120"/>
      <c r="AA31" s="120"/>
    </row>
    <row r="32" spans="1:27" ht="18.75" x14ac:dyDescent="0.3">
      <c r="A32" s="86" t="s">
        <v>41</v>
      </c>
      <c r="B32" s="124">
        <v>31</v>
      </c>
      <c r="C32" s="124">
        <v>401</v>
      </c>
      <c r="D32" s="124">
        <v>533</v>
      </c>
      <c r="E32" s="124">
        <v>939</v>
      </c>
      <c r="F32" s="140"/>
      <c r="G32" s="140"/>
      <c r="H32" s="129">
        <v>97</v>
      </c>
      <c r="I32" s="120"/>
      <c r="J32" s="148" t="s">
        <v>39</v>
      </c>
      <c r="K32" s="149">
        <v>30</v>
      </c>
      <c r="L32" s="149">
        <v>601</v>
      </c>
      <c r="M32" s="149">
        <v>549</v>
      </c>
      <c r="N32" s="149">
        <v>808</v>
      </c>
      <c r="O32" s="140"/>
      <c r="P32" s="140"/>
      <c r="Q32" s="152">
        <v>86</v>
      </c>
      <c r="R32" s="120"/>
      <c r="S32" s="488" t="s">
        <v>78</v>
      </c>
      <c r="T32" s="488"/>
      <c r="U32" s="506"/>
      <c r="V32" s="120"/>
      <c r="W32" s="488" t="s">
        <v>79</v>
      </c>
      <c r="X32" s="488"/>
      <c r="Y32" s="506"/>
      <c r="Z32" s="120"/>
      <c r="AA32" s="120"/>
    </row>
    <row r="33" spans="1:27" ht="18.75" x14ac:dyDescent="0.3">
      <c r="A33" s="60" t="s">
        <v>41</v>
      </c>
      <c r="B33" s="118">
        <v>34</v>
      </c>
      <c r="C33" s="118">
        <v>401</v>
      </c>
      <c r="D33" s="118">
        <v>533</v>
      </c>
      <c r="E33" s="118">
        <v>1002</v>
      </c>
      <c r="F33" s="142"/>
      <c r="G33" s="142"/>
      <c r="H33" s="62">
        <v>112</v>
      </c>
      <c r="I33" s="120"/>
      <c r="J33" s="150" t="s">
        <v>39</v>
      </c>
      <c r="K33" s="151">
        <v>27</v>
      </c>
      <c r="L33" s="151">
        <v>601</v>
      </c>
      <c r="M33" s="151">
        <v>552</v>
      </c>
      <c r="N33" s="151">
        <v>906</v>
      </c>
      <c r="O33" s="142"/>
      <c r="P33" s="142"/>
      <c r="Q33" s="153">
        <v>129</v>
      </c>
      <c r="R33" s="120"/>
      <c r="S33" s="163">
        <f>'Fuel Sheet'!$O$23</f>
        <v>0</v>
      </c>
      <c r="T33" s="163">
        <f>'Fuel Sheet'!$O$24</f>
        <v>0</v>
      </c>
      <c r="U33" s="163">
        <f>'Fuel Sheet'!$O$25</f>
        <v>0</v>
      </c>
      <c r="V33" s="120"/>
      <c r="W33" s="164">
        <f>'Fuel Sheet'!O37</f>
        <v>0</v>
      </c>
      <c r="X33" s="163">
        <f>'Fuel Sheet'!O39</f>
        <v>0</v>
      </c>
      <c r="Y33" s="163">
        <f>'Fuel Sheet'!$O$41</f>
        <v>0</v>
      </c>
      <c r="Z33" s="120"/>
      <c r="AA33" s="120"/>
    </row>
    <row r="34" spans="1:27" ht="18.75" x14ac:dyDescent="0.3">
      <c r="A34" s="86" t="s">
        <v>41</v>
      </c>
      <c r="B34" s="124">
        <v>23</v>
      </c>
      <c r="C34" s="124">
        <v>402</v>
      </c>
      <c r="D34" s="124">
        <v>537</v>
      </c>
      <c r="E34" s="124">
        <v>1008</v>
      </c>
      <c r="F34" s="140"/>
      <c r="G34" s="140"/>
      <c r="H34" s="129">
        <v>98</v>
      </c>
      <c r="I34" s="120"/>
      <c r="J34" s="148" t="s">
        <v>39</v>
      </c>
      <c r="K34" s="149">
        <v>16</v>
      </c>
      <c r="L34" s="149">
        <v>352</v>
      </c>
      <c r="M34" s="149">
        <v>555</v>
      </c>
      <c r="N34" s="149">
        <v>926</v>
      </c>
      <c r="O34" s="140"/>
      <c r="P34" s="140"/>
      <c r="Q34" s="152">
        <v>122</v>
      </c>
      <c r="R34" s="120"/>
      <c r="S34" s="312"/>
      <c r="T34" s="312"/>
      <c r="U34" s="120"/>
      <c r="V34" s="120"/>
      <c r="W34" s="163">
        <f>'Fuel Sheet'!O38</f>
        <v>0</v>
      </c>
      <c r="X34" s="163">
        <f>'Fuel Sheet'!O40</f>
        <v>0</v>
      </c>
      <c r="Y34" s="133"/>
      <c r="Z34" s="133"/>
      <c r="AA34" s="120"/>
    </row>
    <row r="35" spans="1:27" ht="18.75" x14ac:dyDescent="0.3">
      <c r="A35" s="60" t="s">
        <v>41</v>
      </c>
      <c r="B35" s="118">
        <v>6</v>
      </c>
      <c r="C35" s="118">
        <v>404</v>
      </c>
      <c r="D35" s="118">
        <v>537</v>
      </c>
      <c r="E35" s="118">
        <v>2212</v>
      </c>
      <c r="F35" s="142"/>
      <c r="G35" s="142"/>
      <c r="H35" s="62">
        <v>337</v>
      </c>
      <c r="I35" s="120"/>
      <c r="J35" s="150" t="s">
        <v>39</v>
      </c>
      <c r="K35" s="151">
        <v>38</v>
      </c>
      <c r="L35" s="151">
        <v>601</v>
      </c>
      <c r="M35" s="151">
        <v>555</v>
      </c>
      <c r="N35" s="151">
        <v>852</v>
      </c>
      <c r="O35" s="142"/>
      <c r="P35" s="142"/>
      <c r="Q35" s="153">
        <v>136</v>
      </c>
      <c r="R35" s="120"/>
      <c r="S35" s="188"/>
      <c r="T35" s="133"/>
      <c r="U35" s="120"/>
      <c r="V35" s="120"/>
      <c r="W35" s="120"/>
      <c r="X35" s="120"/>
      <c r="Y35" s="133"/>
      <c r="Z35" s="133"/>
      <c r="AA35" s="120"/>
    </row>
    <row r="36" spans="1:27" ht="18.75" x14ac:dyDescent="0.3">
      <c r="A36" s="86" t="s">
        <v>41</v>
      </c>
      <c r="B36" s="124">
        <v>21</v>
      </c>
      <c r="C36" s="124">
        <v>403</v>
      </c>
      <c r="D36" s="124">
        <v>539</v>
      </c>
      <c r="E36" s="124">
        <v>1921</v>
      </c>
      <c r="F36" s="140"/>
      <c r="G36" s="140"/>
      <c r="H36" s="129">
        <v>239</v>
      </c>
      <c r="I36" s="120"/>
      <c r="J36" s="86" t="s">
        <v>39</v>
      </c>
      <c r="K36" s="124">
        <v>4</v>
      </c>
      <c r="L36" s="124">
        <v>601</v>
      </c>
      <c r="M36" s="124">
        <v>555</v>
      </c>
      <c r="N36" s="124">
        <v>1934</v>
      </c>
      <c r="O36" s="140"/>
      <c r="P36" s="140"/>
      <c r="Q36" s="129">
        <v>523</v>
      </c>
      <c r="R36" s="120"/>
      <c r="S36" s="491" t="s">
        <v>80</v>
      </c>
      <c r="T36" s="491"/>
      <c r="U36" s="507"/>
      <c r="V36" s="120"/>
      <c r="W36" s="490" t="s">
        <v>192</v>
      </c>
      <c r="X36" s="491"/>
      <c r="Y36" s="134"/>
      <c r="Z36" s="133"/>
      <c r="AA36" s="120"/>
    </row>
    <row r="37" spans="1:27" ht="18.75" x14ac:dyDescent="0.3">
      <c r="A37" s="60" t="s">
        <v>41</v>
      </c>
      <c r="B37" s="118">
        <v>40</v>
      </c>
      <c r="C37" s="118">
        <v>480</v>
      </c>
      <c r="D37" s="118">
        <v>539</v>
      </c>
      <c r="E37" s="118">
        <v>1915</v>
      </c>
      <c r="F37" s="142"/>
      <c r="G37" s="142"/>
      <c r="H37" s="62">
        <v>272</v>
      </c>
      <c r="I37" s="120"/>
      <c r="J37" s="150" t="s">
        <v>39</v>
      </c>
      <c r="K37" s="151">
        <v>24</v>
      </c>
      <c r="L37" s="151">
        <v>601</v>
      </c>
      <c r="M37" s="151">
        <v>601</v>
      </c>
      <c r="N37" s="151">
        <v>937</v>
      </c>
      <c r="O37" s="142"/>
      <c r="P37" s="142"/>
      <c r="Q37" s="153">
        <v>161</v>
      </c>
      <c r="R37" s="120"/>
      <c r="S37" s="164">
        <f>'Fuel Sheet'!O29</f>
        <v>0</v>
      </c>
      <c r="T37" s="164">
        <f>'Fuel Sheet'!O31</f>
        <v>0</v>
      </c>
      <c r="U37" s="164">
        <f>'Fuel Sheet'!$O$33</f>
        <v>0</v>
      </c>
      <c r="V37" s="120"/>
      <c r="W37" s="163">
        <f>'Fuel Sheet'!K59</f>
        <v>0</v>
      </c>
      <c r="X37" s="163">
        <f>'Fuel Sheet'!K61</f>
        <v>0</v>
      </c>
      <c r="Y37" s="120"/>
      <c r="Z37" s="120"/>
      <c r="AA37" s="120"/>
    </row>
    <row r="38" spans="1:27" ht="18.75" x14ac:dyDescent="0.3">
      <c r="A38" s="148" t="s">
        <v>41</v>
      </c>
      <c r="B38" s="149">
        <v>35</v>
      </c>
      <c r="C38" s="149">
        <v>401</v>
      </c>
      <c r="D38" s="149">
        <v>540</v>
      </c>
      <c r="E38" s="149">
        <v>952</v>
      </c>
      <c r="F38" s="140"/>
      <c r="G38" s="140"/>
      <c r="H38" s="152">
        <v>97</v>
      </c>
      <c r="I38" s="120"/>
      <c r="J38" s="172" t="s">
        <v>39</v>
      </c>
      <c r="K38" s="173">
        <v>19</v>
      </c>
      <c r="L38" s="173">
        <v>352</v>
      </c>
      <c r="M38" s="173">
        <v>606</v>
      </c>
      <c r="N38" s="173">
        <v>749</v>
      </c>
      <c r="O38" s="140"/>
      <c r="P38" s="140"/>
      <c r="Q38" s="152">
        <v>84</v>
      </c>
      <c r="R38" s="120"/>
      <c r="S38" s="164">
        <f>'Fuel Sheet'!O30</f>
        <v>0</v>
      </c>
      <c r="T38" s="164">
        <f>'Fuel Sheet'!O32</f>
        <v>0</v>
      </c>
      <c r="U38" s="133"/>
      <c r="V38" s="133"/>
      <c r="W38" s="163">
        <f>'Fuel Sheet'!K60</f>
        <v>0</v>
      </c>
      <c r="X38" s="163">
        <f>'Fuel Sheet'!K62</f>
        <v>0</v>
      </c>
      <c r="Y38" s="120"/>
      <c r="Z38" s="120"/>
      <c r="AA38" s="120"/>
    </row>
    <row r="39" spans="1:27" ht="18.75" x14ac:dyDescent="0.3">
      <c r="A39" s="150" t="s">
        <v>41</v>
      </c>
      <c r="B39" s="151">
        <v>47</v>
      </c>
      <c r="C39" s="151">
        <v>401</v>
      </c>
      <c r="D39" s="151">
        <v>540</v>
      </c>
      <c r="E39" s="151">
        <v>959</v>
      </c>
      <c r="F39" s="142"/>
      <c r="G39" s="142"/>
      <c r="H39" s="153">
        <v>119</v>
      </c>
      <c r="I39" s="120"/>
      <c r="J39" s="150" t="s">
        <v>39</v>
      </c>
      <c r="K39" s="151">
        <v>16</v>
      </c>
      <c r="L39" s="151">
        <v>601</v>
      </c>
      <c r="M39" s="151">
        <v>606</v>
      </c>
      <c r="N39" s="151">
        <v>948</v>
      </c>
      <c r="O39" s="142"/>
      <c r="P39" s="142"/>
      <c r="Q39" s="153">
        <v>135</v>
      </c>
      <c r="R39" s="120"/>
      <c r="S39" s="120"/>
      <c r="T39" s="120"/>
      <c r="U39" s="120"/>
      <c r="V39" s="120"/>
      <c r="W39" s="120"/>
      <c r="X39" s="120"/>
      <c r="Y39" s="120"/>
      <c r="Z39" s="120"/>
      <c r="AA39" s="120"/>
    </row>
    <row r="40" spans="1:27" ht="18.75" x14ac:dyDescent="0.3">
      <c r="A40" s="148" t="s">
        <v>41</v>
      </c>
      <c r="B40" s="149">
        <v>23</v>
      </c>
      <c r="C40" s="149">
        <v>404</v>
      </c>
      <c r="D40" s="149">
        <v>540</v>
      </c>
      <c r="E40" s="149">
        <v>926</v>
      </c>
      <c r="F40" s="140"/>
      <c r="G40" s="140"/>
      <c r="H40" s="152">
        <v>97</v>
      </c>
      <c r="I40" s="120"/>
      <c r="J40" s="148" t="s">
        <v>39</v>
      </c>
      <c r="K40" s="149">
        <v>12</v>
      </c>
      <c r="L40" s="149">
        <v>352</v>
      </c>
      <c r="M40" s="149">
        <v>609</v>
      </c>
      <c r="N40" s="149">
        <v>824</v>
      </c>
      <c r="O40" s="140"/>
      <c r="P40" s="140"/>
      <c r="Q40" s="152">
        <v>95</v>
      </c>
      <c r="R40" s="120"/>
      <c r="S40" s="487" t="s">
        <v>76</v>
      </c>
      <c r="T40" s="488"/>
      <c r="U40" s="488"/>
      <c r="V40" s="133"/>
      <c r="W40" s="488" t="s">
        <v>77</v>
      </c>
      <c r="X40" s="488"/>
      <c r="Y40" s="488"/>
      <c r="Z40" s="120"/>
      <c r="AA40" s="120"/>
    </row>
    <row r="41" spans="1:27" ht="18.75" x14ac:dyDescent="0.3">
      <c r="A41" s="60" t="s">
        <v>41</v>
      </c>
      <c r="B41" s="118">
        <v>35</v>
      </c>
      <c r="C41" s="118">
        <v>480</v>
      </c>
      <c r="D41" s="118">
        <v>541</v>
      </c>
      <c r="E41" s="118">
        <v>2246</v>
      </c>
      <c r="F41" s="142"/>
      <c r="G41" s="142"/>
      <c r="H41" s="62">
        <v>335</v>
      </c>
      <c r="I41" s="120"/>
      <c r="J41" s="150" t="s">
        <v>39</v>
      </c>
      <c r="K41" s="151">
        <v>2</v>
      </c>
      <c r="L41" s="151">
        <v>311</v>
      </c>
      <c r="M41" s="151">
        <v>610</v>
      </c>
      <c r="N41" s="151">
        <v>836</v>
      </c>
      <c r="O41" s="142"/>
      <c r="P41" s="142"/>
      <c r="Q41" s="153">
        <v>105</v>
      </c>
      <c r="R41" s="120"/>
      <c r="S41" s="163">
        <f>'Fuel Sheet'!K33</f>
        <v>0</v>
      </c>
      <c r="T41" s="163">
        <f>'Fuel Sheet'!K35</f>
        <v>0</v>
      </c>
      <c r="U41" s="186">
        <f>'Fuel Sheet'!K37</f>
        <v>0</v>
      </c>
      <c r="V41" s="147"/>
      <c r="W41" s="198">
        <f>'Fuel Sheet'!O11</f>
        <v>0</v>
      </c>
      <c r="X41" s="163">
        <f>'Fuel Sheet'!O14</f>
        <v>0</v>
      </c>
      <c r="Y41" s="163">
        <f>'Fuel Sheet'!O17</f>
        <v>0</v>
      </c>
      <c r="Z41" s="120"/>
      <c r="AA41" s="120"/>
    </row>
    <row r="42" spans="1:27" ht="18.75" x14ac:dyDescent="0.3">
      <c r="A42" s="86" t="s">
        <v>41</v>
      </c>
      <c r="B42" s="124">
        <v>25</v>
      </c>
      <c r="C42" s="124">
        <v>401</v>
      </c>
      <c r="D42" s="124">
        <v>546</v>
      </c>
      <c r="E42" s="124">
        <v>2512</v>
      </c>
      <c r="F42" s="140"/>
      <c r="G42" s="140"/>
      <c r="H42" s="129">
        <v>462</v>
      </c>
      <c r="I42" s="120"/>
      <c r="J42" s="148" t="s">
        <v>39</v>
      </c>
      <c r="K42" s="149">
        <v>31</v>
      </c>
      <c r="L42" s="149">
        <v>601</v>
      </c>
      <c r="M42" s="149">
        <v>610</v>
      </c>
      <c r="N42" s="149">
        <v>907</v>
      </c>
      <c r="O42" s="140"/>
      <c r="P42" s="140"/>
      <c r="Q42" s="152">
        <v>129</v>
      </c>
      <c r="R42" s="120"/>
      <c r="S42" s="163">
        <f>'Fuel Sheet'!K34</f>
        <v>0</v>
      </c>
      <c r="T42" s="163">
        <f>'Fuel Sheet'!K36</f>
        <v>0</v>
      </c>
      <c r="U42" s="186">
        <f>'Fuel Sheet'!K38</f>
        <v>0</v>
      </c>
      <c r="V42" s="147"/>
      <c r="W42" s="198">
        <f>'Fuel Sheet'!O12</f>
        <v>0</v>
      </c>
      <c r="X42" s="163">
        <f>'Fuel Sheet'!O15</f>
        <v>0</v>
      </c>
      <c r="Y42" s="163">
        <f>'Fuel Sheet'!O18</f>
        <v>0</v>
      </c>
      <c r="Z42" s="120"/>
      <c r="AA42" s="120"/>
    </row>
    <row r="43" spans="1:27" ht="18.75" x14ac:dyDescent="0.3">
      <c r="A43" s="60" t="s">
        <v>41</v>
      </c>
      <c r="B43" s="118">
        <v>24</v>
      </c>
      <c r="C43" s="118">
        <v>401</v>
      </c>
      <c r="D43" s="118">
        <v>547</v>
      </c>
      <c r="E43" s="118">
        <v>2931</v>
      </c>
      <c r="F43" s="142"/>
      <c r="G43" s="142"/>
      <c r="H43" s="62">
        <v>543</v>
      </c>
      <c r="I43" s="120"/>
      <c r="J43" s="150" t="s">
        <v>39</v>
      </c>
      <c r="K43" s="151">
        <v>35</v>
      </c>
      <c r="L43" s="151">
        <v>601</v>
      </c>
      <c r="M43" s="151">
        <v>616</v>
      </c>
      <c r="N43" s="151">
        <v>1022</v>
      </c>
      <c r="O43" s="142"/>
      <c r="P43" s="142"/>
      <c r="Q43" s="153">
        <v>157</v>
      </c>
      <c r="R43" s="120"/>
      <c r="S43" s="120"/>
      <c r="T43" s="120"/>
      <c r="U43" s="120"/>
      <c r="V43" s="120"/>
      <c r="W43" s="164">
        <f>'Fuel Sheet'!O13</f>
        <v>0</v>
      </c>
      <c r="X43" s="164">
        <f>'Fuel Sheet'!O16</f>
        <v>0</v>
      </c>
      <c r="Y43" s="164">
        <f>'Fuel Sheet'!O19</f>
        <v>0</v>
      </c>
      <c r="Z43" s="120"/>
      <c r="AA43" s="120"/>
    </row>
    <row r="44" spans="1:27" ht="18.75" x14ac:dyDescent="0.3">
      <c r="A44" s="86" t="s">
        <v>41</v>
      </c>
      <c r="B44" s="124">
        <v>37</v>
      </c>
      <c r="C44" s="124">
        <v>480</v>
      </c>
      <c r="D44" s="124">
        <v>547</v>
      </c>
      <c r="E44" s="124">
        <v>1955</v>
      </c>
      <c r="F44" s="140"/>
      <c r="G44" s="140"/>
      <c r="H44" s="129">
        <v>275</v>
      </c>
      <c r="I44" s="120"/>
      <c r="J44" s="148" t="s">
        <v>39</v>
      </c>
      <c r="K44" s="149">
        <v>4</v>
      </c>
      <c r="L44" s="149">
        <v>311</v>
      </c>
      <c r="M44" s="149">
        <v>618</v>
      </c>
      <c r="N44" s="149">
        <v>908</v>
      </c>
      <c r="O44" s="140"/>
      <c r="P44" s="140"/>
      <c r="Q44" s="152">
        <v>112</v>
      </c>
      <c r="R44" s="120"/>
      <c r="S44" s="484" t="s">
        <v>194</v>
      </c>
      <c r="T44" s="486"/>
      <c r="U44" s="486"/>
      <c r="V44" s="133"/>
      <c r="W44" s="144"/>
      <c r="X44" s="144"/>
      <c r="Y44" s="144"/>
      <c r="Z44" s="311"/>
      <c r="AA44" s="120"/>
    </row>
    <row r="45" spans="1:27" ht="18.75" x14ac:dyDescent="0.3">
      <c r="A45" s="60" t="s">
        <v>41</v>
      </c>
      <c r="B45" s="118">
        <v>83</v>
      </c>
      <c r="C45" s="118">
        <v>405</v>
      </c>
      <c r="D45" s="118">
        <v>549</v>
      </c>
      <c r="E45" s="118">
        <v>2015</v>
      </c>
      <c r="F45" s="142"/>
      <c r="G45" s="142"/>
      <c r="H45" s="62">
        <v>324</v>
      </c>
      <c r="I45" s="120"/>
      <c r="J45" s="150" t="s">
        <v>39</v>
      </c>
      <c r="K45" s="151">
        <v>29</v>
      </c>
      <c r="L45" s="151">
        <v>601</v>
      </c>
      <c r="M45" s="151">
        <v>622</v>
      </c>
      <c r="N45" s="151">
        <v>926</v>
      </c>
      <c r="O45" s="142"/>
      <c r="P45" s="142"/>
      <c r="Q45" s="153">
        <v>119</v>
      </c>
      <c r="R45" s="120"/>
      <c r="S45" s="163">
        <f>'Fuel Sheet'!$K$11</f>
        <v>0</v>
      </c>
      <c r="T45" s="163">
        <f>'Fuel Sheet'!$K$12</f>
        <v>0</v>
      </c>
      <c r="U45" s="163">
        <f>'Fuel Sheet'!$K$13</f>
        <v>0</v>
      </c>
      <c r="V45" s="147"/>
      <c r="W45" s="488" t="s">
        <v>195</v>
      </c>
      <c r="X45" s="488"/>
      <c r="Y45" s="488"/>
      <c r="Z45" s="312"/>
      <c r="AA45" s="120"/>
    </row>
    <row r="46" spans="1:27" ht="18.75" x14ac:dyDescent="0.3">
      <c r="A46" s="148" t="s">
        <v>41</v>
      </c>
      <c r="B46" s="149">
        <v>25</v>
      </c>
      <c r="C46" s="149">
        <v>402</v>
      </c>
      <c r="D46" s="149">
        <v>550</v>
      </c>
      <c r="E46" s="149">
        <v>936</v>
      </c>
      <c r="F46" s="140"/>
      <c r="G46" s="140"/>
      <c r="H46" s="152">
        <v>89</v>
      </c>
      <c r="I46" s="120"/>
      <c r="J46" s="148" t="s">
        <v>39</v>
      </c>
      <c r="K46" s="149">
        <v>3</v>
      </c>
      <c r="L46" s="149">
        <v>311</v>
      </c>
      <c r="M46" s="149">
        <v>623</v>
      </c>
      <c r="N46" s="149">
        <v>848</v>
      </c>
      <c r="O46" s="140"/>
      <c r="P46" s="140"/>
      <c r="Q46" s="152">
        <v>105</v>
      </c>
      <c r="R46" s="120"/>
      <c r="S46" s="147"/>
      <c r="T46" s="147"/>
      <c r="U46" s="147"/>
      <c r="V46" s="147"/>
      <c r="W46" s="163">
        <f>'Fuel Sheet'!K17</f>
        <v>0</v>
      </c>
      <c r="X46" s="163">
        <f>'Fuel Sheet'!K19</f>
        <v>0</v>
      </c>
      <c r="Y46" s="163">
        <f>'Fuel Sheet'!$K$21</f>
        <v>0</v>
      </c>
      <c r="Z46" s="312"/>
      <c r="AA46" s="120"/>
    </row>
    <row r="47" spans="1:27" ht="18.75" x14ac:dyDescent="0.3">
      <c r="A47" s="150" t="s">
        <v>41</v>
      </c>
      <c r="B47" s="151">
        <v>58</v>
      </c>
      <c r="C47" s="151">
        <v>480</v>
      </c>
      <c r="D47" s="151">
        <v>552</v>
      </c>
      <c r="E47" s="151">
        <v>919</v>
      </c>
      <c r="F47" s="142"/>
      <c r="G47" s="142"/>
      <c r="H47" s="153">
        <v>78</v>
      </c>
      <c r="I47" s="120"/>
      <c r="J47" s="150" t="s">
        <v>39</v>
      </c>
      <c r="K47" s="151">
        <v>32</v>
      </c>
      <c r="L47" s="151">
        <v>601</v>
      </c>
      <c r="M47" s="151">
        <v>627</v>
      </c>
      <c r="N47" s="151">
        <v>857</v>
      </c>
      <c r="O47" s="142"/>
      <c r="P47" s="142"/>
      <c r="Q47" s="153">
        <v>113</v>
      </c>
      <c r="R47" s="120"/>
      <c r="S47" s="120"/>
      <c r="T47" s="120"/>
      <c r="U47" s="120"/>
      <c r="V47" s="120"/>
      <c r="W47" s="163">
        <f>'Fuel Sheet'!K18</f>
        <v>0</v>
      </c>
      <c r="X47" s="163">
        <f>'Fuel Sheet'!K20</f>
        <v>0</v>
      </c>
      <c r="Y47" s="314"/>
      <c r="Z47" s="313"/>
      <c r="AA47" s="120"/>
    </row>
    <row r="48" spans="1:27" ht="18.75" x14ac:dyDescent="0.3">
      <c r="A48" s="86" t="s">
        <v>41</v>
      </c>
      <c r="B48" s="124">
        <v>10</v>
      </c>
      <c r="C48" s="124">
        <v>401</v>
      </c>
      <c r="D48" s="124">
        <v>553</v>
      </c>
      <c r="E48" s="124">
        <v>2042</v>
      </c>
      <c r="F48" s="140"/>
      <c r="G48" s="140"/>
      <c r="H48" s="129">
        <v>338</v>
      </c>
      <c r="I48" s="120"/>
      <c r="J48" s="174" t="s">
        <v>39</v>
      </c>
      <c r="K48" s="175">
        <v>18</v>
      </c>
      <c r="L48" s="175">
        <v>352</v>
      </c>
      <c r="M48" s="173">
        <v>628</v>
      </c>
      <c r="N48" s="173">
        <v>813</v>
      </c>
      <c r="O48" s="140"/>
      <c r="P48" s="140"/>
      <c r="Q48" s="152">
        <v>84</v>
      </c>
      <c r="R48" s="120"/>
      <c r="S48" s="488" t="s">
        <v>193</v>
      </c>
      <c r="T48" s="488"/>
      <c r="U48" s="488"/>
      <c r="V48" s="135"/>
      <c r="W48" s="313"/>
      <c r="X48" s="313"/>
      <c r="Y48" s="313"/>
      <c r="Z48" s="313"/>
      <c r="AA48" s="120"/>
    </row>
    <row r="49" spans="1:27" ht="18.75" x14ac:dyDescent="0.3">
      <c r="A49" s="60" t="s">
        <v>41</v>
      </c>
      <c r="B49" s="118">
        <v>12</v>
      </c>
      <c r="C49" s="118">
        <v>401</v>
      </c>
      <c r="D49" s="118">
        <v>553</v>
      </c>
      <c r="E49" s="118">
        <v>2431</v>
      </c>
      <c r="F49" s="142"/>
      <c r="G49" s="142"/>
      <c r="H49" s="62">
        <v>415</v>
      </c>
      <c r="I49" s="120"/>
      <c r="J49" s="176" t="s">
        <v>39</v>
      </c>
      <c r="K49" s="177">
        <v>17</v>
      </c>
      <c r="L49" s="177">
        <v>352</v>
      </c>
      <c r="M49" s="178">
        <v>632</v>
      </c>
      <c r="N49" s="178">
        <v>807</v>
      </c>
      <c r="O49" s="142"/>
      <c r="P49" s="142"/>
      <c r="Q49" s="153">
        <v>81</v>
      </c>
      <c r="R49" s="120"/>
      <c r="S49" s="163">
        <f>'Fuel Sheet'!K25</f>
        <v>0</v>
      </c>
      <c r="T49" s="163">
        <f>'Fuel Sheet'!K27</f>
        <v>0</v>
      </c>
      <c r="U49" s="163">
        <f>'Fuel Sheet'!$K$29</f>
        <v>0</v>
      </c>
      <c r="V49" s="120"/>
      <c r="W49" s="501" t="s">
        <v>188</v>
      </c>
      <c r="X49" s="501"/>
      <c r="Y49" s="501"/>
      <c r="Z49" s="313"/>
      <c r="AA49" s="120"/>
    </row>
    <row r="50" spans="1:27" ht="18.75" x14ac:dyDescent="0.3">
      <c r="A50" s="86" t="s">
        <v>41</v>
      </c>
      <c r="B50" s="124">
        <v>22</v>
      </c>
      <c r="C50" s="124">
        <v>401</v>
      </c>
      <c r="D50" s="124">
        <v>553</v>
      </c>
      <c r="E50" s="124">
        <v>2023</v>
      </c>
      <c r="F50" s="140"/>
      <c r="G50" s="140"/>
      <c r="H50" s="129">
        <v>336</v>
      </c>
      <c r="I50" s="120"/>
      <c r="J50" s="148" t="s">
        <v>39</v>
      </c>
      <c r="K50" s="149">
        <v>39</v>
      </c>
      <c r="L50" s="149">
        <v>601</v>
      </c>
      <c r="M50" s="149">
        <v>634</v>
      </c>
      <c r="N50" s="149">
        <v>939</v>
      </c>
      <c r="O50" s="140"/>
      <c r="P50" s="140"/>
      <c r="Q50" s="152">
        <v>130</v>
      </c>
      <c r="R50" s="120"/>
      <c r="S50" s="163">
        <f>'Fuel Sheet'!K26</f>
        <v>0</v>
      </c>
      <c r="T50" s="163">
        <f>'Fuel Sheet'!K28</f>
        <v>0</v>
      </c>
      <c r="U50" s="120"/>
      <c r="V50" s="120"/>
      <c r="W50" s="315">
        <f>'Fuel Sheet'!O45</f>
        <v>0</v>
      </c>
      <c r="X50" s="315">
        <f>'Fuel Sheet'!O47</f>
        <v>0</v>
      </c>
      <c r="Y50" s="315">
        <f>'Fuel Sheet'!O49</f>
        <v>0</v>
      </c>
      <c r="Z50" s="144"/>
      <c r="AA50" s="120"/>
    </row>
    <row r="51" spans="1:27" ht="18.75" x14ac:dyDescent="0.3">
      <c r="A51" s="60" t="s">
        <v>41</v>
      </c>
      <c r="B51" s="118">
        <v>20</v>
      </c>
      <c r="C51" s="118">
        <v>403</v>
      </c>
      <c r="D51" s="118">
        <v>553</v>
      </c>
      <c r="E51" s="118">
        <v>1834</v>
      </c>
      <c r="F51" s="142"/>
      <c r="G51" s="142"/>
      <c r="H51" s="62">
        <v>204</v>
      </c>
      <c r="I51" s="120"/>
      <c r="J51" s="150" t="s">
        <v>39</v>
      </c>
      <c r="K51" s="151">
        <v>40</v>
      </c>
      <c r="L51" s="151">
        <v>601</v>
      </c>
      <c r="M51" s="151">
        <v>643</v>
      </c>
      <c r="N51" s="151">
        <v>1010</v>
      </c>
      <c r="O51" s="142"/>
      <c r="P51" s="142"/>
      <c r="Q51" s="153">
        <v>134</v>
      </c>
      <c r="R51" s="120"/>
      <c r="S51" s="120"/>
      <c r="T51" s="120"/>
      <c r="U51" s="120"/>
      <c r="V51" s="311"/>
      <c r="W51" s="317">
        <f>'Fuel Sheet'!O46</f>
        <v>0</v>
      </c>
      <c r="X51" s="315">
        <f>'Fuel Sheet'!O48</f>
        <v>0</v>
      </c>
      <c r="Y51" s="315">
        <f>'Fuel Sheet'!O50</f>
        <v>0</v>
      </c>
      <c r="Z51" s="144"/>
      <c r="AA51" s="120"/>
    </row>
    <row r="52" spans="1:27" ht="18.75" x14ac:dyDescent="0.3">
      <c r="A52" s="86" t="s">
        <v>41</v>
      </c>
      <c r="B52" s="124">
        <v>14</v>
      </c>
      <c r="C52" s="124">
        <v>401</v>
      </c>
      <c r="D52" s="124">
        <v>555</v>
      </c>
      <c r="E52" s="124">
        <v>1940</v>
      </c>
      <c r="F52" s="140"/>
      <c r="G52" s="140"/>
      <c r="H52" s="129">
        <v>287</v>
      </c>
      <c r="I52" s="120"/>
      <c r="J52" s="172" t="s">
        <v>39</v>
      </c>
      <c r="K52" s="173">
        <v>25</v>
      </c>
      <c r="L52" s="173">
        <v>601</v>
      </c>
      <c r="M52" s="173">
        <v>648</v>
      </c>
      <c r="N52" s="173">
        <v>802</v>
      </c>
      <c r="O52" s="140"/>
      <c r="P52" s="140"/>
      <c r="Q52" s="152">
        <v>58</v>
      </c>
      <c r="R52" s="120"/>
      <c r="S52" s="502" t="s">
        <v>76</v>
      </c>
      <c r="T52" s="502"/>
      <c r="U52" s="502"/>
      <c r="V52" s="311"/>
      <c r="W52" s="311"/>
      <c r="X52" s="144"/>
      <c r="Y52" s="144"/>
      <c r="Z52" s="144"/>
      <c r="AA52" s="120"/>
    </row>
    <row r="53" spans="1:27" ht="18.75" x14ac:dyDescent="0.3">
      <c r="A53" s="60" t="s">
        <v>41</v>
      </c>
      <c r="B53" s="118">
        <v>82</v>
      </c>
      <c r="C53" s="118">
        <v>405</v>
      </c>
      <c r="D53" s="118">
        <v>555</v>
      </c>
      <c r="E53" s="118">
        <v>2040</v>
      </c>
      <c r="F53" s="142"/>
      <c r="G53" s="142"/>
      <c r="H53" s="62">
        <v>301</v>
      </c>
      <c r="I53" s="120"/>
      <c r="J53" s="150" t="s">
        <v>39</v>
      </c>
      <c r="K53" s="151">
        <v>43</v>
      </c>
      <c r="L53" s="151">
        <v>601</v>
      </c>
      <c r="M53" s="151">
        <v>655</v>
      </c>
      <c r="N53" s="151">
        <v>951</v>
      </c>
      <c r="O53" s="142"/>
      <c r="P53" s="142"/>
      <c r="Q53" s="153">
        <v>117</v>
      </c>
      <c r="R53" s="120"/>
      <c r="S53" s="315">
        <f>'Fuel Sheet'!K33</f>
        <v>0</v>
      </c>
      <c r="T53" s="315">
        <f>'Fuel Sheet'!K35</f>
        <v>0</v>
      </c>
      <c r="U53" s="318">
        <f>'Fuel Sheet'!K37</f>
        <v>0</v>
      </c>
      <c r="V53" s="313"/>
      <c r="W53" s="313"/>
      <c r="X53" s="313"/>
      <c r="Y53" s="144"/>
      <c r="Z53" s="144"/>
      <c r="AA53" s="120"/>
    </row>
    <row r="54" spans="1:27" ht="18.75" x14ac:dyDescent="0.3">
      <c r="A54" s="86" t="s">
        <v>41</v>
      </c>
      <c r="B54" s="124">
        <v>12</v>
      </c>
      <c r="C54" s="124">
        <v>402</v>
      </c>
      <c r="D54" s="124">
        <v>556</v>
      </c>
      <c r="E54" s="124">
        <v>1906</v>
      </c>
      <c r="F54" s="140"/>
      <c r="G54" s="140"/>
      <c r="H54" s="129">
        <v>238</v>
      </c>
      <c r="I54" s="120"/>
      <c r="J54" s="157" t="s">
        <v>39</v>
      </c>
      <c r="K54" s="158">
        <v>23</v>
      </c>
      <c r="L54" s="158">
        <v>601</v>
      </c>
      <c r="M54" s="158">
        <v>657</v>
      </c>
      <c r="N54" s="158">
        <v>820</v>
      </c>
      <c r="O54" s="139"/>
      <c r="P54" s="139"/>
      <c r="Q54" s="159">
        <v>61</v>
      </c>
      <c r="R54" s="120"/>
      <c r="S54" s="315">
        <f>'Fuel Sheet'!K34</f>
        <v>0</v>
      </c>
      <c r="T54" s="315">
        <f>'Fuel Sheet'!K36</f>
        <v>0</v>
      </c>
      <c r="U54" s="315">
        <f>'Fuel Sheet'!K38</f>
        <v>0</v>
      </c>
      <c r="V54" s="120"/>
      <c r="W54" s="120"/>
      <c r="X54" s="120"/>
      <c r="Y54" s="120"/>
      <c r="Z54" s="120"/>
      <c r="AA54" s="120"/>
    </row>
    <row r="55" spans="1:27" ht="18.75" x14ac:dyDescent="0.3">
      <c r="A55" s="150" t="s">
        <v>41</v>
      </c>
      <c r="B55" s="151">
        <v>21</v>
      </c>
      <c r="C55" s="151">
        <v>402</v>
      </c>
      <c r="D55" s="151">
        <v>557</v>
      </c>
      <c r="E55" s="151">
        <v>921</v>
      </c>
      <c r="F55" s="142"/>
      <c r="G55" s="142"/>
      <c r="H55" s="153">
        <v>78</v>
      </c>
      <c r="I55" s="120"/>
      <c r="J55" s="120"/>
      <c r="K55" s="120"/>
      <c r="L55" s="120"/>
      <c r="M55" s="120"/>
      <c r="N55" s="120"/>
      <c r="O55" s="120"/>
      <c r="P55" s="120"/>
      <c r="Q55" s="120"/>
      <c r="R55" s="120"/>
      <c r="S55" s="311"/>
      <c r="T55" s="311"/>
      <c r="U55" s="311"/>
      <c r="V55" s="311"/>
      <c r="W55" s="120"/>
      <c r="X55" s="484" t="s">
        <v>92</v>
      </c>
      <c r="Y55" s="486"/>
      <c r="Z55" s="485"/>
      <c r="AA55" s="120"/>
    </row>
    <row r="56" spans="1:27" ht="18.75" x14ac:dyDescent="0.3">
      <c r="A56" s="148" t="s">
        <v>41</v>
      </c>
      <c r="B56" s="149">
        <v>46</v>
      </c>
      <c r="C56" s="149">
        <v>401</v>
      </c>
      <c r="D56" s="149">
        <v>559</v>
      </c>
      <c r="E56" s="149">
        <v>917</v>
      </c>
      <c r="F56" s="140"/>
      <c r="G56" s="140"/>
      <c r="H56" s="152">
        <v>95</v>
      </c>
      <c r="I56" s="120"/>
      <c r="J56" s="120"/>
      <c r="K56" s="120"/>
      <c r="L56" s="120"/>
      <c r="M56" s="488" t="s">
        <v>64</v>
      </c>
      <c r="N56" s="488"/>
      <c r="O56" s="120"/>
      <c r="P56" s="120"/>
      <c r="Q56" s="120"/>
      <c r="R56" s="120"/>
      <c r="S56" s="313"/>
      <c r="T56" s="313"/>
      <c r="U56" s="316"/>
      <c r="V56" s="316"/>
      <c r="W56" s="120"/>
      <c r="X56" s="163"/>
      <c r="Y56" s="163"/>
      <c r="Z56" s="164"/>
      <c r="AA56" s="120"/>
    </row>
    <row r="57" spans="1:27" ht="18.75" customHeight="1" x14ac:dyDescent="0.3">
      <c r="A57" s="60" t="s">
        <v>41</v>
      </c>
      <c r="B57" s="118">
        <v>9</v>
      </c>
      <c r="C57" s="118">
        <v>401</v>
      </c>
      <c r="D57" s="118">
        <v>559</v>
      </c>
      <c r="E57" s="118">
        <v>2015</v>
      </c>
      <c r="F57" s="142"/>
      <c r="G57" s="142"/>
      <c r="H57" s="62">
        <v>287</v>
      </c>
      <c r="I57" s="120"/>
      <c r="J57" s="163"/>
      <c r="K57" s="163"/>
      <c r="L57" s="163"/>
      <c r="M57" s="163"/>
      <c r="N57" s="163"/>
      <c r="O57" s="163"/>
      <c r="P57" s="163"/>
      <c r="Q57" s="163"/>
      <c r="R57" s="120"/>
      <c r="S57" s="490" t="s">
        <v>91</v>
      </c>
      <c r="T57" s="491"/>
      <c r="U57" s="491"/>
      <c r="V57" s="507"/>
      <c r="W57" s="120"/>
      <c r="X57" s="163"/>
      <c r="Y57" s="163"/>
      <c r="Z57" s="164"/>
      <c r="AA57" s="120"/>
    </row>
    <row r="58" spans="1:27" ht="18.75" customHeight="1" x14ac:dyDescent="0.3">
      <c r="A58" s="148" t="s">
        <v>41</v>
      </c>
      <c r="B58" s="149">
        <v>42</v>
      </c>
      <c r="C58" s="149">
        <v>401</v>
      </c>
      <c r="D58" s="149">
        <v>603</v>
      </c>
      <c r="E58" s="149">
        <v>908</v>
      </c>
      <c r="F58" s="140"/>
      <c r="G58" s="140"/>
      <c r="H58" s="152">
        <v>74</v>
      </c>
      <c r="I58" s="120"/>
      <c r="J58" s="163"/>
      <c r="K58" s="163"/>
      <c r="L58" s="163"/>
      <c r="M58" s="163"/>
      <c r="N58" s="163"/>
      <c r="O58" s="163"/>
      <c r="P58" s="163"/>
      <c r="Q58" s="163"/>
      <c r="R58" s="120"/>
      <c r="S58" s="211" t="s">
        <v>69</v>
      </c>
      <c r="T58" s="211" t="s">
        <v>70</v>
      </c>
      <c r="U58" s="211" t="s">
        <v>69</v>
      </c>
      <c r="V58" s="211" t="s">
        <v>70</v>
      </c>
      <c r="W58" s="120"/>
      <c r="X58" s="163"/>
      <c r="Y58" s="163"/>
      <c r="Z58" s="164"/>
      <c r="AA58" s="120"/>
    </row>
    <row r="59" spans="1:27" ht="18.75" customHeight="1" x14ac:dyDescent="0.3">
      <c r="A59" s="60" t="s">
        <v>41</v>
      </c>
      <c r="B59" s="118">
        <v>7</v>
      </c>
      <c r="C59" s="118">
        <v>404</v>
      </c>
      <c r="D59" s="118">
        <v>605</v>
      </c>
      <c r="E59" s="118">
        <v>1936</v>
      </c>
      <c r="F59" s="142"/>
      <c r="G59" s="142"/>
      <c r="H59" s="62">
        <v>270</v>
      </c>
      <c r="I59" s="120"/>
      <c r="J59" s="163"/>
      <c r="K59" s="163"/>
      <c r="L59" s="163"/>
      <c r="M59" s="163"/>
      <c r="N59" s="163"/>
      <c r="O59" s="163"/>
      <c r="P59" s="163"/>
      <c r="Q59" s="147"/>
      <c r="R59" s="120"/>
      <c r="S59" s="164">
        <f>'Fuel Sheet'!O54</f>
        <v>0</v>
      </c>
      <c r="T59" s="163">
        <f>'Fuel Sheet'!P54</f>
        <v>0</v>
      </c>
      <c r="U59" s="163">
        <f>'Fuel Sheet'!O58</f>
        <v>0</v>
      </c>
      <c r="V59" s="163">
        <f>'Fuel Sheet'!P58</f>
        <v>0</v>
      </c>
      <c r="W59" s="120"/>
      <c r="X59" s="163"/>
      <c r="Y59" s="163"/>
      <c r="Z59" s="164"/>
      <c r="AA59" s="120"/>
    </row>
    <row r="60" spans="1:27" ht="18.75" customHeight="1" x14ac:dyDescent="0.3">
      <c r="A60" s="86" t="s">
        <v>41</v>
      </c>
      <c r="B60" s="124">
        <v>42</v>
      </c>
      <c r="C60" s="124">
        <v>480</v>
      </c>
      <c r="D60" s="124">
        <v>605</v>
      </c>
      <c r="E60" s="124">
        <v>2214</v>
      </c>
      <c r="F60" s="140"/>
      <c r="G60" s="140"/>
      <c r="H60" s="129">
        <v>336</v>
      </c>
      <c r="I60" s="120"/>
      <c r="J60" s="163"/>
      <c r="K60" s="163"/>
      <c r="L60" s="163"/>
      <c r="M60" s="163"/>
      <c r="N60" s="163"/>
      <c r="O60" s="163"/>
      <c r="P60" s="163"/>
      <c r="Q60" s="147"/>
      <c r="R60" s="120"/>
      <c r="S60" s="164">
        <f>'Fuel Sheet'!O55</f>
        <v>0</v>
      </c>
      <c r="T60" s="164">
        <f>'Fuel Sheet'!P55</f>
        <v>0</v>
      </c>
      <c r="U60" s="164">
        <f>'Fuel Sheet'!O59</f>
        <v>0</v>
      </c>
      <c r="V60" s="164">
        <f>'Fuel Sheet'!P59</f>
        <v>0</v>
      </c>
      <c r="W60" s="120"/>
      <c r="X60" s="163"/>
      <c r="Y60" s="163"/>
      <c r="Z60" s="164"/>
      <c r="AA60" s="120"/>
    </row>
    <row r="61" spans="1:27" ht="18.75" customHeight="1" x14ac:dyDescent="0.3">
      <c r="A61" s="60" t="s">
        <v>41</v>
      </c>
      <c r="B61" s="118">
        <v>15</v>
      </c>
      <c r="C61" s="118">
        <v>401</v>
      </c>
      <c r="D61" s="118">
        <v>606</v>
      </c>
      <c r="E61" s="118">
        <v>1954</v>
      </c>
      <c r="F61" s="142"/>
      <c r="G61" s="142"/>
      <c r="H61" s="62">
        <v>291</v>
      </c>
      <c r="I61" s="120"/>
      <c r="J61" s="120"/>
      <c r="K61" s="120"/>
      <c r="L61" s="120"/>
      <c r="M61" s="120"/>
      <c r="N61" s="120"/>
      <c r="O61" s="120"/>
      <c r="P61" s="120"/>
      <c r="Q61" s="120"/>
      <c r="R61" s="120"/>
      <c r="S61" s="164">
        <f>'Fuel Sheet'!O56</f>
        <v>0</v>
      </c>
      <c r="T61" s="164">
        <f>'Fuel Sheet'!P56</f>
        <v>0</v>
      </c>
      <c r="U61" s="164">
        <f>'Fuel Sheet'!O60</f>
        <v>0</v>
      </c>
      <c r="V61" s="164">
        <f>'Fuel Sheet'!P60</f>
        <v>0</v>
      </c>
      <c r="W61" s="120"/>
      <c r="X61" s="163"/>
      <c r="Y61" s="163"/>
      <c r="Z61" s="164"/>
      <c r="AA61" s="120"/>
    </row>
    <row r="62" spans="1:27" ht="18.75" customHeight="1" x14ac:dyDescent="0.3">
      <c r="A62" s="86" t="s">
        <v>41</v>
      </c>
      <c r="B62" s="124">
        <v>11</v>
      </c>
      <c r="C62" s="124">
        <v>402</v>
      </c>
      <c r="D62" s="124">
        <v>606</v>
      </c>
      <c r="E62" s="124">
        <v>1854</v>
      </c>
      <c r="F62" s="140"/>
      <c r="G62" s="140"/>
      <c r="H62" s="129">
        <v>278</v>
      </c>
      <c r="I62" s="120"/>
      <c r="J62" s="120"/>
      <c r="K62" s="120"/>
      <c r="L62" s="120"/>
      <c r="M62" s="488" t="s">
        <v>56</v>
      </c>
      <c r="N62" s="488"/>
      <c r="O62" s="120"/>
      <c r="P62" s="120"/>
      <c r="Q62" s="120"/>
      <c r="R62" s="120"/>
      <c r="S62" s="164">
        <f>'Fuel Sheet'!O57</f>
        <v>0</v>
      </c>
      <c r="T62" s="164">
        <f>'Fuel Sheet'!P57</f>
        <v>0</v>
      </c>
      <c r="U62" s="164">
        <f>'Fuel Sheet'!O61</f>
        <v>0</v>
      </c>
      <c r="V62" s="164">
        <f>'Fuel Sheet'!P61</f>
        <v>0</v>
      </c>
      <c r="W62" s="120"/>
      <c r="X62" s="164"/>
      <c r="Y62" s="164"/>
      <c r="Z62" s="164"/>
      <c r="AA62" s="120"/>
    </row>
    <row r="63" spans="1:27" ht="18.75" x14ac:dyDescent="0.3">
      <c r="A63" s="150" t="s">
        <v>41</v>
      </c>
      <c r="B63" s="151">
        <v>45</v>
      </c>
      <c r="C63" s="151">
        <v>401</v>
      </c>
      <c r="D63" s="151">
        <v>609</v>
      </c>
      <c r="E63" s="151">
        <v>852</v>
      </c>
      <c r="F63" s="142"/>
      <c r="G63" s="142"/>
      <c r="H63" s="153">
        <v>76</v>
      </c>
      <c r="I63" s="120"/>
      <c r="J63" s="163"/>
      <c r="K63" s="163"/>
      <c r="L63" s="163"/>
      <c r="M63" s="163"/>
      <c r="N63" s="163"/>
      <c r="O63" s="163"/>
      <c r="P63" s="163"/>
      <c r="Q63" s="163"/>
      <c r="R63" s="120"/>
      <c r="S63" s="144"/>
      <c r="T63" s="144"/>
      <c r="U63" s="144"/>
      <c r="V63" s="144"/>
      <c r="W63" s="120"/>
      <c r="X63" s="164"/>
      <c r="Y63" s="164"/>
      <c r="Z63" s="164"/>
      <c r="AA63" s="120"/>
    </row>
    <row r="64" spans="1:27" ht="18.75" x14ac:dyDescent="0.3">
      <c r="A64" s="148" t="s">
        <v>41</v>
      </c>
      <c r="B64" s="149">
        <v>38</v>
      </c>
      <c r="C64" s="149">
        <v>401</v>
      </c>
      <c r="D64" s="149">
        <v>611</v>
      </c>
      <c r="E64" s="149">
        <v>904</v>
      </c>
      <c r="F64" s="140"/>
      <c r="G64" s="140"/>
      <c r="H64" s="152">
        <v>81</v>
      </c>
      <c r="I64" s="120"/>
      <c r="J64" s="163"/>
      <c r="K64" s="163"/>
      <c r="L64" s="163"/>
      <c r="M64" s="163"/>
      <c r="N64" s="163"/>
      <c r="O64" s="163"/>
      <c r="P64" s="163"/>
      <c r="Q64" s="147"/>
      <c r="R64" s="120"/>
      <c r="S64" s="144"/>
      <c r="T64" s="144"/>
      <c r="U64" s="144"/>
      <c r="V64" s="144"/>
      <c r="W64" s="120"/>
      <c r="X64" s="164"/>
      <c r="Y64" s="164"/>
      <c r="Z64" s="164"/>
      <c r="AA64" s="120"/>
    </row>
    <row r="65" spans="1:27" ht="18.75" x14ac:dyDescent="0.3">
      <c r="A65" s="60" t="s">
        <v>41</v>
      </c>
      <c r="B65" s="118">
        <v>8</v>
      </c>
      <c r="C65" s="118">
        <v>401</v>
      </c>
      <c r="D65" s="118">
        <v>611</v>
      </c>
      <c r="E65" s="118">
        <v>1849</v>
      </c>
      <c r="F65" s="142"/>
      <c r="G65" s="142"/>
      <c r="H65" s="62">
        <v>270</v>
      </c>
      <c r="I65" s="120"/>
      <c r="J65" s="120"/>
      <c r="K65" s="120"/>
      <c r="L65" s="120"/>
      <c r="M65" s="120"/>
      <c r="N65" s="120"/>
      <c r="O65" s="120"/>
      <c r="P65" s="120"/>
      <c r="Q65" s="120"/>
      <c r="R65" s="120"/>
      <c r="S65" s="120"/>
      <c r="T65" s="120"/>
      <c r="U65" s="120"/>
      <c r="V65" s="120"/>
      <c r="W65" s="120"/>
      <c r="X65" s="120"/>
      <c r="Y65" s="120"/>
      <c r="Z65" s="120"/>
      <c r="AA65" s="120"/>
    </row>
    <row r="66" spans="1:27" ht="18.75" x14ac:dyDescent="0.3">
      <c r="A66" s="148" t="s">
        <v>41</v>
      </c>
      <c r="B66" s="149">
        <v>37</v>
      </c>
      <c r="C66" s="149">
        <v>401</v>
      </c>
      <c r="D66" s="149">
        <v>613</v>
      </c>
      <c r="E66" s="149">
        <v>1031</v>
      </c>
      <c r="F66" s="140"/>
      <c r="G66" s="140"/>
      <c r="H66" s="152">
        <v>92</v>
      </c>
      <c r="I66" s="120"/>
      <c r="J66" s="120"/>
      <c r="K66" s="120"/>
      <c r="L66" s="484" t="s">
        <v>74</v>
      </c>
      <c r="M66" s="485"/>
      <c r="N66" s="120"/>
      <c r="O66" s="120"/>
      <c r="P66" s="120"/>
      <c r="Q66" s="120"/>
      <c r="R66" s="120"/>
      <c r="S66" s="484" t="s">
        <v>75</v>
      </c>
      <c r="T66" s="485"/>
      <c r="U66" s="120"/>
      <c r="V66" s="484" t="s">
        <v>66</v>
      </c>
      <c r="W66" s="486"/>
      <c r="X66" s="120"/>
      <c r="Y66" s="120"/>
      <c r="Z66" s="120"/>
      <c r="AA66" s="120"/>
    </row>
    <row r="67" spans="1:27" ht="18.75" x14ac:dyDescent="0.3">
      <c r="A67" s="150" t="s">
        <v>41</v>
      </c>
      <c r="B67" s="151">
        <v>54</v>
      </c>
      <c r="C67" s="151">
        <v>480</v>
      </c>
      <c r="D67" s="151">
        <v>613</v>
      </c>
      <c r="E67" s="151">
        <v>1101</v>
      </c>
      <c r="F67" s="142"/>
      <c r="G67" s="142"/>
      <c r="H67" s="153">
        <v>109</v>
      </c>
      <c r="I67" s="120"/>
      <c r="J67" s="163"/>
      <c r="K67" s="163"/>
      <c r="L67" s="163"/>
      <c r="M67" s="163"/>
      <c r="N67" s="163"/>
      <c r="O67" s="163"/>
      <c r="P67" s="147"/>
      <c r="Q67" s="147"/>
      <c r="R67" s="120"/>
      <c r="S67" s="163"/>
      <c r="T67" s="163"/>
      <c r="U67" s="120"/>
      <c r="V67" s="163"/>
      <c r="W67" s="186"/>
      <c r="X67" s="120"/>
      <c r="Y67" s="120"/>
      <c r="Z67" s="120"/>
      <c r="AA67" s="120"/>
    </row>
    <row r="68" spans="1:27" ht="18.75" x14ac:dyDescent="0.3">
      <c r="A68" s="86" t="s">
        <v>41</v>
      </c>
      <c r="B68" s="124">
        <v>41</v>
      </c>
      <c r="C68" s="124">
        <v>480</v>
      </c>
      <c r="D68" s="124">
        <v>615</v>
      </c>
      <c r="E68" s="124">
        <v>2452</v>
      </c>
      <c r="F68" s="140"/>
      <c r="G68" s="140"/>
      <c r="H68" s="129">
        <v>368</v>
      </c>
      <c r="I68" s="120"/>
      <c r="J68" s="163"/>
      <c r="K68" s="163"/>
      <c r="L68" s="163"/>
      <c r="M68" s="163"/>
      <c r="N68" s="163"/>
      <c r="O68" s="163"/>
      <c r="P68" s="147"/>
      <c r="Q68" s="147"/>
      <c r="R68" s="120"/>
      <c r="S68" s="163"/>
      <c r="T68" s="163"/>
      <c r="U68" s="120"/>
      <c r="V68" s="163"/>
      <c r="W68" s="186"/>
      <c r="X68" s="120"/>
      <c r="Y68" s="120"/>
      <c r="Z68" s="120"/>
      <c r="AA68" s="120"/>
    </row>
    <row r="69" spans="1:27" ht="18.75" x14ac:dyDescent="0.3">
      <c r="A69" s="60" t="s">
        <v>41</v>
      </c>
      <c r="B69" s="118">
        <v>4</v>
      </c>
      <c r="C69" s="118">
        <v>404</v>
      </c>
      <c r="D69" s="118">
        <v>616</v>
      </c>
      <c r="E69" s="118">
        <v>2157</v>
      </c>
      <c r="F69" s="142"/>
      <c r="G69" s="142"/>
      <c r="H69" s="62">
        <v>312</v>
      </c>
      <c r="I69" s="120"/>
      <c r="J69" s="120"/>
      <c r="K69" s="120"/>
      <c r="L69" s="120"/>
      <c r="M69" s="120"/>
      <c r="N69" s="120"/>
      <c r="O69" s="120"/>
      <c r="P69" s="120"/>
      <c r="Q69" s="120"/>
      <c r="R69" s="120"/>
      <c r="S69" s="120"/>
      <c r="T69" s="120"/>
      <c r="U69" s="120"/>
      <c r="V69" s="120"/>
      <c r="W69" s="120"/>
      <c r="X69" s="120"/>
      <c r="Y69" s="120"/>
      <c r="Z69" s="120"/>
      <c r="AA69" s="120"/>
    </row>
    <row r="70" spans="1:27" ht="18.75" x14ac:dyDescent="0.3">
      <c r="A70" s="148" t="s">
        <v>41</v>
      </c>
      <c r="B70" s="149">
        <v>44</v>
      </c>
      <c r="C70" s="149">
        <v>401</v>
      </c>
      <c r="D70" s="149">
        <v>620</v>
      </c>
      <c r="E70" s="149">
        <v>947</v>
      </c>
      <c r="F70" s="140"/>
      <c r="G70" s="140"/>
      <c r="H70" s="152">
        <v>88</v>
      </c>
      <c r="I70" s="120"/>
      <c r="J70" s="120"/>
      <c r="K70" s="120"/>
      <c r="L70" s="120"/>
      <c r="M70" s="120"/>
      <c r="N70" s="120"/>
      <c r="O70" s="180"/>
      <c r="P70" s="180"/>
      <c r="Q70" s="492" t="s">
        <v>86</v>
      </c>
      <c r="R70" s="493"/>
      <c r="S70" s="494"/>
      <c r="T70" s="180"/>
      <c r="U70" s="180"/>
      <c r="V70" s="120"/>
      <c r="W70" s="120"/>
      <c r="X70" s="120"/>
      <c r="Y70" s="120"/>
      <c r="Z70" s="120"/>
      <c r="AA70" s="120"/>
    </row>
    <row r="71" spans="1:27" ht="18.75" x14ac:dyDescent="0.3">
      <c r="A71" s="150" t="s">
        <v>41</v>
      </c>
      <c r="B71" s="151">
        <v>49</v>
      </c>
      <c r="C71" s="151">
        <v>401</v>
      </c>
      <c r="D71" s="151">
        <v>621</v>
      </c>
      <c r="E71" s="151">
        <v>919</v>
      </c>
      <c r="F71" s="142"/>
      <c r="G71" s="142"/>
      <c r="H71" s="153">
        <v>78</v>
      </c>
      <c r="I71" s="120"/>
      <c r="J71" s="498" t="s">
        <v>71</v>
      </c>
      <c r="K71" s="499"/>
      <c r="L71" s="500"/>
      <c r="M71" s="120"/>
      <c r="N71" s="498" t="s">
        <v>71</v>
      </c>
      <c r="O71" s="499"/>
      <c r="P71" s="500"/>
      <c r="Q71" s="120"/>
      <c r="R71" s="120"/>
      <c r="S71" s="180"/>
      <c r="T71" s="498" t="s">
        <v>72</v>
      </c>
      <c r="U71" s="499"/>
      <c r="V71" s="500"/>
      <c r="W71" s="180"/>
      <c r="X71" s="498" t="s">
        <v>73</v>
      </c>
      <c r="Y71" s="499"/>
      <c r="Z71" s="500"/>
      <c r="AA71" s="120"/>
    </row>
    <row r="72" spans="1:27" ht="18.75" customHeight="1" x14ac:dyDescent="0.3">
      <c r="A72" s="148" t="s">
        <v>41</v>
      </c>
      <c r="B72" s="149">
        <v>32</v>
      </c>
      <c r="C72" s="149">
        <v>401</v>
      </c>
      <c r="D72" s="149">
        <v>622</v>
      </c>
      <c r="E72" s="149">
        <v>1032</v>
      </c>
      <c r="F72" s="140"/>
      <c r="G72" s="140"/>
      <c r="H72" s="152">
        <v>104</v>
      </c>
      <c r="I72" s="120"/>
      <c r="J72" s="183" t="s">
        <v>84</v>
      </c>
      <c r="K72" s="184" t="s">
        <v>63</v>
      </c>
      <c r="L72" s="185" t="s">
        <v>85</v>
      </c>
      <c r="M72" s="120"/>
      <c r="N72" s="183" t="s">
        <v>84</v>
      </c>
      <c r="O72" s="184" t="s">
        <v>63</v>
      </c>
      <c r="P72" s="185" t="s">
        <v>85</v>
      </c>
      <c r="Q72" s="171"/>
      <c r="R72" s="120"/>
      <c r="S72" s="120"/>
      <c r="T72" s="183" t="s">
        <v>84</v>
      </c>
      <c r="U72" s="184" t="s">
        <v>63</v>
      </c>
      <c r="V72" s="185" t="s">
        <v>85</v>
      </c>
      <c r="W72" s="120"/>
      <c r="X72" s="183" t="s">
        <v>84</v>
      </c>
      <c r="Y72" s="184" t="s">
        <v>63</v>
      </c>
      <c r="Z72" s="185" t="s">
        <v>85</v>
      </c>
      <c r="AA72" s="120"/>
    </row>
    <row r="73" spans="1:27" ht="18.75" customHeight="1" x14ac:dyDescent="0.3">
      <c r="A73" s="60" t="s">
        <v>41</v>
      </c>
      <c r="B73" s="118">
        <v>23</v>
      </c>
      <c r="C73" s="118">
        <v>403</v>
      </c>
      <c r="D73" s="118">
        <v>623</v>
      </c>
      <c r="E73" s="118">
        <v>1819</v>
      </c>
      <c r="F73" s="142"/>
      <c r="G73" s="142"/>
      <c r="H73" s="62">
        <v>215</v>
      </c>
      <c r="I73" s="120"/>
      <c r="J73" s="164"/>
      <c r="K73" s="164"/>
      <c r="L73" s="164"/>
      <c r="M73" s="132"/>
      <c r="N73" s="164"/>
      <c r="O73" s="164"/>
      <c r="P73" s="164"/>
      <c r="Q73" s="181"/>
      <c r="R73" s="132"/>
      <c r="S73" s="132"/>
      <c r="T73" s="164"/>
      <c r="U73" s="164"/>
      <c r="V73" s="164"/>
      <c r="W73" s="132"/>
      <c r="X73" s="164"/>
      <c r="Y73" s="164"/>
      <c r="Z73" s="164"/>
      <c r="AA73" s="120"/>
    </row>
    <row r="74" spans="1:27" ht="18.75" customHeight="1" x14ac:dyDescent="0.3">
      <c r="A74" s="86" t="s">
        <v>41</v>
      </c>
      <c r="B74" s="124">
        <v>36</v>
      </c>
      <c r="C74" s="124">
        <v>480</v>
      </c>
      <c r="D74" s="124">
        <v>628</v>
      </c>
      <c r="E74" s="124">
        <v>2155</v>
      </c>
      <c r="F74" s="140"/>
      <c r="G74" s="140"/>
      <c r="H74" s="129">
        <v>329</v>
      </c>
      <c r="I74" s="120"/>
      <c r="J74" s="164"/>
      <c r="K74" s="164"/>
      <c r="L74" s="164"/>
      <c r="M74" s="132"/>
      <c r="N74" s="164"/>
      <c r="O74" s="164"/>
      <c r="P74" s="164"/>
      <c r="Q74" s="181"/>
      <c r="R74" s="132"/>
      <c r="S74" s="132"/>
      <c r="T74" s="164"/>
      <c r="U74" s="164"/>
      <c r="V74" s="164"/>
      <c r="W74" s="132"/>
      <c r="X74" s="164"/>
      <c r="Y74" s="164"/>
      <c r="Z74" s="164"/>
      <c r="AA74" s="120"/>
    </row>
    <row r="75" spans="1:27" ht="18.75" customHeight="1" x14ac:dyDescent="0.3">
      <c r="A75" s="60" t="s">
        <v>41</v>
      </c>
      <c r="B75" s="118">
        <v>1</v>
      </c>
      <c r="C75" s="118">
        <v>404</v>
      </c>
      <c r="D75" s="118">
        <v>636</v>
      </c>
      <c r="E75" s="118">
        <v>2202</v>
      </c>
      <c r="F75" s="142"/>
      <c r="G75" s="142"/>
      <c r="H75" s="62">
        <v>312</v>
      </c>
      <c r="I75" s="120"/>
      <c r="J75" s="164"/>
      <c r="K75" s="164"/>
      <c r="L75" s="164"/>
      <c r="M75" s="132"/>
      <c r="N75" s="164"/>
      <c r="O75" s="164"/>
      <c r="P75" s="164"/>
      <c r="Q75" s="181"/>
      <c r="R75" s="132"/>
      <c r="S75" s="132"/>
      <c r="T75" s="164"/>
      <c r="U75" s="164"/>
      <c r="V75" s="164"/>
      <c r="W75" s="132"/>
      <c r="X75" s="164"/>
      <c r="Y75" s="164"/>
      <c r="Z75" s="164"/>
      <c r="AA75" s="120"/>
    </row>
    <row r="76" spans="1:27" ht="18.75" customHeight="1" x14ac:dyDescent="0.3">
      <c r="A76" s="148" t="s">
        <v>41</v>
      </c>
      <c r="B76" s="149">
        <v>48</v>
      </c>
      <c r="C76" s="149">
        <v>401</v>
      </c>
      <c r="D76" s="149">
        <v>640</v>
      </c>
      <c r="E76" s="149">
        <v>1004</v>
      </c>
      <c r="F76" s="140"/>
      <c r="G76" s="140"/>
      <c r="H76" s="152">
        <v>87</v>
      </c>
      <c r="I76" s="120"/>
      <c r="J76" s="164"/>
      <c r="K76" s="164"/>
      <c r="L76" s="164"/>
      <c r="M76" s="132"/>
      <c r="N76" s="164"/>
      <c r="O76" s="164"/>
      <c r="P76" s="164"/>
      <c r="Q76" s="181"/>
      <c r="R76" s="132"/>
      <c r="S76" s="132"/>
      <c r="T76" s="164"/>
      <c r="U76" s="164"/>
      <c r="V76" s="164"/>
      <c r="W76" s="132"/>
      <c r="X76" s="164"/>
      <c r="Y76" s="164"/>
      <c r="Z76" s="164"/>
      <c r="AA76" s="120"/>
    </row>
    <row r="77" spans="1:27" ht="18.75" customHeight="1" x14ac:dyDescent="0.3">
      <c r="A77" s="60" t="s">
        <v>41</v>
      </c>
      <c r="B77" s="118">
        <v>33</v>
      </c>
      <c r="C77" s="118">
        <v>480</v>
      </c>
      <c r="D77" s="118">
        <v>641</v>
      </c>
      <c r="E77" s="118">
        <v>2451</v>
      </c>
      <c r="F77" s="142"/>
      <c r="G77" s="142"/>
      <c r="H77" s="62">
        <v>355</v>
      </c>
      <c r="I77" s="120"/>
      <c r="J77" s="164"/>
      <c r="K77" s="164"/>
      <c r="L77" s="164"/>
      <c r="M77" s="132"/>
      <c r="N77" s="164"/>
      <c r="O77" s="164"/>
      <c r="P77" s="164"/>
      <c r="Q77" s="181"/>
      <c r="R77" s="132"/>
      <c r="S77" s="132"/>
      <c r="T77" s="164"/>
      <c r="U77" s="164"/>
      <c r="V77" s="164"/>
      <c r="W77" s="132"/>
      <c r="X77" s="164"/>
      <c r="Y77" s="164"/>
      <c r="Z77" s="164"/>
      <c r="AA77" s="120"/>
    </row>
    <row r="78" spans="1:27" ht="18.75" customHeight="1" x14ac:dyDescent="0.3">
      <c r="A78" s="86" t="s">
        <v>41</v>
      </c>
      <c r="B78" s="124">
        <v>39</v>
      </c>
      <c r="C78" s="124">
        <v>480</v>
      </c>
      <c r="D78" s="124">
        <v>646</v>
      </c>
      <c r="E78" s="124">
        <v>1830</v>
      </c>
      <c r="F78" s="140"/>
      <c r="G78" s="140"/>
      <c r="H78" s="129">
        <v>224</v>
      </c>
      <c r="I78" s="120"/>
      <c r="J78" s="164"/>
      <c r="K78" s="164"/>
      <c r="L78" s="164"/>
      <c r="M78" s="132"/>
      <c r="N78" s="164"/>
      <c r="O78" s="164"/>
      <c r="P78" s="164"/>
      <c r="Q78" s="181"/>
      <c r="R78" s="132"/>
      <c r="S78" s="132"/>
      <c r="T78" s="164"/>
      <c r="U78" s="164"/>
      <c r="V78" s="164"/>
      <c r="W78" s="132"/>
      <c r="X78" s="164"/>
      <c r="Y78" s="164"/>
      <c r="Z78" s="164"/>
      <c r="AA78" s="120"/>
    </row>
    <row r="79" spans="1:27" ht="18.75" customHeight="1" x14ac:dyDescent="0.3">
      <c r="A79" s="150" t="s">
        <v>41</v>
      </c>
      <c r="B79" s="151">
        <v>55</v>
      </c>
      <c r="C79" s="151">
        <v>480</v>
      </c>
      <c r="D79" s="151">
        <v>647</v>
      </c>
      <c r="E79" s="151">
        <v>956</v>
      </c>
      <c r="F79" s="142"/>
      <c r="G79" s="142"/>
      <c r="H79" s="153">
        <v>79</v>
      </c>
      <c r="I79" s="120"/>
      <c r="J79" s="164"/>
      <c r="K79" s="164"/>
      <c r="L79" s="164"/>
      <c r="M79" s="181"/>
      <c r="N79" s="164"/>
      <c r="O79" s="164"/>
      <c r="P79" s="164"/>
      <c r="Q79" s="181"/>
      <c r="R79" s="132"/>
      <c r="S79" s="132"/>
      <c r="T79" s="164"/>
      <c r="U79" s="164"/>
      <c r="V79" s="164"/>
      <c r="W79" s="132"/>
      <c r="X79" s="164"/>
      <c r="Y79" s="164"/>
      <c r="Z79" s="164"/>
      <c r="AA79" s="120"/>
    </row>
    <row r="80" spans="1:27" ht="18.75" customHeight="1" x14ac:dyDescent="0.3">
      <c r="A80" s="86" t="s">
        <v>41</v>
      </c>
      <c r="B80" s="124">
        <v>16</v>
      </c>
      <c r="C80" s="124">
        <v>402</v>
      </c>
      <c r="D80" s="124">
        <v>655</v>
      </c>
      <c r="E80" s="124">
        <v>2236</v>
      </c>
      <c r="F80" s="140"/>
      <c r="G80" s="140"/>
      <c r="H80" s="129">
        <v>327</v>
      </c>
      <c r="I80" s="120"/>
      <c r="J80" s="164"/>
      <c r="K80" s="164"/>
      <c r="L80" s="164"/>
      <c r="M80" s="132"/>
      <c r="N80" s="164"/>
      <c r="O80" s="164"/>
      <c r="P80" s="164"/>
      <c r="Q80" s="132"/>
      <c r="R80" s="132"/>
      <c r="S80" s="132"/>
      <c r="T80" s="164"/>
      <c r="U80" s="164"/>
      <c r="V80" s="164"/>
      <c r="W80" s="132"/>
      <c r="X80" s="164"/>
      <c r="Y80" s="164"/>
      <c r="Z80" s="164"/>
      <c r="AA80" s="120"/>
    </row>
    <row r="81" spans="1:28" ht="18.75" customHeight="1" x14ac:dyDescent="0.3">
      <c r="A81" s="150" t="s">
        <v>41</v>
      </c>
      <c r="B81" s="151">
        <v>41</v>
      </c>
      <c r="C81" s="151">
        <v>401</v>
      </c>
      <c r="D81" s="151">
        <v>657</v>
      </c>
      <c r="E81" s="151">
        <v>943</v>
      </c>
      <c r="F81" s="142"/>
      <c r="G81" s="142"/>
      <c r="H81" s="153">
        <v>76</v>
      </c>
      <c r="I81" s="120"/>
      <c r="J81" s="164"/>
      <c r="K81" s="164"/>
      <c r="L81" s="164"/>
      <c r="M81" s="132"/>
      <c r="N81" s="164"/>
      <c r="O81" s="164"/>
      <c r="P81" s="164"/>
      <c r="Q81" s="132"/>
      <c r="R81" s="132"/>
      <c r="S81" s="132"/>
      <c r="T81" s="164"/>
      <c r="U81" s="164"/>
      <c r="V81" s="164"/>
      <c r="W81" s="132"/>
      <c r="X81" s="164"/>
      <c r="Y81" s="164"/>
      <c r="Z81" s="164"/>
      <c r="AA81" s="120"/>
    </row>
    <row r="82" spans="1:28" ht="18.75" customHeight="1" x14ac:dyDescent="0.3">
      <c r="A82" s="86" t="s">
        <v>41</v>
      </c>
      <c r="B82" s="124">
        <v>24</v>
      </c>
      <c r="C82" s="124">
        <v>403</v>
      </c>
      <c r="D82" s="124">
        <v>705</v>
      </c>
      <c r="E82" s="124">
        <v>1848</v>
      </c>
      <c r="F82" s="140"/>
      <c r="G82" s="140"/>
      <c r="H82" s="129">
        <v>185</v>
      </c>
      <c r="I82" s="120"/>
      <c r="J82" s="164"/>
      <c r="K82" s="164"/>
      <c r="L82" s="164"/>
      <c r="M82" s="132"/>
      <c r="N82" s="164"/>
      <c r="O82" s="164"/>
      <c r="P82" s="164"/>
      <c r="Q82" s="132"/>
      <c r="R82" s="132"/>
      <c r="S82" s="132"/>
      <c r="T82" s="164"/>
      <c r="U82" s="164"/>
      <c r="V82" s="164"/>
      <c r="W82" s="132"/>
      <c r="X82" s="164"/>
      <c r="Y82" s="164"/>
      <c r="Z82" s="164"/>
      <c r="AA82" s="120"/>
    </row>
    <row r="83" spans="1:28" ht="18.75" customHeight="1" x14ac:dyDescent="0.3">
      <c r="A83" s="150" t="s">
        <v>41</v>
      </c>
      <c r="B83" s="151">
        <v>22</v>
      </c>
      <c r="C83" s="151">
        <v>402</v>
      </c>
      <c r="D83" s="151">
        <v>717</v>
      </c>
      <c r="E83" s="151">
        <v>946</v>
      </c>
      <c r="F83" s="142"/>
      <c r="G83" s="142"/>
      <c r="H83" s="153">
        <v>61</v>
      </c>
      <c r="I83" s="120"/>
      <c r="J83" s="164"/>
      <c r="K83" s="164"/>
      <c r="L83" s="164"/>
      <c r="M83" s="132"/>
      <c r="N83" s="164"/>
      <c r="O83" s="164"/>
      <c r="P83" s="164"/>
      <c r="Q83" s="132"/>
      <c r="R83" s="132"/>
      <c r="S83" s="132"/>
      <c r="T83" s="164"/>
      <c r="U83" s="164"/>
      <c r="V83" s="164"/>
      <c r="W83" s="132"/>
      <c r="X83" s="164"/>
      <c r="Y83" s="164"/>
      <c r="Z83" s="164"/>
      <c r="AA83" s="120"/>
    </row>
    <row r="84" spans="1:28" ht="18.75" customHeight="1" x14ac:dyDescent="0.3">
      <c r="A84" s="86" t="s">
        <v>41</v>
      </c>
      <c r="B84" s="124">
        <v>38</v>
      </c>
      <c r="C84" s="124">
        <v>480</v>
      </c>
      <c r="D84" s="124">
        <v>720</v>
      </c>
      <c r="E84" s="124">
        <v>1944</v>
      </c>
      <c r="F84" s="140"/>
      <c r="G84" s="140"/>
      <c r="H84" s="129">
        <v>255</v>
      </c>
      <c r="I84" s="120"/>
      <c r="J84" s="164"/>
      <c r="K84" s="164"/>
      <c r="L84" s="164"/>
      <c r="M84" s="132"/>
      <c r="N84" s="164"/>
      <c r="O84" s="164"/>
      <c r="P84" s="164"/>
      <c r="Q84" s="132"/>
      <c r="R84" s="132"/>
      <c r="S84" s="132"/>
      <c r="T84" s="164"/>
      <c r="U84" s="164"/>
      <c r="V84" s="164"/>
      <c r="W84" s="132"/>
      <c r="X84" s="164"/>
      <c r="Y84" s="164"/>
      <c r="Z84" s="164"/>
      <c r="AA84" s="120"/>
    </row>
    <row r="85" spans="1:28" ht="18.75" customHeight="1" x14ac:dyDescent="0.3">
      <c r="A85" s="150" t="s">
        <v>41</v>
      </c>
      <c r="B85" s="151">
        <v>26</v>
      </c>
      <c r="C85" s="151">
        <v>402</v>
      </c>
      <c r="D85" s="151">
        <v>721</v>
      </c>
      <c r="E85" s="151">
        <v>913</v>
      </c>
      <c r="F85" s="142"/>
      <c r="G85" s="142"/>
      <c r="H85" s="153">
        <v>55</v>
      </c>
      <c r="I85" s="120"/>
      <c r="J85" s="164"/>
      <c r="K85" s="164"/>
      <c r="L85" s="164"/>
      <c r="M85" s="132"/>
      <c r="N85" s="164"/>
      <c r="O85" s="164"/>
      <c r="P85" s="164"/>
      <c r="Q85" s="132"/>
      <c r="R85" s="132"/>
      <c r="S85" s="132"/>
      <c r="T85" s="164"/>
      <c r="U85" s="164"/>
      <c r="V85" s="164"/>
      <c r="W85" s="132"/>
      <c r="X85" s="164"/>
      <c r="Y85" s="164"/>
      <c r="Z85" s="164"/>
      <c r="AA85" s="120"/>
    </row>
    <row r="86" spans="1:28" ht="18.75" customHeight="1" x14ac:dyDescent="0.3">
      <c r="A86" s="86" t="s">
        <v>41</v>
      </c>
      <c r="B86" s="124">
        <v>22</v>
      </c>
      <c r="C86" s="124">
        <v>403</v>
      </c>
      <c r="D86" s="124">
        <v>725</v>
      </c>
      <c r="E86" s="124">
        <v>1909</v>
      </c>
      <c r="F86" s="140"/>
      <c r="G86" s="140"/>
      <c r="H86" s="129">
        <v>198</v>
      </c>
      <c r="I86" s="120"/>
      <c r="J86" s="120"/>
      <c r="K86" s="120"/>
      <c r="L86" s="120"/>
      <c r="M86" s="120"/>
      <c r="N86" s="120"/>
      <c r="O86" s="120"/>
      <c r="P86" s="120"/>
      <c r="Q86" s="120"/>
      <c r="R86" s="120"/>
      <c r="S86" s="120"/>
      <c r="T86" s="120"/>
      <c r="U86" s="120"/>
      <c r="V86" s="120"/>
      <c r="W86" s="120"/>
      <c r="X86" s="120"/>
      <c r="Y86" s="120"/>
      <c r="Z86" s="120"/>
      <c r="AA86" s="120"/>
    </row>
    <row r="87" spans="1:28" ht="18.75" customHeight="1" x14ac:dyDescent="0.3">
      <c r="A87" s="150" t="s">
        <v>41</v>
      </c>
      <c r="B87" s="151">
        <v>22</v>
      </c>
      <c r="C87" s="151">
        <v>404</v>
      </c>
      <c r="D87" s="151">
        <v>731</v>
      </c>
      <c r="E87" s="151">
        <v>1035</v>
      </c>
      <c r="F87" s="142"/>
      <c r="G87" s="142"/>
      <c r="H87" s="153">
        <v>73</v>
      </c>
      <c r="I87" s="120"/>
      <c r="J87" s="120"/>
      <c r="K87" s="120"/>
      <c r="L87" s="120"/>
      <c r="M87" s="120"/>
      <c r="N87" s="120"/>
      <c r="O87" s="120"/>
      <c r="P87" s="120"/>
      <c r="Q87" s="492" t="s">
        <v>82</v>
      </c>
      <c r="R87" s="493"/>
      <c r="S87" s="494"/>
      <c r="T87" s="120"/>
      <c r="U87" s="120"/>
      <c r="V87" s="120"/>
      <c r="W87" s="120"/>
      <c r="X87" s="120"/>
      <c r="Y87" s="120"/>
      <c r="Z87" s="120"/>
      <c r="AA87" s="120"/>
    </row>
    <row r="88" spans="1:28" ht="18.75" customHeight="1" x14ac:dyDescent="0.3">
      <c r="A88" s="148" t="s">
        <v>41</v>
      </c>
      <c r="B88" s="149">
        <v>57</v>
      </c>
      <c r="C88" s="149">
        <v>480</v>
      </c>
      <c r="D88" s="149">
        <v>734</v>
      </c>
      <c r="E88" s="149">
        <v>946</v>
      </c>
      <c r="F88" s="140"/>
      <c r="G88" s="140"/>
      <c r="H88" s="152">
        <v>54</v>
      </c>
      <c r="I88" s="120"/>
      <c r="J88" s="187"/>
      <c r="K88" s="484" t="s">
        <v>93</v>
      </c>
      <c r="L88" s="486"/>
      <c r="M88" s="486"/>
      <c r="N88" s="486"/>
      <c r="O88" s="486"/>
      <c r="P88" s="485"/>
      <c r="Q88" s="120"/>
      <c r="R88" s="120"/>
      <c r="S88" s="120"/>
      <c r="T88" s="495" t="s">
        <v>94</v>
      </c>
      <c r="U88" s="496"/>
      <c r="V88" s="496"/>
      <c r="W88" s="496"/>
      <c r="X88" s="496"/>
      <c r="Y88" s="497"/>
      <c r="Z88" s="120"/>
      <c r="AA88" s="120"/>
    </row>
    <row r="89" spans="1:28" ht="18.75" customHeight="1" x14ac:dyDescent="0.3">
      <c r="A89" s="154" t="s">
        <v>41</v>
      </c>
      <c r="B89" s="155">
        <v>30</v>
      </c>
      <c r="C89" s="155">
        <v>403</v>
      </c>
      <c r="D89" s="155">
        <v>739</v>
      </c>
      <c r="E89" s="155">
        <v>1008</v>
      </c>
      <c r="F89" s="137"/>
      <c r="G89" s="137"/>
      <c r="H89" s="156">
        <v>51</v>
      </c>
      <c r="I89" s="120"/>
      <c r="J89" s="120"/>
      <c r="K89" s="120"/>
      <c r="L89" s="120"/>
      <c r="M89" s="120"/>
      <c r="N89" s="120"/>
      <c r="O89" s="120"/>
      <c r="P89" s="120"/>
      <c r="Q89" s="120"/>
      <c r="R89" s="120"/>
      <c r="S89" s="120"/>
      <c r="T89" s="120"/>
      <c r="U89" s="120"/>
      <c r="V89" s="120"/>
      <c r="W89" s="120"/>
      <c r="X89" s="120"/>
      <c r="Y89" s="120"/>
      <c r="Z89" s="120"/>
      <c r="AA89" s="120"/>
    </row>
    <row r="90" spans="1:28" ht="18.75" customHeight="1" x14ac:dyDescent="0.3">
      <c r="A90" s="144"/>
      <c r="B90" s="144"/>
      <c r="C90" s="144"/>
      <c r="D90" s="144"/>
      <c r="E90" s="144"/>
      <c r="F90" s="144"/>
      <c r="G90" s="144"/>
      <c r="H90" s="144"/>
      <c r="I90" s="144"/>
      <c r="J90" s="182"/>
      <c r="K90" s="503" t="s">
        <v>95</v>
      </c>
      <c r="L90" s="504"/>
      <c r="M90" s="504"/>
      <c r="N90" s="504"/>
      <c r="O90" s="504"/>
      <c r="P90" s="505"/>
      <c r="Q90" s="132"/>
      <c r="R90" s="132"/>
      <c r="S90" s="132"/>
      <c r="T90" s="508" t="s">
        <v>96</v>
      </c>
      <c r="U90" s="509"/>
      <c r="V90" s="509"/>
      <c r="W90" s="509"/>
      <c r="X90" s="509"/>
      <c r="Y90" s="510"/>
      <c r="Z90" s="120"/>
      <c r="AA90" s="120"/>
    </row>
    <row r="91" spans="1:28" ht="18.75" customHeight="1" x14ac:dyDescent="0.3">
      <c r="A91" s="120"/>
      <c r="B91" s="120"/>
      <c r="C91" s="120"/>
      <c r="D91" s="134"/>
      <c r="E91" s="134"/>
      <c r="F91" s="135"/>
      <c r="G91" s="134"/>
      <c r="H91" s="193"/>
      <c r="I91" s="147"/>
      <c r="J91" s="194"/>
      <c r="K91" s="194"/>
      <c r="L91" s="194"/>
      <c r="M91" s="194"/>
      <c r="N91" s="194"/>
      <c r="O91" s="195"/>
      <c r="P91" s="195"/>
      <c r="Q91" s="195"/>
      <c r="R91" s="195"/>
      <c r="S91" s="195"/>
      <c r="T91" s="196"/>
      <c r="U91" s="197"/>
      <c r="V91" s="197"/>
      <c r="W91" s="197"/>
      <c r="X91" s="197"/>
      <c r="Y91" s="197"/>
      <c r="Z91" s="120"/>
      <c r="AA91" s="120"/>
    </row>
    <row r="92" spans="1:28" ht="18.75" customHeight="1" x14ac:dyDescent="0.3">
      <c r="A92" s="11"/>
      <c r="B92" s="11"/>
      <c r="C92" s="11"/>
      <c r="D92" s="11"/>
      <c r="E92" s="11"/>
      <c r="F92" s="167"/>
      <c r="G92" s="11"/>
      <c r="H92" s="11"/>
      <c r="I92" s="11"/>
      <c r="J92" s="11"/>
      <c r="K92" s="11"/>
      <c r="L92" s="11"/>
      <c r="M92" s="11"/>
      <c r="N92" s="11"/>
      <c r="O92" s="11"/>
      <c r="P92" s="11"/>
      <c r="Q92" s="11"/>
      <c r="R92" s="11"/>
      <c r="S92" s="11"/>
      <c r="T92" s="11"/>
      <c r="U92" s="11"/>
      <c r="V92" s="11"/>
      <c r="W92" s="11"/>
      <c r="X92" s="11"/>
      <c r="Y92" s="11"/>
      <c r="Z92" s="11"/>
      <c r="AA92" s="11"/>
      <c r="AB92" s="11"/>
    </row>
    <row r="93" spans="1:28" ht="18.75" customHeight="1" x14ac:dyDescent="0.3">
      <c r="A93" s="11"/>
      <c r="B93" s="166"/>
      <c r="C93" s="166"/>
      <c r="D93" s="166"/>
      <c r="E93" s="166"/>
      <c r="F93" s="166"/>
      <c r="G93" s="166"/>
      <c r="H93" s="11"/>
      <c r="I93" s="11"/>
      <c r="J93" s="11"/>
      <c r="K93" s="11"/>
      <c r="L93" s="11"/>
      <c r="M93" s="11"/>
      <c r="N93" s="11"/>
      <c r="O93" s="11"/>
      <c r="P93" s="11"/>
      <c r="Q93" s="11"/>
      <c r="R93" s="11"/>
      <c r="S93" s="11"/>
      <c r="T93" s="11"/>
      <c r="U93" s="11"/>
      <c r="V93" s="11"/>
      <c r="W93" s="11"/>
      <c r="X93" s="11"/>
      <c r="Y93" s="11"/>
      <c r="Z93" s="11"/>
      <c r="AA93" s="11"/>
    </row>
    <row r="94" spans="1:28" ht="18.75" customHeight="1" x14ac:dyDescent="0.3">
      <c r="A94" s="11"/>
      <c r="B94" s="11"/>
      <c r="C94" s="11"/>
      <c r="D94" s="168"/>
      <c r="E94" s="11"/>
      <c r="F94" s="167"/>
      <c r="G94" s="11"/>
      <c r="H94" s="11"/>
      <c r="I94" s="11"/>
      <c r="J94" s="11"/>
      <c r="K94" s="11"/>
      <c r="L94" s="11"/>
      <c r="M94" s="11"/>
      <c r="N94" s="11"/>
      <c r="O94" s="11"/>
      <c r="P94" s="11"/>
      <c r="Q94" s="11"/>
      <c r="R94" s="11"/>
      <c r="S94" s="11"/>
      <c r="T94" s="11"/>
      <c r="U94" s="11"/>
      <c r="V94" s="11"/>
      <c r="W94" s="11"/>
      <c r="X94" s="11"/>
      <c r="Y94" s="11"/>
      <c r="Z94" s="11"/>
      <c r="AA94" s="11"/>
    </row>
    <row r="95" spans="1:28" ht="18.75" customHeight="1" x14ac:dyDescent="0.3">
      <c r="A95" s="11"/>
      <c r="B95" s="165"/>
      <c r="C95" s="165"/>
      <c r="D95" s="165"/>
      <c r="E95" s="165"/>
      <c r="F95" s="165"/>
      <c r="G95" s="165"/>
      <c r="H95" s="11"/>
      <c r="I95" s="11"/>
      <c r="J95" s="11"/>
      <c r="K95" s="11"/>
      <c r="L95" s="11"/>
      <c r="M95" s="11"/>
      <c r="N95" s="11"/>
      <c r="O95" s="11"/>
      <c r="P95" s="11"/>
      <c r="Q95" s="11"/>
      <c r="R95" s="11"/>
      <c r="S95" s="11"/>
      <c r="T95" s="11"/>
      <c r="U95" s="11"/>
      <c r="V95" s="11"/>
      <c r="W95" s="11"/>
      <c r="X95" s="11"/>
      <c r="Y95" s="11"/>
      <c r="Z95" s="11"/>
      <c r="AA95" s="11"/>
    </row>
    <row r="96" spans="1:28" ht="18.75" customHeight="1" x14ac:dyDescent="0.3">
      <c r="A96" s="11"/>
      <c r="B96" s="11"/>
      <c r="C96" s="11"/>
      <c r="D96" s="169"/>
      <c r="E96" s="11"/>
      <c r="F96" s="11"/>
      <c r="G96" s="11"/>
      <c r="H96" s="11"/>
      <c r="I96" s="11"/>
      <c r="J96" s="11"/>
      <c r="K96" s="11"/>
      <c r="L96" s="11"/>
      <c r="M96" s="11"/>
      <c r="N96" s="11"/>
      <c r="O96" s="11"/>
      <c r="P96" s="11"/>
      <c r="Q96" s="11"/>
      <c r="R96" s="11"/>
      <c r="S96" s="11"/>
      <c r="T96" s="11"/>
      <c r="U96" s="11"/>
      <c r="V96" s="11"/>
      <c r="W96" s="11"/>
      <c r="X96" s="11"/>
      <c r="Y96" s="11"/>
      <c r="Z96" s="11"/>
      <c r="AA96" s="11"/>
    </row>
    <row r="97" spans="1:27" ht="18.75" customHeight="1" x14ac:dyDescent="0.3">
      <c r="A97" s="11"/>
      <c r="B97" s="165"/>
      <c r="C97" s="165"/>
      <c r="D97" s="165"/>
      <c r="E97" s="165"/>
      <c r="F97" s="165"/>
      <c r="G97" s="165"/>
      <c r="H97" s="11"/>
      <c r="I97" s="11"/>
      <c r="J97" s="11"/>
      <c r="K97" s="11"/>
      <c r="L97" s="11"/>
      <c r="M97" s="11"/>
      <c r="N97" s="11"/>
      <c r="O97" s="11"/>
      <c r="P97" s="11"/>
      <c r="Q97" s="11"/>
      <c r="R97" s="11"/>
      <c r="S97" s="11"/>
      <c r="T97" s="11"/>
      <c r="U97" s="11"/>
      <c r="V97" s="11"/>
      <c r="W97" s="11"/>
      <c r="X97" s="11"/>
      <c r="Y97" s="11"/>
      <c r="Z97" s="11"/>
      <c r="AA97" s="11"/>
    </row>
    <row r="98" spans="1:27" ht="18.75" customHeight="1" x14ac:dyDescent="0.3">
      <c r="A98" s="11"/>
      <c r="B98" s="11"/>
      <c r="C98" s="11"/>
      <c r="D98" s="170"/>
      <c r="E98" s="11"/>
      <c r="F98" s="11"/>
      <c r="G98" s="170"/>
      <c r="H98" s="11"/>
      <c r="I98" s="11"/>
      <c r="J98" s="11"/>
      <c r="K98" s="11"/>
      <c r="L98" s="11"/>
      <c r="M98" s="11"/>
      <c r="N98" s="11"/>
      <c r="O98" s="11"/>
      <c r="P98" s="11"/>
      <c r="Q98" s="11"/>
      <c r="R98" s="11"/>
      <c r="S98" s="11"/>
      <c r="T98" s="11"/>
      <c r="U98" s="11"/>
      <c r="V98" s="11"/>
      <c r="W98" s="11"/>
      <c r="X98" s="11"/>
      <c r="Y98" s="11"/>
      <c r="Z98" s="11"/>
      <c r="AA98" s="11"/>
    </row>
    <row r="99" spans="1:27" ht="18.75" customHeight="1" x14ac:dyDescent="0.2">
      <c r="A99" s="11"/>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row>
    <row r="100" spans="1:27" ht="18.75" customHeight="1" x14ac:dyDescent="0.2"/>
    <row r="101" spans="1:27" ht="18.75" customHeight="1" x14ac:dyDescent="0.2"/>
    <row r="102" spans="1:27" ht="18.75" customHeight="1" x14ac:dyDescent="0.2"/>
    <row r="103" spans="1:27" ht="18.75" customHeight="1" x14ac:dyDescent="0.2"/>
    <row r="104" spans="1:27" ht="18.75" customHeight="1" x14ac:dyDescent="0.2"/>
    <row r="105" spans="1:27" ht="18.75" customHeight="1" x14ac:dyDescent="0.2"/>
    <row r="106" spans="1:27" ht="18.75" customHeight="1" x14ac:dyDescent="0.2"/>
    <row r="107" spans="1:27" ht="18.75" customHeight="1" x14ac:dyDescent="0.2"/>
    <row r="108" spans="1:27" ht="18.75" customHeight="1" x14ac:dyDescent="0.2"/>
    <row r="109" spans="1:27" ht="18.75" customHeight="1" x14ac:dyDescent="0.2"/>
    <row r="110" spans="1:27" ht="18.75" customHeight="1" x14ac:dyDescent="0.2"/>
    <row r="111" spans="1:27" ht="18.75" customHeight="1" x14ac:dyDescent="0.2"/>
    <row r="112" spans="1:27" ht="18.75" customHeight="1" x14ac:dyDescent="0.2"/>
    <row r="113" ht="18.75" customHeight="1" x14ac:dyDescent="0.2"/>
    <row r="114" ht="18.75" customHeight="1" x14ac:dyDescent="0.2"/>
    <row r="115" ht="18.75" customHeight="1" x14ac:dyDescent="0.2"/>
    <row r="116" ht="18.75" customHeight="1" x14ac:dyDescent="0.2"/>
    <row r="117" ht="18.75" customHeight="1" x14ac:dyDescent="0.2"/>
    <row r="118" ht="18.75" customHeight="1" x14ac:dyDescent="0.2"/>
    <row r="119" ht="18.75" customHeight="1" x14ac:dyDescent="0.2"/>
    <row r="120" ht="18.75" customHeight="1" x14ac:dyDescent="0.2"/>
    <row r="121" ht="18.75" customHeight="1" x14ac:dyDescent="0.2"/>
    <row r="122" ht="18.75" customHeight="1" x14ac:dyDescent="0.2"/>
    <row r="123" ht="18.75" customHeight="1" x14ac:dyDescent="0.2"/>
    <row r="124" ht="18.75" customHeight="1" x14ac:dyDescent="0.2"/>
    <row r="125" ht="18.75" customHeight="1" x14ac:dyDescent="0.2"/>
    <row r="126" ht="18.75" customHeight="1" x14ac:dyDescent="0.2"/>
    <row r="127" ht="18.75" customHeight="1" x14ac:dyDescent="0.2"/>
    <row r="128" ht="18.75" customHeight="1" x14ac:dyDescent="0.2"/>
    <row r="129" ht="18.75" customHeight="1" x14ac:dyDescent="0.2"/>
    <row r="130" ht="18.75" customHeight="1" x14ac:dyDescent="0.2"/>
    <row r="131" ht="18.75" customHeight="1" x14ac:dyDescent="0.2"/>
    <row r="132" ht="18.75" customHeight="1" x14ac:dyDescent="0.2"/>
    <row r="133" ht="18.75" customHeight="1" x14ac:dyDescent="0.2"/>
    <row r="134" ht="18.75" customHeight="1" x14ac:dyDescent="0.2"/>
    <row r="135" ht="18.75" customHeight="1" x14ac:dyDescent="0.2"/>
    <row r="136" ht="18.75" customHeight="1" x14ac:dyDescent="0.2"/>
    <row r="137" ht="18.75" customHeight="1" x14ac:dyDescent="0.2"/>
    <row r="138" ht="18.75" customHeight="1" x14ac:dyDescent="0.2"/>
    <row r="139" ht="18.75" customHeight="1" x14ac:dyDescent="0.2"/>
    <row r="140" ht="18.75" customHeight="1" x14ac:dyDescent="0.2"/>
    <row r="141" ht="18.75" customHeight="1" x14ac:dyDescent="0.2"/>
    <row r="142" ht="18.75" customHeight="1" x14ac:dyDescent="0.2"/>
    <row r="143" ht="18.75" customHeight="1" x14ac:dyDescent="0.2"/>
    <row r="144" ht="18.75" customHeight="1" x14ac:dyDescent="0.2"/>
    <row r="145" ht="18.75" customHeight="1" x14ac:dyDescent="0.2"/>
    <row r="146" ht="18.75" customHeight="1" x14ac:dyDescent="0.2"/>
    <row r="147" ht="18.75" customHeight="1" x14ac:dyDescent="0.2"/>
    <row r="148" ht="18.75" customHeight="1" x14ac:dyDescent="0.2"/>
    <row r="149" ht="18.75" customHeight="1" x14ac:dyDescent="0.2"/>
  </sheetData>
  <mergeCells count="32">
    <mergeCell ref="K90:P90"/>
    <mergeCell ref="S32:U32"/>
    <mergeCell ref="W32:Y32"/>
    <mergeCell ref="S36:U36"/>
    <mergeCell ref="T90:Y90"/>
    <mergeCell ref="S57:V57"/>
    <mergeCell ref="L1:N1"/>
    <mergeCell ref="W36:X36"/>
    <mergeCell ref="S44:U44"/>
    <mergeCell ref="Q87:S87"/>
    <mergeCell ref="T88:Y88"/>
    <mergeCell ref="K88:P88"/>
    <mergeCell ref="Q70:S70"/>
    <mergeCell ref="J71:L71"/>
    <mergeCell ref="N71:P71"/>
    <mergeCell ref="T71:V71"/>
    <mergeCell ref="X71:Z71"/>
    <mergeCell ref="L66:M66"/>
    <mergeCell ref="W49:Y49"/>
    <mergeCell ref="S52:U52"/>
    <mergeCell ref="X55:Z55"/>
    <mergeCell ref="S40:U40"/>
    <mergeCell ref="W40:Y40"/>
    <mergeCell ref="S48:U48"/>
    <mergeCell ref="M62:N62"/>
    <mergeCell ref="M56:N56"/>
    <mergeCell ref="W45:Y45"/>
    <mergeCell ref="C3:E3"/>
    <mergeCell ref="L3:N3"/>
    <mergeCell ref="U3:W3"/>
    <mergeCell ref="S66:T66"/>
    <mergeCell ref="V66:W66"/>
  </mergeCells>
  <dataValidations count="1">
    <dataValidation type="list" allowBlank="1" showInputMessage="1" showErrorMessage="1" error="Yes or No only" prompt="Enter Yes or No" sqref="L73:L85 Z73:Z85 P73:P85 V73:V85">
      <formula1>yndrop</formula1>
    </dataValidation>
  </dataValidations>
  <pageMargins left="0.7" right="0.7" top="0.75" bottom="0.75" header="0.3" footer="0.3"/>
  <pageSetup paperSize="5" scale="40"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FF00"/>
    <pageSetUpPr fitToPage="1"/>
  </sheetPr>
  <dimension ref="A1:AI32"/>
  <sheetViews>
    <sheetView zoomScale="55" zoomScaleNormal="55" workbookViewId="0">
      <selection activeCell="AB2" sqref="AB2:AI2"/>
    </sheetView>
  </sheetViews>
  <sheetFormatPr defaultRowHeight="21.95" customHeight="1" x14ac:dyDescent="0.2"/>
  <cols>
    <col min="1" max="4" width="6.7109375" style="30" customWidth="1"/>
    <col min="5" max="5" width="8.85546875" style="30" bestFit="1" customWidth="1"/>
    <col min="6" max="16" width="6.7109375" style="30" customWidth="1"/>
    <col min="17" max="17" width="8.85546875" style="30" bestFit="1" customWidth="1"/>
    <col min="18" max="28" width="6.7109375" style="30" customWidth="1"/>
    <col min="29" max="29" width="8.85546875" style="30" bestFit="1" customWidth="1"/>
    <col min="30" max="35" width="6.7109375" style="30" customWidth="1"/>
    <col min="36" max="259" width="9.140625" style="30"/>
    <col min="260" max="263" width="4.7109375" style="30" customWidth="1"/>
    <col min="264" max="264" width="5.28515625" style="30" customWidth="1"/>
    <col min="265" max="265" width="6.28515625" style="30" bestFit="1" customWidth="1"/>
    <col min="266" max="266" width="4.7109375" style="30" customWidth="1"/>
    <col min="267" max="268" width="7.7109375" style="30" customWidth="1"/>
    <col min="269" max="269" width="5.7109375" style="30" customWidth="1"/>
    <col min="270" max="270" width="1.7109375" style="30" customWidth="1"/>
    <col min="271" max="274" width="4.7109375" style="30" customWidth="1"/>
    <col min="275" max="275" width="5.28515625" style="30" customWidth="1"/>
    <col min="276" max="276" width="6.28515625" style="30" bestFit="1" customWidth="1"/>
    <col min="277" max="277" width="4.7109375" style="30" customWidth="1"/>
    <col min="278" max="279" width="7.7109375" style="30" customWidth="1"/>
    <col min="280" max="280" width="5.7109375" style="30" customWidth="1"/>
    <col min="281" max="281" width="1.7109375" style="30" customWidth="1"/>
    <col min="282" max="285" width="4.7109375" style="30" customWidth="1"/>
    <col min="286" max="286" width="5.42578125" style="30" customWidth="1"/>
    <col min="287" max="287" width="6.28515625" style="30" bestFit="1" customWidth="1"/>
    <col min="288" max="288" width="4.7109375" style="30" customWidth="1"/>
    <col min="289" max="290" width="7.7109375" style="30" customWidth="1"/>
    <col min="291" max="291" width="5.7109375" style="30" customWidth="1"/>
    <col min="292" max="515" width="9.140625" style="30"/>
    <col min="516" max="519" width="4.7109375" style="30" customWidth="1"/>
    <col min="520" max="520" width="5.28515625" style="30" customWidth="1"/>
    <col min="521" max="521" width="6.28515625" style="30" bestFit="1" customWidth="1"/>
    <col min="522" max="522" width="4.7109375" style="30" customWidth="1"/>
    <col min="523" max="524" width="7.7109375" style="30" customWidth="1"/>
    <col min="525" max="525" width="5.7109375" style="30" customWidth="1"/>
    <col min="526" max="526" width="1.7109375" style="30" customWidth="1"/>
    <col min="527" max="530" width="4.7109375" style="30" customWidth="1"/>
    <col min="531" max="531" width="5.28515625" style="30" customWidth="1"/>
    <col min="532" max="532" width="6.28515625" style="30" bestFit="1" customWidth="1"/>
    <col min="533" max="533" width="4.7109375" style="30" customWidth="1"/>
    <col min="534" max="535" width="7.7109375" style="30" customWidth="1"/>
    <col min="536" max="536" width="5.7109375" style="30" customWidth="1"/>
    <col min="537" max="537" width="1.7109375" style="30" customWidth="1"/>
    <col min="538" max="541" width="4.7109375" style="30" customWidth="1"/>
    <col min="542" max="542" width="5.42578125" style="30" customWidth="1"/>
    <col min="543" max="543" width="6.28515625" style="30" bestFit="1" customWidth="1"/>
    <col min="544" max="544" width="4.7109375" style="30" customWidth="1"/>
    <col min="545" max="546" width="7.7109375" style="30" customWidth="1"/>
    <col min="547" max="547" width="5.7109375" style="30" customWidth="1"/>
    <col min="548" max="771" width="9.140625" style="30"/>
    <col min="772" max="775" width="4.7109375" style="30" customWidth="1"/>
    <col min="776" max="776" width="5.28515625" style="30" customWidth="1"/>
    <col min="777" max="777" width="6.28515625" style="30" bestFit="1" customWidth="1"/>
    <col min="778" max="778" width="4.7109375" style="30" customWidth="1"/>
    <col min="779" max="780" width="7.7109375" style="30" customWidth="1"/>
    <col min="781" max="781" width="5.7109375" style="30" customWidth="1"/>
    <col min="782" max="782" width="1.7109375" style="30" customWidth="1"/>
    <col min="783" max="786" width="4.7109375" style="30" customWidth="1"/>
    <col min="787" max="787" width="5.28515625" style="30" customWidth="1"/>
    <col min="788" max="788" width="6.28515625" style="30" bestFit="1" customWidth="1"/>
    <col min="789" max="789" width="4.7109375" style="30" customWidth="1"/>
    <col min="790" max="791" width="7.7109375" style="30" customWidth="1"/>
    <col min="792" max="792" width="5.7109375" style="30" customWidth="1"/>
    <col min="793" max="793" width="1.7109375" style="30" customWidth="1"/>
    <col min="794" max="797" width="4.7109375" style="30" customWidth="1"/>
    <col min="798" max="798" width="5.42578125" style="30" customWidth="1"/>
    <col min="799" max="799" width="6.28515625" style="30" bestFit="1" customWidth="1"/>
    <col min="800" max="800" width="4.7109375" style="30" customWidth="1"/>
    <col min="801" max="802" width="7.7109375" style="30" customWidth="1"/>
    <col min="803" max="803" width="5.7109375" style="30" customWidth="1"/>
    <col min="804" max="1027" width="9.140625" style="30"/>
    <col min="1028" max="1031" width="4.7109375" style="30" customWidth="1"/>
    <col min="1032" max="1032" width="5.28515625" style="30" customWidth="1"/>
    <col min="1033" max="1033" width="6.28515625" style="30" bestFit="1" customWidth="1"/>
    <col min="1034" max="1034" width="4.7109375" style="30" customWidth="1"/>
    <col min="1035" max="1036" width="7.7109375" style="30" customWidth="1"/>
    <col min="1037" max="1037" width="5.7109375" style="30" customWidth="1"/>
    <col min="1038" max="1038" width="1.7109375" style="30" customWidth="1"/>
    <col min="1039" max="1042" width="4.7109375" style="30" customWidth="1"/>
    <col min="1043" max="1043" width="5.28515625" style="30" customWidth="1"/>
    <col min="1044" max="1044" width="6.28515625" style="30" bestFit="1" customWidth="1"/>
    <col min="1045" max="1045" width="4.7109375" style="30" customWidth="1"/>
    <col min="1046" max="1047" width="7.7109375" style="30" customWidth="1"/>
    <col min="1048" max="1048" width="5.7109375" style="30" customWidth="1"/>
    <col min="1049" max="1049" width="1.7109375" style="30" customWidth="1"/>
    <col min="1050" max="1053" width="4.7109375" style="30" customWidth="1"/>
    <col min="1054" max="1054" width="5.42578125" style="30" customWidth="1"/>
    <col min="1055" max="1055" width="6.28515625" style="30" bestFit="1" customWidth="1"/>
    <col min="1056" max="1056" width="4.7109375" style="30" customWidth="1"/>
    <col min="1057" max="1058" width="7.7109375" style="30" customWidth="1"/>
    <col min="1059" max="1059" width="5.7109375" style="30" customWidth="1"/>
    <col min="1060" max="1283" width="9.140625" style="30"/>
    <col min="1284" max="1287" width="4.7109375" style="30" customWidth="1"/>
    <col min="1288" max="1288" width="5.28515625" style="30" customWidth="1"/>
    <col min="1289" max="1289" width="6.28515625" style="30" bestFit="1" customWidth="1"/>
    <col min="1290" max="1290" width="4.7109375" style="30" customWidth="1"/>
    <col min="1291" max="1292" width="7.7109375" style="30" customWidth="1"/>
    <col min="1293" max="1293" width="5.7109375" style="30" customWidth="1"/>
    <col min="1294" max="1294" width="1.7109375" style="30" customWidth="1"/>
    <col min="1295" max="1298" width="4.7109375" style="30" customWidth="1"/>
    <col min="1299" max="1299" width="5.28515625" style="30" customWidth="1"/>
    <col min="1300" max="1300" width="6.28515625" style="30" bestFit="1" customWidth="1"/>
    <col min="1301" max="1301" width="4.7109375" style="30" customWidth="1"/>
    <col min="1302" max="1303" width="7.7109375" style="30" customWidth="1"/>
    <col min="1304" max="1304" width="5.7109375" style="30" customWidth="1"/>
    <col min="1305" max="1305" width="1.7109375" style="30" customWidth="1"/>
    <col min="1306" max="1309" width="4.7109375" style="30" customWidth="1"/>
    <col min="1310" max="1310" width="5.42578125" style="30" customWidth="1"/>
    <col min="1311" max="1311" width="6.28515625" style="30" bestFit="1" customWidth="1"/>
    <col min="1312" max="1312" width="4.7109375" style="30" customWidth="1"/>
    <col min="1313" max="1314" width="7.7109375" style="30" customWidth="1"/>
    <col min="1315" max="1315" width="5.7109375" style="30" customWidth="1"/>
    <col min="1316" max="1539" width="9.140625" style="30"/>
    <col min="1540" max="1543" width="4.7109375" style="30" customWidth="1"/>
    <col min="1544" max="1544" width="5.28515625" style="30" customWidth="1"/>
    <col min="1545" max="1545" width="6.28515625" style="30" bestFit="1" customWidth="1"/>
    <col min="1546" max="1546" width="4.7109375" style="30" customWidth="1"/>
    <col min="1547" max="1548" width="7.7109375" style="30" customWidth="1"/>
    <col min="1549" max="1549" width="5.7109375" style="30" customWidth="1"/>
    <col min="1550" max="1550" width="1.7109375" style="30" customWidth="1"/>
    <col min="1551" max="1554" width="4.7109375" style="30" customWidth="1"/>
    <col min="1555" max="1555" width="5.28515625" style="30" customWidth="1"/>
    <col min="1556" max="1556" width="6.28515625" style="30" bestFit="1" customWidth="1"/>
    <col min="1557" max="1557" width="4.7109375" style="30" customWidth="1"/>
    <col min="1558" max="1559" width="7.7109375" style="30" customWidth="1"/>
    <col min="1560" max="1560" width="5.7109375" style="30" customWidth="1"/>
    <col min="1561" max="1561" width="1.7109375" style="30" customWidth="1"/>
    <col min="1562" max="1565" width="4.7109375" style="30" customWidth="1"/>
    <col min="1566" max="1566" width="5.42578125" style="30" customWidth="1"/>
    <col min="1567" max="1567" width="6.28515625" style="30" bestFit="1" customWidth="1"/>
    <col min="1568" max="1568" width="4.7109375" style="30" customWidth="1"/>
    <col min="1569" max="1570" width="7.7109375" style="30" customWidth="1"/>
    <col min="1571" max="1571" width="5.7109375" style="30" customWidth="1"/>
    <col min="1572" max="1795" width="9.140625" style="30"/>
    <col min="1796" max="1799" width="4.7109375" style="30" customWidth="1"/>
    <col min="1800" max="1800" width="5.28515625" style="30" customWidth="1"/>
    <col min="1801" max="1801" width="6.28515625" style="30" bestFit="1" customWidth="1"/>
    <col min="1802" max="1802" width="4.7109375" style="30" customWidth="1"/>
    <col min="1803" max="1804" width="7.7109375" style="30" customWidth="1"/>
    <col min="1805" max="1805" width="5.7109375" style="30" customWidth="1"/>
    <col min="1806" max="1806" width="1.7109375" style="30" customWidth="1"/>
    <col min="1807" max="1810" width="4.7109375" style="30" customWidth="1"/>
    <col min="1811" max="1811" width="5.28515625" style="30" customWidth="1"/>
    <col min="1812" max="1812" width="6.28515625" style="30" bestFit="1" customWidth="1"/>
    <col min="1813" max="1813" width="4.7109375" style="30" customWidth="1"/>
    <col min="1814" max="1815" width="7.7109375" style="30" customWidth="1"/>
    <col min="1816" max="1816" width="5.7109375" style="30" customWidth="1"/>
    <col min="1817" max="1817" width="1.7109375" style="30" customWidth="1"/>
    <col min="1818" max="1821" width="4.7109375" style="30" customWidth="1"/>
    <col min="1822" max="1822" width="5.42578125" style="30" customWidth="1"/>
    <col min="1823" max="1823" width="6.28515625" style="30" bestFit="1" customWidth="1"/>
    <col min="1824" max="1824" width="4.7109375" style="30" customWidth="1"/>
    <col min="1825" max="1826" width="7.7109375" style="30" customWidth="1"/>
    <col min="1827" max="1827" width="5.7109375" style="30" customWidth="1"/>
    <col min="1828" max="2051" width="9.140625" style="30"/>
    <col min="2052" max="2055" width="4.7109375" style="30" customWidth="1"/>
    <col min="2056" max="2056" width="5.28515625" style="30" customWidth="1"/>
    <col min="2057" max="2057" width="6.28515625" style="30" bestFit="1" customWidth="1"/>
    <col min="2058" max="2058" width="4.7109375" style="30" customWidth="1"/>
    <col min="2059" max="2060" width="7.7109375" style="30" customWidth="1"/>
    <col min="2061" max="2061" width="5.7109375" style="30" customWidth="1"/>
    <col min="2062" max="2062" width="1.7109375" style="30" customWidth="1"/>
    <col min="2063" max="2066" width="4.7109375" style="30" customWidth="1"/>
    <col min="2067" max="2067" width="5.28515625" style="30" customWidth="1"/>
    <col min="2068" max="2068" width="6.28515625" style="30" bestFit="1" customWidth="1"/>
    <col min="2069" max="2069" width="4.7109375" style="30" customWidth="1"/>
    <col min="2070" max="2071" width="7.7109375" style="30" customWidth="1"/>
    <col min="2072" max="2072" width="5.7109375" style="30" customWidth="1"/>
    <col min="2073" max="2073" width="1.7109375" style="30" customWidth="1"/>
    <col min="2074" max="2077" width="4.7109375" style="30" customWidth="1"/>
    <col min="2078" max="2078" width="5.42578125" style="30" customWidth="1"/>
    <col min="2079" max="2079" width="6.28515625" style="30" bestFit="1" customWidth="1"/>
    <col min="2080" max="2080" width="4.7109375" style="30" customWidth="1"/>
    <col min="2081" max="2082" width="7.7109375" style="30" customWidth="1"/>
    <col min="2083" max="2083" width="5.7109375" style="30" customWidth="1"/>
    <col min="2084" max="2307" width="9.140625" style="30"/>
    <col min="2308" max="2311" width="4.7109375" style="30" customWidth="1"/>
    <col min="2312" max="2312" width="5.28515625" style="30" customWidth="1"/>
    <col min="2313" max="2313" width="6.28515625" style="30" bestFit="1" customWidth="1"/>
    <col min="2314" max="2314" width="4.7109375" style="30" customWidth="1"/>
    <col min="2315" max="2316" width="7.7109375" style="30" customWidth="1"/>
    <col min="2317" max="2317" width="5.7109375" style="30" customWidth="1"/>
    <col min="2318" max="2318" width="1.7109375" style="30" customWidth="1"/>
    <col min="2319" max="2322" width="4.7109375" style="30" customWidth="1"/>
    <col min="2323" max="2323" width="5.28515625" style="30" customWidth="1"/>
    <col min="2324" max="2324" width="6.28515625" style="30" bestFit="1" customWidth="1"/>
    <col min="2325" max="2325" width="4.7109375" style="30" customWidth="1"/>
    <col min="2326" max="2327" width="7.7109375" style="30" customWidth="1"/>
    <col min="2328" max="2328" width="5.7109375" style="30" customWidth="1"/>
    <col min="2329" max="2329" width="1.7109375" style="30" customWidth="1"/>
    <col min="2330" max="2333" width="4.7109375" style="30" customWidth="1"/>
    <col min="2334" max="2334" width="5.42578125" style="30" customWidth="1"/>
    <col min="2335" max="2335" width="6.28515625" style="30" bestFit="1" customWidth="1"/>
    <col min="2336" max="2336" width="4.7109375" style="30" customWidth="1"/>
    <col min="2337" max="2338" width="7.7109375" style="30" customWidth="1"/>
    <col min="2339" max="2339" width="5.7109375" style="30" customWidth="1"/>
    <col min="2340" max="2563" width="9.140625" style="30"/>
    <col min="2564" max="2567" width="4.7109375" style="30" customWidth="1"/>
    <col min="2568" max="2568" width="5.28515625" style="30" customWidth="1"/>
    <col min="2569" max="2569" width="6.28515625" style="30" bestFit="1" customWidth="1"/>
    <col min="2570" max="2570" width="4.7109375" style="30" customWidth="1"/>
    <col min="2571" max="2572" width="7.7109375" style="30" customWidth="1"/>
    <col min="2573" max="2573" width="5.7109375" style="30" customWidth="1"/>
    <col min="2574" max="2574" width="1.7109375" style="30" customWidth="1"/>
    <col min="2575" max="2578" width="4.7109375" style="30" customWidth="1"/>
    <col min="2579" max="2579" width="5.28515625" style="30" customWidth="1"/>
    <col min="2580" max="2580" width="6.28515625" style="30" bestFit="1" customWidth="1"/>
    <col min="2581" max="2581" width="4.7109375" style="30" customWidth="1"/>
    <col min="2582" max="2583" width="7.7109375" style="30" customWidth="1"/>
    <col min="2584" max="2584" width="5.7109375" style="30" customWidth="1"/>
    <col min="2585" max="2585" width="1.7109375" style="30" customWidth="1"/>
    <col min="2586" max="2589" width="4.7109375" style="30" customWidth="1"/>
    <col min="2590" max="2590" width="5.42578125" style="30" customWidth="1"/>
    <col min="2591" max="2591" width="6.28515625" style="30" bestFit="1" customWidth="1"/>
    <col min="2592" max="2592" width="4.7109375" style="30" customWidth="1"/>
    <col min="2593" max="2594" width="7.7109375" style="30" customWidth="1"/>
    <col min="2595" max="2595" width="5.7109375" style="30" customWidth="1"/>
    <col min="2596" max="2819" width="9.140625" style="30"/>
    <col min="2820" max="2823" width="4.7109375" style="30" customWidth="1"/>
    <col min="2824" max="2824" width="5.28515625" style="30" customWidth="1"/>
    <col min="2825" max="2825" width="6.28515625" style="30" bestFit="1" customWidth="1"/>
    <col min="2826" max="2826" width="4.7109375" style="30" customWidth="1"/>
    <col min="2827" max="2828" width="7.7109375" style="30" customWidth="1"/>
    <col min="2829" max="2829" width="5.7109375" style="30" customWidth="1"/>
    <col min="2830" max="2830" width="1.7109375" style="30" customWidth="1"/>
    <col min="2831" max="2834" width="4.7109375" style="30" customWidth="1"/>
    <col min="2835" max="2835" width="5.28515625" style="30" customWidth="1"/>
    <col min="2836" max="2836" width="6.28515625" style="30" bestFit="1" customWidth="1"/>
    <col min="2837" max="2837" width="4.7109375" style="30" customWidth="1"/>
    <col min="2838" max="2839" width="7.7109375" style="30" customWidth="1"/>
    <col min="2840" max="2840" width="5.7109375" style="30" customWidth="1"/>
    <col min="2841" max="2841" width="1.7109375" style="30" customWidth="1"/>
    <col min="2842" max="2845" width="4.7109375" style="30" customWidth="1"/>
    <col min="2846" max="2846" width="5.42578125" style="30" customWidth="1"/>
    <col min="2847" max="2847" width="6.28515625" style="30" bestFit="1" customWidth="1"/>
    <col min="2848" max="2848" width="4.7109375" style="30" customWidth="1"/>
    <col min="2849" max="2850" width="7.7109375" style="30" customWidth="1"/>
    <col min="2851" max="2851" width="5.7109375" style="30" customWidth="1"/>
    <col min="2852" max="3075" width="9.140625" style="30"/>
    <col min="3076" max="3079" width="4.7109375" style="30" customWidth="1"/>
    <col min="3080" max="3080" width="5.28515625" style="30" customWidth="1"/>
    <col min="3081" max="3081" width="6.28515625" style="30" bestFit="1" customWidth="1"/>
    <col min="3082" max="3082" width="4.7109375" style="30" customWidth="1"/>
    <col min="3083" max="3084" width="7.7109375" style="30" customWidth="1"/>
    <col min="3085" max="3085" width="5.7109375" style="30" customWidth="1"/>
    <col min="3086" max="3086" width="1.7109375" style="30" customWidth="1"/>
    <col min="3087" max="3090" width="4.7109375" style="30" customWidth="1"/>
    <col min="3091" max="3091" width="5.28515625" style="30" customWidth="1"/>
    <col min="3092" max="3092" width="6.28515625" style="30" bestFit="1" customWidth="1"/>
    <col min="3093" max="3093" width="4.7109375" style="30" customWidth="1"/>
    <col min="3094" max="3095" width="7.7109375" style="30" customWidth="1"/>
    <col min="3096" max="3096" width="5.7109375" style="30" customWidth="1"/>
    <col min="3097" max="3097" width="1.7109375" style="30" customWidth="1"/>
    <col min="3098" max="3101" width="4.7109375" style="30" customWidth="1"/>
    <col min="3102" max="3102" width="5.42578125" style="30" customWidth="1"/>
    <col min="3103" max="3103" width="6.28515625" style="30" bestFit="1" customWidth="1"/>
    <col min="3104" max="3104" width="4.7109375" style="30" customWidth="1"/>
    <col min="3105" max="3106" width="7.7109375" style="30" customWidth="1"/>
    <col min="3107" max="3107" width="5.7109375" style="30" customWidth="1"/>
    <col min="3108" max="3331" width="9.140625" style="30"/>
    <col min="3332" max="3335" width="4.7109375" style="30" customWidth="1"/>
    <col min="3336" max="3336" width="5.28515625" style="30" customWidth="1"/>
    <col min="3337" max="3337" width="6.28515625" style="30" bestFit="1" customWidth="1"/>
    <col min="3338" max="3338" width="4.7109375" style="30" customWidth="1"/>
    <col min="3339" max="3340" width="7.7109375" style="30" customWidth="1"/>
    <col min="3341" max="3341" width="5.7109375" style="30" customWidth="1"/>
    <col min="3342" max="3342" width="1.7109375" style="30" customWidth="1"/>
    <col min="3343" max="3346" width="4.7109375" style="30" customWidth="1"/>
    <col min="3347" max="3347" width="5.28515625" style="30" customWidth="1"/>
    <col min="3348" max="3348" width="6.28515625" style="30" bestFit="1" customWidth="1"/>
    <col min="3349" max="3349" width="4.7109375" style="30" customWidth="1"/>
    <col min="3350" max="3351" width="7.7109375" style="30" customWidth="1"/>
    <col min="3352" max="3352" width="5.7109375" style="30" customWidth="1"/>
    <col min="3353" max="3353" width="1.7109375" style="30" customWidth="1"/>
    <col min="3354" max="3357" width="4.7109375" style="30" customWidth="1"/>
    <col min="3358" max="3358" width="5.42578125" style="30" customWidth="1"/>
    <col min="3359" max="3359" width="6.28515625" style="30" bestFit="1" customWidth="1"/>
    <col min="3360" max="3360" width="4.7109375" style="30" customWidth="1"/>
    <col min="3361" max="3362" width="7.7109375" style="30" customWidth="1"/>
    <col min="3363" max="3363" width="5.7109375" style="30" customWidth="1"/>
    <col min="3364" max="3587" width="9.140625" style="30"/>
    <col min="3588" max="3591" width="4.7109375" style="30" customWidth="1"/>
    <col min="3592" max="3592" width="5.28515625" style="30" customWidth="1"/>
    <col min="3593" max="3593" width="6.28515625" style="30" bestFit="1" customWidth="1"/>
    <col min="3594" max="3594" width="4.7109375" style="30" customWidth="1"/>
    <col min="3595" max="3596" width="7.7109375" style="30" customWidth="1"/>
    <col min="3597" max="3597" width="5.7109375" style="30" customWidth="1"/>
    <col min="3598" max="3598" width="1.7109375" style="30" customWidth="1"/>
    <col min="3599" max="3602" width="4.7109375" style="30" customWidth="1"/>
    <col min="3603" max="3603" width="5.28515625" style="30" customWidth="1"/>
    <col min="3604" max="3604" width="6.28515625" style="30" bestFit="1" customWidth="1"/>
    <col min="3605" max="3605" width="4.7109375" style="30" customWidth="1"/>
    <col min="3606" max="3607" width="7.7109375" style="30" customWidth="1"/>
    <col min="3608" max="3608" width="5.7109375" style="30" customWidth="1"/>
    <col min="3609" max="3609" width="1.7109375" style="30" customWidth="1"/>
    <col min="3610" max="3613" width="4.7109375" style="30" customWidth="1"/>
    <col min="3614" max="3614" width="5.42578125" style="30" customWidth="1"/>
    <col min="3615" max="3615" width="6.28515625" style="30" bestFit="1" customWidth="1"/>
    <col min="3616" max="3616" width="4.7109375" style="30" customWidth="1"/>
    <col min="3617" max="3618" width="7.7109375" style="30" customWidth="1"/>
    <col min="3619" max="3619" width="5.7109375" style="30" customWidth="1"/>
    <col min="3620" max="3843" width="9.140625" style="30"/>
    <col min="3844" max="3847" width="4.7109375" style="30" customWidth="1"/>
    <col min="3848" max="3848" width="5.28515625" style="30" customWidth="1"/>
    <col min="3849" max="3849" width="6.28515625" style="30" bestFit="1" customWidth="1"/>
    <col min="3850" max="3850" width="4.7109375" style="30" customWidth="1"/>
    <col min="3851" max="3852" width="7.7109375" style="30" customWidth="1"/>
    <col min="3853" max="3853" width="5.7109375" style="30" customWidth="1"/>
    <col min="3854" max="3854" width="1.7109375" style="30" customWidth="1"/>
    <col min="3855" max="3858" width="4.7109375" style="30" customWidth="1"/>
    <col min="3859" max="3859" width="5.28515625" style="30" customWidth="1"/>
    <col min="3860" max="3860" width="6.28515625" style="30" bestFit="1" customWidth="1"/>
    <col min="3861" max="3861" width="4.7109375" style="30" customWidth="1"/>
    <col min="3862" max="3863" width="7.7109375" style="30" customWidth="1"/>
    <col min="3864" max="3864" width="5.7109375" style="30" customWidth="1"/>
    <col min="3865" max="3865" width="1.7109375" style="30" customWidth="1"/>
    <col min="3866" max="3869" width="4.7109375" style="30" customWidth="1"/>
    <col min="3870" max="3870" width="5.42578125" style="30" customWidth="1"/>
    <col min="3871" max="3871" width="6.28515625" style="30" bestFit="1" customWidth="1"/>
    <col min="3872" max="3872" width="4.7109375" style="30" customWidth="1"/>
    <col min="3873" max="3874" width="7.7109375" style="30" customWidth="1"/>
    <col min="3875" max="3875" width="5.7109375" style="30" customWidth="1"/>
    <col min="3876" max="4099" width="9.140625" style="30"/>
    <col min="4100" max="4103" width="4.7109375" style="30" customWidth="1"/>
    <col min="4104" max="4104" width="5.28515625" style="30" customWidth="1"/>
    <col min="4105" max="4105" width="6.28515625" style="30" bestFit="1" customWidth="1"/>
    <col min="4106" max="4106" width="4.7109375" style="30" customWidth="1"/>
    <col min="4107" max="4108" width="7.7109375" style="30" customWidth="1"/>
    <col min="4109" max="4109" width="5.7109375" style="30" customWidth="1"/>
    <col min="4110" max="4110" width="1.7109375" style="30" customWidth="1"/>
    <col min="4111" max="4114" width="4.7109375" style="30" customWidth="1"/>
    <col min="4115" max="4115" width="5.28515625" style="30" customWidth="1"/>
    <col min="4116" max="4116" width="6.28515625" style="30" bestFit="1" customWidth="1"/>
    <col min="4117" max="4117" width="4.7109375" style="30" customWidth="1"/>
    <col min="4118" max="4119" width="7.7109375" style="30" customWidth="1"/>
    <col min="4120" max="4120" width="5.7109375" style="30" customWidth="1"/>
    <col min="4121" max="4121" width="1.7109375" style="30" customWidth="1"/>
    <col min="4122" max="4125" width="4.7109375" style="30" customWidth="1"/>
    <col min="4126" max="4126" width="5.42578125" style="30" customWidth="1"/>
    <col min="4127" max="4127" width="6.28515625" style="30" bestFit="1" customWidth="1"/>
    <col min="4128" max="4128" width="4.7109375" style="30" customWidth="1"/>
    <col min="4129" max="4130" width="7.7109375" style="30" customWidth="1"/>
    <col min="4131" max="4131" width="5.7109375" style="30" customWidth="1"/>
    <col min="4132" max="4355" width="9.140625" style="30"/>
    <col min="4356" max="4359" width="4.7109375" style="30" customWidth="1"/>
    <col min="4360" max="4360" width="5.28515625" style="30" customWidth="1"/>
    <col min="4361" max="4361" width="6.28515625" style="30" bestFit="1" customWidth="1"/>
    <col min="4362" max="4362" width="4.7109375" style="30" customWidth="1"/>
    <col min="4363" max="4364" width="7.7109375" style="30" customWidth="1"/>
    <col min="4365" max="4365" width="5.7109375" style="30" customWidth="1"/>
    <col min="4366" max="4366" width="1.7109375" style="30" customWidth="1"/>
    <col min="4367" max="4370" width="4.7109375" style="30" customWidth="1"/>
    <col min="4371" max="4371" width="5.28515625" style="30" customWidth="1"/>
    <col min="4372" max="4372" width="6.28515625" style="30" bestFit="1" customWidth="1"/>
    <col min="4373" max="4373" width="4.7109375" style="30" customWidth="1"/>
    <col min="4374" max="4375" width="7.7109375" style="30" customWidth="1"/>
    <col min="4376" max="4376" width="5.7109375" style="30" customWidth="1"/>
    <col min="4377" max="4377" width="1.7109375" style="30" customWidth="1"/>
    <col min="4378" max="4381" width="4.7109375" style="30" customWidth="1"/>
    <col min="4382" max="4382" width="5.42578125" style="30" customWidth="1"/>
    <col min="4383" max="4383" width="6.28515625" style="30" bestFit="1" customWidth="1"/>
    <col min="4384" max="4384" width="4.7109375" style="30" customWidth="1"/>
    <col min="4385" max="4386" width="7.7109375" style="30" customWidth="1"/>
    <col min="4387" max="4387" width="5.7109375" style="30" customWidth="1"/>
    <col min="4388" max="4611" width="9.140625" style="30"/>
    <col min="4612" max="4615" width="4.7109375" style="30" customWidth="1"/>
    <col min="4616" max="4616" width="5.28515625" style="30" customWidth="1"/>
    <col min="4617" max="4617" width="6.28515625" style="30" bestFit="1" customWidth="1"/>
    <col min="4618" max="4618" width="4.7109375" style="30" customWidth="1"/>
    <col min="4619" max="4620" width="7.7109375" style="30" customWidth="1"/>
    <col min="4621" max="4621" width="5.7109375" style="30" customWidth="1"/>
    <col min="4622" max="4622" width="1.7109375" style="30" customWidth="1"/>
    <col min="4623" max="4626" width="4.7109375" style="30" customWidth="1"/>
    <col min="4627" max="4627" width="5.28515625" style="30" customWidth="1"/>
    <col min="4628" max="4628" width="6.28515625" style="30" bestFit="1" customWidth="1"/>
    <col min="4629" max="4629" width="4.7109375" style="30" customWidth="1"/>
    <col min="4630" max="4631" width="7.7109375" style="30" customWidth="1"/>
    <col min="4632" max="4632" width="5.7109375" style="30" customWidth="1"/>
    <col min="4633" max="4633" width="1.7109375" style="30" customWidth="1"/>
    <col min="4634" max="4637" width="4.7109375" style="30" customWidth="1"/>
    <col min="4638" max="4638" width="5.42578125" style="30" customWidth="1"/>
    <col min="4639" max="4639" width="6.28515625" style="30" bestFit="1" customWidth="1"/>
    <col min="4640" max="4640" width="4.7109375" style="30" customWidth="1"/>
    <col min="4641" max="4642" width="7.7109375" style="30" customWidth="1"/>
    <col min="4643" max="4643" width="5.7109375" style="30" customWidth="1"/>
    <col min="4644" max="4867" width="9.140625" style="30"/>
    <col min="4868" max="4871" width="4.7109375" style="30" customWidth="1"/>
    <col min="4872" max="4872" width="5.28515625" style="30" customWidth="1"/>
    <col min="4873" max="4873" width="6.28515625" style="30" bestFit="1" customWidth="1"/>
    <col min="4874" max="4874" width="4.7109375" style="30" customWidth="1"/>
    <col min="4875" max="4876" width="7.7109375" style="30" customWidth="1"/>
    <col min="4877" max="4877" width="5.7109375" style="30" customWidth="1"/>
    <col min="4878" max="4878" width="1.7109375" style="30" customWidth="1"/>
    <col min="4879" max="4882" width="4.7109375" style="30" customWidth="1"/>
    <col min="4883" max="4883" width="5.28515625" style="30" customWidth="1"/>
    <col min="4884" max="4884" width="6.28515625" style="30" bestFit="1" customWidth="1"/>
    <col min="4885" max="4885" width="4.7109375" style="30" customWidth="1"/>
    <col min="4886" max="4887" width="7.7109375" style="30" customWidth="1"/>
    <col min="4888" max="4888" width="5.7109375" style="30" customWidth="1"/>
    <col min="4889" max="4889" width="1.7109375" style="30" customWidth="1"/>
    <col min="4890" max="4893" width="4.7109375" style="30" customWidth="1"/>
    <col min="4894" max="4894" width="5.42578125" style="30" customWidth="1"/>
    <col min="4895" max="4895" width="6.28515625" style="30" bestFit="1" customWidth="1"/>
    <col min="4896" max="4896" width="4.7109375" style="30" customWidth="1"/>
    <col min="4897" max="4898" width="7.7109375" style="30" customWidth="1"/>
    <col min="4899" max="4899" width="5.7109375" style="30" customWidth="1"/>
    <col min="4900" max="5123" width="9.140625" style="30"/>
    <col min="5124" max="5127" width="4.7109375" style="30" customWidth="1"/>
    <col min="5128" max="5128" width="5.28515625" style="30" customWidth="1"/>
    <col min="5129" max="5129" width="6.28515625" style="30" bestFit="1" customWidth="1"/>
    <col min="5130" max="5130" width="4.7109375" style="30" customWidth="1"/>
    <col min="5131" max="5132" width="7.7109375" style="30" customWidth="1"/>
    <col min="5133" max="5133" width="5.7109375" style="30" customWidth="1"/>
    <col min="5134" max="5134" width="1.7109375" style="30" customWidth="1"/>
    <col min="5135" max="5138" width="4.7109375" style="30" customWidth="1"/>
    <col min="5139" max="5139" width="5.28515625" style="30" customWidth="1"/>
    <col min="5140" max="5140" width="6.28515625" style="30" bestFit="1" customWidth="1"/>
    <col min="5141" max="5141" width="4.7109375" style="30" customWidth="1"/>
    <col min="5142" max="5143" width="7.7109375" style="30" customWidth="1"/>
    <col min="5144" max="5144" width="5.7109375" style="30" customWidth="1"/>
    <col min="5145" max="5145" width="1.7109375" style="30" customWidth="1"/>
    <col min="5146" max="5149" width="4.7109375" style="30" customWidth="1"/>
    <col min="5150" max="5150" width="5.42578125" style="30" customWidth="1"/>
    <col min="5151" max="5151" width="6.28515625" style="30" bestFit="1" customWidth="1"/>
    <col min="5152" max="5152" width="4.7109375" style="30" customWidth="1"/>
    <col min="5153" max="5154" width="7.7109375" style="30" customWidth="1"/>
    <col min="5155" max="5155" width="5.7109375" style="30" customWidth="1"/>
    <col min="5156" max="5379" width="9.140625" style="30"/>
    <col min="5380" max="5383" width="4.7109375" style="30" customWidth="1"/>
    <col min="5384" max="5384" width="5.28515625" style="30" customWidth="1"/>
    <col min="5385" max="5385" width="6.28515625" style="30" bestFit="1" customWidth="1"/>
    <col min="5386" max="5386" width="4.7109375" style="30" customWidth="1"/>
    <col min="5387" max="5388" width="7.7109375" style="30" customWidth="1"/>
    <col min="5389" max="5389" width="5.7109375" style="30" customWidth="1"/>
    <col min="5390" max="5390" width="1.7109375" style="30" customWidth="1"/>
    <col min="5391" max="5394" width="4.7109375" style="30" customWidth="1"/>
    <col min="5395" max="5395" width="5.28515625" style="30" customWidth="1"/>
    <col min="5396" max="5396" width="6.28515625" style="30" bestFit="1" customWidth="1"/>
    <col min="5397" max="5397" width="4.7109375" style="30" customWidth="1"/>
    <col min="5398" max="5399" width="7.7109375" style="30" customWidth="1"/>
    <col min="5400" max="5400" width="5.7109375" style="30" customWidth="1"/>
    <col min="5401" max="5401" width="1.7109375" style="30" customWidth="1"/>
    <col min="5402" max="5405" width="4.7109375" style="30" customWidth="1"/>
    <col min="5406" max="5406" width="5.42578125" style="30" customWidth="1"/>
    <col min="5407" max="5407" width="6.28515625" style="30" bestFit="1" customWidth="1"/>
    <col min="5408" max="5408" width="4.7109375" style="30" customWidth="1"/>
    <col min="5409" max="5410" width="7.7109375" style="30" customWidth="1"/>
    <col min="5411" max="5411" width="5.7109375" style="30" customWidth="1"/>
    <col min="5412" max="5635" width="9.140625" style="30"/>
    <col min="5636" max="5639" width="4.7109375" style="30" customWidth="1"/>
    <col min="5640" max="5640" width="5.28515625" style="30" customWidth="1"/>
    <col min="5641" max="5641" width="6.28515625" style="30" bestFit="1" customWidth="1"/>
    <col min="5642" max="5642" width="4.7109375" style="30" customWidth="1"/>
    <col min="5643" max="5644" width="7.7109375" style="30" customWidth="1"/>
    <col min="5645" max="5645" width="5.7109375" style="30" customWidth="1"/>
    <col min="5646" max="5646" width="1.7109375" style="30" customWidth="1"/>
    <col min="5647" max="5650" width="4.7109375" style="30" customWidth="1"/>
    <col min="5651" max="5651" width="5.28515625" style="30" customWidth="1"/>
    <col min="5652" max="5652" width="6.28515625" style="30" bestFit="1" customWidth="1"/>
    <col min="5653" max="5653" width="4.7109375" style="30" customWidth="1"/>
    <col min="5654" max="5655" width="7.7109375" style="30" customWidth="1"/>
    <col min="5656" max="5656" width="5.7109375" style="30" customWidth="1"/>
    <col min="5657" max="5657" width="1.7109375" style="30" customWidth="1"/>
    <col min="5658" max="5661" width="4.7109375" style="30" customWidth="1"/>
    <col min="5662" max="5662" width="5.42578125" style="30" customWidth="1"/>
    <col min="5663" max="5663" width="6.28515625" style="30" bestFit="1" customWidth="1"/>
    <col min="5664" max="5664" width="4.7109375" style="30" customWidth="1"/>
    <col min="5665" max="5666" width="7.7109375" style="30" customWidth="1"/>
    <col min="5667" max="5667" width="5.7109375" style="30" customWidth="1"/>
    <col min="5668" max="5891" width="9.140625" style="30"/>
    <col min="5892" max="5895" width="4.7109375" style="30" customWidth="1"/>
    <col min="5896" max="5896" width="5.28515625" style="30" customWidth="1"/>
    <col min="5897" max="5897" width="6.28515625" style="30" bestFit="1" customWidth="1"/>
    <col min="5898" max="5898" width="4.7109375" style="30" customWidth="1"/>
    <col min="5899" max="5900" width="7.7109375" style="30" customWidth="1"/>
    <col min="5901" max="5901" width="5.7109375" style="30" customWidth="1"/>
    <col min="5902" max="5902" width="1.7109375" style="30" customWidth="1"/>
    <col min="5903" max="5906" width="4.7109375" style="30" customWidth="1"/>
    <col min="5907" max="5907" width="5.28515625" style="30" customWidth="1"/>
    <col min="5908" max="5908" width="6.28515625" style="30" bestFit="1" customWidth="1"/>
    <col min="5909" max="5909" width="4.7109375" style="30" customWidth="1"/>
    <col min="5910" max="5911" width="7.7109375" style="30" customWidth="1"/>
    <col min="5912" max="5912" width="5.7109375" style="30" customWidth="1"/>
    <col min="5913" max="5913" width="1.7109375" style="30" customWidth="1"/>
    <col min="5914" max="5917" width="4.7109375" style="30" customWidth="1"/>
    <col min="5918" max="5918" width="5.42578125" style="30" customWidth="1"/>
    <col min="5919" max="5919" width="6.28515625" style="30" bestFit="1" customWidth="1"/>
    <col min="5920" max="5920" width="4.7109375" style="30" customWidth="1"/>
    <col min="5921" max="5922" width="7.7109375" style="30" customWidth="1"/>
    <col min="5923" max="5923" width="5.7109375" style="30" customWidth="1"/>
    <col min="5924" max="6147" width="9.140625" style="30"/>
    <col min="6148" max="6151" width="4.7109375" style="30" customWidth="1"/>
    <col min="6152" max="6152" width="5.28515625" style="30" customWidth="1"/>
    <col min="6153" max="6153" width="6.28515625" style="30" bestFit="1" customWidth="1"/>
    <col min="6154" max="6154" width="4.7109375" style="30" customWidth="1"/>
    <col min="6155" max="6156" width="7.7109375" style="30" customWidth="1"/>
    <col min="6157" max="6157" width="5.7109375" style="30" customWidth="1"/>
    <col min="6158" max="6158" width="1.7109375" style="30" customWidth="1"/>
    <col min="6159" max="6162" width="4.7109375" style="30" customWidth="1"/>
    <col min="6163" max="6163" width="5.28515625" style="30" customWidth="1"/>
    <col min="6164" max="6164" width="6.28515625" style="30" bestFit="1" customWidth="1"/>
    <col min="6165" max="6165" width="4.7109375" style="30" customWidth="1"/>
    <col min="6166" max="6167" width="7.7109375" style="30" customWidth="1"/>
    <col min="6168" max="6168" width="5.7109375" style="30" customWidth="1"/>
    <col min="6169" max="6169" width="1.7109375" style="30" customWidth="1"/>
    <col min="6170" max="6173" width="4.7109375" style="30" customWidth="1"/>
    <col min="6174" max="6174" width="5.42578125" style="30" customWidth="1"/>
    <col min="6175" max="6175" width="6.28515625" style="30" bestFit="1" customWidth="1"/>
    <col min="6176" max="6176" width="4.7109375" style="30" customWidth="1"/>
    <col min="6177" max="6178" width="7.7109375" style="30" customWidth="1"/>
    <col min="6179" max="6179" width="5.7109375" style="30" customWidth="1"/>
    <col min="6180" max="6403" width="9.140625" style="30"/>
    <col min="6404" max="6407" width="4.7109375" style="30" customWidth="1"/>
    <col min="6408" max="6408" width="5.28515625" style="30" customWidth="1"/>
    <col min="6409" max="6409" width="6.28515625" style="30" bestFit="1" customWidth="1"/>
    <col min="6410" max="6410" width="4.7109375" style="30" customWidth="1"/>
    <col min="6411" max="6412" width="7.7109375" style="30" customWidth="1"/>
    <col min="6413" max="6413" width="5.7109375" style="30" customWidth="1"/>
    <col min="6414" max="6414" width="1.7109375" style="30" customWidth="1"/>
    <col min="6415" max="6418" width="4.7109375" style="30" customWidth="1"/>
    <col min="6419" max="6419" width="5.28515625" style="30" customWidth="1"/>
    <col min="6420" max="6420" width="6.28515625" style="30" bestFit="1" customWidth="1"/>
    <col min="6421" max="6421" width="4.7109375" style="30" customWidth="1"/>
    <col min="6422" max="6423" width="7.7109375" style="30" customWidth="1"/>
    <col min="6424" max="6424" width="5.7109375" style="30" customWidth="1"/>
    <col min="6425" max="6425" width="1.7109375" style="30" customWidth="1"/>
    <col min="6426" max="6429" width="4.7109375" style="30" customWidth="1"/>
    <col min="6430" max="6430" width="5.42578125" style="30" customWidth="1"/>
    <col min="6431" max="6431" width="6.28515625" style="30" bestFit="1" customWidth="1"/>
    <col min="6432" max="6432" width="4.7109375" style="30" customWidth="1"/>
    <col min="6433" max="6434" width="7.7109375" style="30" customWidth="1"/>
    <col min="6435" max="6435" width="5.7109375" style="30" customWidth="1"/>
    <col min="6436" max="6659" width="9.140625" style="30"/>
    <col min="6660" max="6663" width="4.7109375" style="30" customWidth="1"/>
    <col min="6664" max="6664" width="5.28515625" style="30" customWidth="1"/>
    <col min="6665" max="6665" width="6.28515625" style="30" bestFit="1" customWidth="1"/>
    <col min="6666" max="6666" width="4.7109375" style="30" customWidth="1"/>
    <col min="6667" max="6668" width="7.7109375" style="30" customWidth="1"/>
    <col min="6669" max="6669" width="5.7109375" style="30" customWidth="1"/>
    <col min="6670" max="6670" width="1.7109375" style="30" customWidth="1"/>
    <col min="6671" max="6674" width="4.7109375" style="30" customWidth="1"/>
    <col min="6675" max="6675" width="5.28515625" style="30" customWidth="1"/>
    <col min="6676" max="6676" width="6.28515625" style="30" bestFit="1" customWidth="1"/>
    <col min="6677" max="6677" width="4.7109375" style="30" customWidth="1"/>
    <col min="6678" max="6679" width="7.7109375" style="30" customWidth="1"/>
    <col min="6680" max="6680" width="5.7109375" style="30" customWidth="1"/>
    <col min="6681" max="6681" width="1.7109375" style="30" customWidth="1"/>
    <col min="6682" max="6685" width="4.7109375" style="30" customWidth="1"/>
    <col min="6686" max="6686" width="5.42578125" style="30" customWidth="1"/>
    <col min="6687" max="6687" width="6.28515625" style="30" bestFit="1" customWidth="1"/>
    <col min="6688" max="6688" width="4.7109375" style="30" customWidth="1"/>
    <col min="6689" max="6690" width="7.7109375" style="30" customWidth="1"/>
    <col min="6691" max="6691" width="5.7109375" style="30" customWidth="1"/>
    <col min="6692" max="6915" width="9.140625" style="30"/>
    <col min="6916" max="6919" width="4.7109375" style="30" customWidth="1"/>
    <col min="6920" max="6920" width="5.28515625" style="30" customWidth="1"/>
    <col min="6921" max="6921" width="6.28515625" style="30" bestFit="1" customWidth="1"/>
    <col min="6922" max="6922" width="4.7109375" style="30" customWidth="1"/>
    <col min="6923" max="6924" width="7.7109375" style="30" customWidth="1"/>
    <col min="6925" max="6925" width="5.7109375" style="30" customWidth="1"/>
    <col min="6926" max="6926" width="1.7109375" style="30" customWidth="1"/>
    <col min="6927" max="6930" width="4.7109375" style="30" customWidth="1"/>
    <col min="6931" max="6931" width="5.28515625" style="30" customWidth="1"/>
    <col min="6932" max="6932" width="6.28515625" style="30" bestFit="1" customWidth="1"/>
    <col min="6933" max="6933" width="4.7109375" style="30" customWidth="1"/>
    <col min="6934" max="6935" width="7.7109375" style="30" customWidth="1"/>
    <col min="6936" max="6936" width="5.7109375" style="30" customWidth="1"/>
    <col min="6937" max="6937" width="1.7109375" style="30" customWidth="1"/>
    <col min="6938" max="6941" width="4.7109375" style="30" customWidth="1"/>
    <col min="6942" max="6942" width="5.42578125" style="30" customWidth="1"/>
    <col min="6943" max="6943" width="6.28515625" style="30" bestFit="1" customWidth="1"/>
    <col min="6944" max="6944" width="4.7109375" style="30" customWidth="1"/>
    <col min="6945" max="6946" width="7.7109375" style="30" customWidth="1"/>
    <col min="6947" max="6947" width="5.7109375" style="30" customWidth="1"/>
    <col min="6948" max="7171" width="9.140625" style="30"/>
    <col min="7172" max="7175" width="4.7109375" style="30" customWidth="1"/>
    <col min="7176" max="7176" width="5.28515625" style="30" customWidth="1"/>
    <col min="7177" max="7177" width="6.28515625" style="30" bestFit="1" customWidth="1"/>
    <col min="7178" max="7178" width="4.7109375" style="30" customWidth="1"/>
    <col min="7179" max="7180" width="7.7109375" style="30" customWidth="1"/>
    <col min="7181" max="7181" width="5.7109375" style="30" customWidth="1"/>
    <col min="7182" max="7182" width="1.7109375" style="30" customWidth="1"/>
    <col min="7183" max="7186" width="4.7109375" style="30" customWidth="1"/>
    <col min="7187" max="7187" width="5.28515625" style="30" customWidth="1"/>
    <col min="7188" max="7188" width="6.28515625" style="30" bestFit="1" customWidth="1"/>
    <col min="7189" max="7189" width="4.7109375" style="30" customWidth="1"/>
    <col min="7190" max="7191" width="7.7109375" style="30" customWidth="1"/>
    <col min="7192" max="7192" width="5.7109375" style="30" customWidth="1"/>
    <col min="7193" max="7193" width="1.7109375" style="30" customWidth="1"/>
    <col min="7194" max="7197" width="4.7109375" style="30" customWidth="1"/>
    <col min="7198" max="7198" width="5.42578125" style="30" customWidth="1"/>
    <col min="7199" max="7199" width="6.28515625" style="30" bestFit="1" customWidth="1"/>
    <col min="7200" max="7200" width="4.7109375" style="30" customWidth="1"/>
    <col min="7201" max="7202" width="7.7109375" style="30" customWidth="1"/>
    <col min="7203" max="7203" width="5.7109375" style="30" customWidth="1"/>
    <col min="7204" max="7427" width="9.140625" style="30"/>
    <col min="7428" max="7431" width="4.7109375" style="30" customWidth="1"/>
    <col min="7432" max="7432" width="5.28515625" style="30" customWidth="1"/>
    <col min="7433" max="7433" width="6.28515625" style="30" bestFit="1" customWidth="1"/>
    <col min="7434" max="7434" width="4.7109375" style="30" customWidth="1"/>
    <col min="7435" max="7436" width="7.7109375" style="30" customWidth="1"/>
    <col min="7437" max="7437" width="5.7109375" style="30" customWidth="1"/>
    <col min="7438" max="7438" width="1.7109375" style="30" customWidth="1"/>
    <col min="7439" max="7442" width="4.7109375" style="30" customWidth="1"/>
    <col min="7443" max="7443" width="5.28515625" style="30" customWidth="1"/>
    <col min="7444" max="7444" width="6.28515625" style="30" bestFit="1" customWidth="1"/>
    <col min="7445" max="7445" width="4.7109375" style="30" customWidth="1"/>
    <col min="7446" max="7447" width="7.7109375" style="30" customWidth="1"/>
    <col min="7448" max="7448" width="5.7109375" style="30" customWidth="1"/>
    <col min="7449" max="7449" width="1.7109375" style="30" customWidth="1"/>
    <col min="7450" max="7453" width="4.7109375" style="30" customWidth="1"/>
    <col min="7454" max="7454" width="5.42578125" style="30" customWidth="1"/>
    <col min="7455" max="7455" width="6.28515625" style="30" bestFit="1" customWidth="1"/>
    <col min="7456" max="7456" width="4.7109375" style="30" customWidth="1"/>
    <col min="7457" max="7458" width="7.7109375" style="30" customWidth="1"/>
    <col min="7459" max="7459" width="5.7109375" style="30" customWidth="1"/>
    <col min="7460" max="7683" width="9.140625" style="30"/>
    <col min="7684" max="7687" width="4.7109375" style="30" customWidth="1"/>
    <col min="7688" max="7688" width="5.28515625" style="30" customWidth="1"/>
    <col min="7689" max="7689" width="6.28515625" style="30" bestFit="1" customWidth="1"/>
    <col min="7690" max="7690" width="4.7109375" style="30" customWidth="1"/>
    <col min="7691" max="7692" width="7.7109375" style="30" customWidth="1"/>
    <col min="7693" max="7693" width="5.7109375" style="30" customWidth="1"/>
    <col min="7694" max="7694" width="1.7109375" style="30" customWidth="1"/>
    <col min="7695" max="7698" width="4.7109375" style="30" customWidth="1"/>
    <col min="7699" max="7699" width="5.28515625" style="30" customWidth="1"/>
    <col min="7700" max="7700" width="6.28515625" style="30" bestFit="1" customWidth="1"/>
    <col min="7701" max="7701" width="4.7109375" style="30" customWidth="1"/>
    <col min="7702" max="7703" width="7.7109375" style="30" customWidth="1"/>
    <col min="7704" max="7704" width="5.7109375" style="30" customWidth="1"/>
    <col min="7705" max="7705" width="1.7109375" style="30" customWidth="1"/>
    <col min="7706" max="7709" width="4.7109375" style="30" customWidth="1"/>
    <col min="7710" max="7710" width="5.42578125" style="30" customWidth="1"/>
    <col min="7711" max="7711" width="6.28515625" style="30" bestFit="1" customWidth="1"/>
    <col min="7712" max="7712" width="4.7109375" style="30" customWidth="1"/>
    <col min="7713" max="7714" width="7.7109375" style="30" customWidth="1"/>
    <col min="7715" max="7715" width="5.7109375" style="30" customWidth="1"/>
    <col min="7716" max="7939" width="9.140625" style="30"/>
    <col min="7940" max="7943" width="4.7109375" style="30" customWidth="1"/>
    <col min="7944" max="7944" width="5.28515625" style="30" customWidth="1"/>
    <col min="7945" max="7945" width="6.28515625" style="30" bestFit="1" customWidth="1"/>
    <col min="7946" max="7946" width="4.7109375" style="30" customWidth="1"/>
    <col min="7947" max="7948" width="7.7109375" style="30" customWidth="1"/>
    <col min="7949" max="7949" width="5.7109375" style="30" customWidth="1"/>
    <col min="7950" max="7950" width="1.7109375" style="30" customWidth="1"/>
    <col min="7951" max="7954" width="4.7109375" style="30" customWidth="1"/>
    <col min="7955" max="7955" width="5.28515625" style="30" customWidth="1"/>
    <col min="7956" max="7956" width="6.28515625" style="30" bestFit="1" customWidth="1"/>
    <col min="7957" max="7957" width="4.7109375" style="30" customWidth="1"/>
    <col min="7958" max="7959" width="7.7109375" style="30" customWidth="1"/>
    <col min="7960" max="7960" width="5.7109375" style="30" customWidth="1"/>
    <col min="7961" max="7961" width="1.7109375" style="30" customWidth="1"/>
    <col min="7962" max="7965" width="4.7109375" style="30" customWidth="1"/>
    <col min="7966" max="7966" width="5.42578125" style="30" customWidth="1"/>
    <col min="7967" max="7967" width="6.28515625" style="30" bestFit="1" customWidth="1"/>
    <col min="7968" max="7968" width="4.7109375" style="30" customWidth="1"/>
    <col min="7969" max="7970" width="7.7109375" style="30" customWidth="1"/>
    <col min="7971" max="7971" width="5.7109375" style="30" customWidth="1"/>
    <col min="7972" max="8195" width="9.140625" style="30"/>
    <col min="8196" max="8199" width="4.7109375" style="30" customWidth="1"/>
    <col min="8200" max="8200" width="5.28515625" style="30" customWidth="1"/>
    <col min="8201" max="8201" width="6.28515625" style="30" bestFit="1" customWidth="1"/>
    <col min="8202" max="8202" width="4.7109375" style="30" customWidth="1"/>
    <col min="8203" max="8204" width="7.7109375" style="30" customWidth="1"/>
    <col min="8205" max="8205" width="5.7109375" style="30" customWidth="1"/>
    <col min="8206" max="8206" width="1.7109375" style="30" customWidth="1"/>
    <col min="8207" max="8210" width="4.7109375" style="30" customWidth="1"/>
    <col min="8211" max="8211" width="5.28515625" style="30" customWidth="1"/>
    <col min="8212" max="8212" width="6.28515625" style="30" bestFit="1" customWidth="1"/>
    <col min="8213" max="8213" width="4.7109375" style="30" customWidth="1"/>
    <col min="8214" max="8215" width="7.7109375" style="30" customWidth="1"/>
    <col min="8216" max="8216" width="5.7109375" style="30" customWidth="1"/>
    <col min="8217" max="8217" width="1.7109375" style="30" customWidth="1"/>
    <col min="8218" max="8221" width="4.7109375" style="30" customWidth="1"/>
    <col min="8222" max="8222" width="5.42578125" style="30" customWidth="1"/>
    <col min="8223" max="8223" width="6.28515625" style="30" bestFit="1" customWidth="1"/>
    <col min="8224" max="8224" width="4.7109375" style="30" customWidth="1"/>
    <col min="8225" max="8226" width="7.7109375" style="30" customWidth="1"/>
    <col min="8227" max="8227" width="5.7109375" style="30" customWidth="1"/>
    <col min="8228" max="8451" width="9.140625" style="30"/>
    <col min="8452" max="8455" width="4.7109375" style="30" customWidth="1"/>
    <col min="8456" max="8456" width="5.28515625" style="30" customWidth="1"/>
    <col min="8457" max="8457" width="6.28515625" style="30" bestFit="1" customWidth="1"/>
    <col min="8458" max="8458" width="4.7109375" style="30" customWidth="1"/>
    <col min="8459" max="8460" width="7.7109375" style="30" customWidth="1"/>
    <col min="8461" max="8461" width="5.7109375" style="30" customWidth="1"/>
    <col min="8462" max="8462" width="1.7109375" style="30" customWidth="1"/>
    <col min="8463" max="8466" width="4.7109375" style="30" customWidth="1"/>
    <col min="8467" max="8467" width="5.28515625" style="30" customWidth="1"/>
    <col min="8468" max="8468" width="6.28515625" style="30" bestFit="1" customWidth="1"/>
    <col min="8469" max="8469" width="4.7109375" style="30" customWidth="1"/>
    <col min="8470" max="8471" width="7.7109375" style="30" customWidth="1"/>
    <col min="8472" max="8472" width="5.7109375" style="30" customWidth="1"/>
    <col min="8473" max="8473" width="1.7109375" style="30" customWidth="1"/>
    <col min="8474" max="8477" width="4.7109375" style="30" customWidth="1"/>
    <col min="8478" max="8478" width="5.42578125" style="30" customWidth="1"/>
    <col min="8479" max="8479" width="6.28515625" style="30" bestFit="1" customWidth="1"/>
    <col min="8480" max="8480" width="4.7109375" style="30" customWidth="1"/>
    <col min="8481" max="8482" width="7.7109375" style="30" customWidth="1"/>
    <col min="8483" max="8483" width="5.7109375" style="30" customWidth="1"/>
    <col min="8484" max="8707" width="9.140625" style="30"/>
    <col min="8708" max="8711" width="4.7109375" style="30" customWidth="1"/>
    <col min="8712" max="8712" width="5.28515625" style="30" customWidth="1"/>
    <col min="8713" max="8713" width="6.28515625" style="30" bestFit="1" customWidth="1"/>
    <col min="8714" max="8714" width="4.7109375" style="30" customWidth="1"/>
    <col min="8715" max="8716" width="7.7109375" style="30" customWidth="1"/>
    <col min="8717" max="8717" width="5.7109375" style="30" customWidth="1"/>
    <col min="8718" max="8718" width="1.7109375" style="30" customWidth="1"/>
    <col min="8719" max="8722" width="4.7109375" style="30" customWidth="1"/>
    <col min="8723" max="8723" width="5.28515625" style="30" customWidth="1"/>
    <col min="8724" max="8724" width="6.28515625" style="30" bestFit="1" customWidth="1"/>
    <col min="8725" max="8725" width="4.7109375" style="30" customWidth="1"/>
    <col min="8726" max="8727" width="7.7109375" style="30" customWidth="1"/>
    <col min="8728" max="8728" width="5.7109375" style="30" customWidth="1"/>
    <col min="8729" max="8729" width="1.7109375" style="30" customWidth="1"/>
    <col min="8730" max="8733" width="4.7109375" style="30" customWidth="1"/>
    <col min="8734" max="8734" width="5.42578125" style="30" customWidth="1"/>
    <col min="8735" max="8735" width="6.28515625" style="30" bestFit="1" customWidth="1"/>
    <col min="8736" max="8736" width="4.7109375" style="30" customWidth="1"/>
    <col min="8737" max="8738" width="7.7109375" style="30" customWidth="1"/>
    <col min="8739" max="8739" width="5.7109375" style="30" customWidth="1"/>
    <col min="8740" max="8963" width="9.140625" style="30"/>
    <col min="8964" max="8967" width="4.7109375" style="30" customWidth="1"/>
    <col min="8968" max="8968" width="5.28515625" style="30" customWidth="1"/>
    <col min="8969" max="8969" width="6.28515625" style="30" bestFit="1" customWidth="1"/>
    <col min="8970" max="8970" width="4.7109375" style="30" customWidth="1"/>
    <col min="8971" max="8972" width="7.7109375" style="30" customWidth="1"/>
    <col min="8973" max="8973" width="5.7109375" style="30" customWidth="1"/>
    <col min="8974" max="8974" width="1.7109375" style="30" customWidth="1"/>
    <col min="8975" max="8978" width="4.7109375" style="30" customWidth="1"/>
    <col min="8979" max="8979" width="5.28515625" style="30" customWidth="1"/>
    <col min="8980" max="8980" width="6.28515625" style="30" bestFit="1" customWidth="1"/>
    <col min="8981" max="8981" width="4.7109375" style="30" customWidth="1"/>
    <col min="8982" max="8983" width="7.7109375" style="30" customWidth="1"/>
    <col min="8984" max="8984" width="5.7109375" style="30" customWidth="1"/>
    <col min="8985" max="8985" width="1.7109375" style="30" customWidth="1"/>
    <col min="8986" max="8989" width="4.7109375" style="30" customWidth="1"/>
    <col min="8990" max="8990" width="5.42578125" style="30" customWidth="1"/>
    <col min="8991" max="8991" width="6.28515625" style="30" bestFit="1" customWidth="1"/>
    <col min="8992" max="8992" width="4.7109375" style="30" customWidth="1"/>
    <col min="8993" max="8994" width="7.7109375" style="30" customWidth="1"/>
    <col min="8995" max="8995" width="5.7109375" style="30" customWidth="1"/>
    <col min="8996" max="9219" width="9.140625" style="30"/>
    <col min="9220" max="9223" width="4.7109375" style="30" customWidth="1"/>
    <col min="9224" max="9224" width="5.28515625" style="30" customWidth="1"/>
    <col min="9225" max="9225" width="6.28515625" style="30" bestFit="1" customWidth="1"/>
    <col min="9226" max="9226" width="4.7109375" style="30" customWidth="1"/>
    <col min="9227" max="9228" width="7.7109375" style="30" customWidth="1"/>
    <col min="9229" max="9229" width="5.7109375" style="30" customWidth="1"/>
    <col min="9230" max="9230" width="1.7109375" style="30" customWidth="1"/>
    <col min="9231" max="9234" width="4.7109375" style="30" customWidth="1"/>
    <col min="9235" max="9235" width="5.28515625" style="30" customWidth="1"/>
    <col min="9236" max="9236" width="6.28515625" style="30" bestFit="1" customWidth="1"/>
    <col min="9237" max="9237" width="4.7109375" style="30" customWidth="1"/>
    <col min="9238" max="9239" width="7.7109375" style="30" customWidth="1"/>
    <col min="9240" max="9240" width="5.7109375" style="30" customWidth="1"/>
    <col min="9241" max="9241" width="1.7109375" style="30" customWidth="1"/>
    <col min="9242" max="9245" width="4.7109375" style="30" customWidth="1"/>
    <col min="9246" max="9246" width="5.42578125" style="30" customWidth="1"/>
    <col min="9247" max="9247" width="6.28515625" style="30" bestFit="1" customWidth="1"/>
    <col min="9248" max="9248" width="4.7109375" style="30" customWidth="1"/>
    <col min="9249" max="9250" width="7.7109375" style="30" customWidth="1"/>
    <col min="9251" max="9251" width="5.7109375" style="30" customWidth="1"/>
    <col min="9252" max="9475" width="9.140625" style="30"/>
    <col min="9476" max="9479" width="4.7109375" style="30" customWidth="1"/>
    <col min="9480" max="9480" width="5.28515625" style="30" customWidth="1"/>
    <col min="9481" max="9481" width="6.28515625" style="30" bestFit="1" customWidth="1"/>
    <col min="9482" max="9482" width="4.7109375" style="30" customWidth="1"/>
    <col min="9483" max="9484" width="7.7109375" style="30" customWidth="1"/>
    <col min="9485" max="9485" width="5.7109375" style="30" customWidth="1"/>
    <col min="9486" max="9486" width="1.7109375" style="30" customWidth="1"/>
    <col min="9487" max="9490" width="4.7109375" style="30" customWidth="1"/>
    <col min="9491" max="9491" width="5.28515625" style="30" customWidth="1"/>
    <col min="9492" max="9492" width="6.28515625" style="30" bestFit="1" customWidth="1"/>
    <col min="9493" max="9493" width="4.7109375" style="30" customWidth="1"/>
    <col min="9494" max="9495" width="7.7109375" style="30" customWidth="1"/>
    <col min="9496" max="9496" width="5.7109375" style="30" customWidth="1"/>
    <col min="9497" max="9497" width="1.7109375" style="30" customWidth="1"/>
    <col min="9498" max="9501" width="4.7109375" style="30" customWidth="1"/>
    <col min="9502" max="9502" width="5.42578125" style="30" customWidth="1"/>
    <col min="9503" max="9503" width="6.28515625" style="30" bestFit="1" customWidth="1"/>
    <col min="9504" max="9504" width="4.7109375" style="30" customWidth="1"/>
    <col min="9505" max="9506" width="7.7109375" style="30" customWidth="1"/>
    <col min="9507" max="9507" width="5.7109375" style="30" customWidth="1"/>
    <col min="9508" max="9731" width="9.140625" style="30"/>
    <col min="9732" max="9735" width="4.7109375" style="30" customWidth="1"/>
    <col min="9736" max="9736" width="5.28515625" style="30" customWidth="1"/>
    <col min="9737" max="9737" width="6.28515625" style="30" bestFit="1" customWidth="1"/>
    <col min="9738" max="9738" width="4.7109375" style="30" customWidth="1"/>
    <col min="9739" max="9740" width="7.7109375" style="30" customWidth="1"/>
    <col min="9741" max="9741" width="5.7109375" style="30" customWidth="1"/>
    <col min="9742" max="9742" width="1.7109375" style="30" customWidth="1"/>
    <col min="9743" max="9746" width="4.7109375" style="30" customWidth="1"/>
    <col min="9747" max="9747" width="5.28515625" style="30" customWidth="1"/>
    <col min="9748" max="9748" width="6.28515625" style="30" bestFit="1" customWidth="1"/>
    <col min="9749" max="9749" width="4.7109375" style="30" customWidth="1"/>
    <col min="9750" max="9751" width="7.7109375" style="30" customWidth="1"/>
    <col min="9752" max="9752" width="5.7109375" style="30" customWidth="1"/>
    <col min="9753" max="9753" width="1.7109375" style="30" customWidth="1"/>
    <col min="9754" max="9757" width="4.7109375" style="30" customWidth="1"/>
    <col min="9758" max="9758" width="5.42578125" style="30" customWidth="1"/>
    <col min="9759" max="9759" width="6.28515625" style="30" bestFit="1" customWidth="1"/>
    <col min="9760" max="9760" width="4.7109375" style="30" customWidth="1"/>
    <col min="9761" max="9762" width="7.7109375" style="30" customWidth="1"/>
    <col min="9763" max="9763" width="5.7109375" style="30" customWidth="1"/>
    <col min="9764" max="9987" width="9.140625" style="30"/>
    <col min="9988" max="9991" width="4.7109375" style="30" customWidth="1"/>
    <col min="9992" max="9992" width="5.28515625" style="30" customWidth="1"/>
    <col min="9993" max="9993" width="6.28515625" style="30" bestFit="1" customWidth="1"/>
    <col min="9994" max="9994" width="4.7109375" style="30" customWidth="1"/>
    <col min="9995" max="9996" width="7.7109375" style="30" customWidth="1"/>
    <col min="9997" max="9997" width="5.7109375" style="30" customWidth="1"/>
    <col min="9998" max="9998" width="1.7109375" style="30" customWidth="1"/>
    <col min="9999" max="10002" width="4.7109375" style="30" customWidth="1"/>
    <col min="10003" max="10003" width="5.28515625" style="30" customWidth="1"/>
    <col min="10004" max="10004" width="6.28515625" style="30" bestFit="1" customWidth="1"/>
    <col min="10005" max="10005" width="4.7109375" style="30" customWidth="1"/>
    <col min="10006" max="10007" width="7.7109375" style="30" customWidth="1"/>
    <col min="10008" max="10008" width="5.7109375" style="30" customWidth="1"/>
    <col min="10009" max="10009" width="1.7109375" style="30" customWidth="1"/>
    <col min="10010" max="10013" width="4.7109375" style="30" customWidth="1"/>
    <col min="10014" max="10014" width="5.42578125" style="30" customWidth="1"/>
    <col min="10015" max="10015" width="6.28515625" style="30" bestFit="1" customWidth="1"/>
    <col min="10016" max="10016" width="4.7109375" style="30" customWidth="1"/>
    <col min="10017" max="10018" width="7.7109375" style="30" customWidth="1"/>
    <col min="10019" max="10019" width="5.7109375" style="30" customWidth="1"/>
    <col min="10020" max="10243" width="9.140625" style="30"/>
    <col min="10244" max="10247" width="4.7109375" style="30" customWidth="1"/>
    <col min="10248" max="10248" width="5.28515625" style="30" customWidth="1"/>
    <col min="10249" max="10249" width="6.28515625" style="30" bestFit="1" customWidth="1"/>
    <col min="10250" max="10250" width="4.7109375" style="30" customWidth="1"/>
    <col min="10251" max="10252" width="7.7109375" style="30" customWidth="1"/>
    <col min="10253" max="10253" width="5.7109375" style="30" customWidth="1"/>
    <col min="10254" max="10254" width="1.7109375" style="30" customWidth="1"/>
    <col min="10255" max="10258" width="4.7109375" style="30" customWidth="1"/>
    <col min="10259" max="10259" width="5.28515625" style="30" customWidth="1"/>
    <col min="10260" max="10260" width="6.28515625" style="30" bestFit="1" customWidth="1"/>
    <col min="10261" max="10261" width="4.7109375" style="30" customWidth="1"/>
    <col min="10262" max="10263" width="7.7109375" style="30" customWidth="1"/>
    <col min="10264" max="10264" width="5.7109375" style="30" customWidth="1"/>
    <col min="10265" max="10265" width="1.7109375" style="30" customWidth="1"/>
    <col min="10266" max="10269" width="4.7109375" style="30" customWidth="1"/>
    <col min="10270" max="10270" width="5.42578125" style="30" customWidth="1"/>
    <col min="10271" max="10271" width="6.28515625" style="30" bestFit="1" customWidth="1"/>
    <col min="10272" max="10272" width="4.7109375" style="30" customWidth="1"/>
    <col min="10273" max="10274" width="7.7109375" style="30" customWidth="1"/>
    <col min="10275" max="10275" width="5.7109375" style="30" customWidth="1"/>
    <col min="10276" max="10499" width="9.140625" style="30"/>
    <col min="10500" max="10503" width="4.7109375" style="30" customWidth="1"/>
    <col min="10504" max="10504" width="5.28515625" style="30" customWidth="1"/>
    <col min="10505" max="10505" width="6.28515625" style="30" bestFit="1" customWidth="1"/>
    <col min="10506" max="10506" width="4.7109375" style="30" customWidth="1"/>
    <col min="10507" max="10508" width="7.7109375" style="30" customWidth="1"/>
    <col min="10509" max="10509" width="5.7109375" style="30" customWidth="1"/>
    <col min="10510" max="10510" width="1.7109375" style="30" customWidth="1"/>
    <col min="10511" max="10514" width="4.7109375" style="30" customWidth="1"/>
    <col min="10515" max="10515" width="5.28515625" style="30" customWidth="1"/>
    <col min="10516" max="10516" width="6.28515625" style="30" bestFit="1" customWidth="1"/>
    <col min="10517" max="10517" width="4.7109375" style="30" customWidth="1"/>
    <col min="10518" max="10519" width="7.7109375" style="30" customWidth="1"/>
    <col min="10520" max="10520" width="5.7109375" style="30" customWidth="1"/>
    <col min="10521" max="10521" width="1.7109375" style="30" customWidth="1"/>
    <col min="10522" max="10525" width="4.7109375" style="30" customWidth="1"/>
    <col min="10526" max="10526" width="5.42578125" style="30" customWidth="1"/>
    <col min="10527" max="10527" width="6.28515625" style="30" bestFit="1" customWidth="1"/>
    <col min="10528" max="10528" width="4.7109375" style="30" customWidth="1"/>
    <col min="10529" max="10530" width="7.7109375" style="30" customWidth="1"/>
    <col min="10531" max="10531" width="5.7109375" style="30" customWidth="1"/>
    <col min="10532" max="10755" width="9.140625" style="30"/>
    <col min="10756" max="10759" width="4.7109375" style="30" customWidth="1"/>
    <col min="10760" max="10760" width="5.28515625" style="30" customWidth="1"/>
    <col min="10761" max="10761" width="6.28515625" style="30" bestFit="1" customWidth="1"/>
    <col min="10762" max="10762" width="4.7109375" style="30" customWidth="1"/>
    <col min="10763" max="10764" width="7.7109375" style="30" customWidth="1"/>
    <col min="10765" max="10765" width="5.7109375" style="30" customWidth="1"/>
    <col min="10766" max="10766" width="1.7109375" style="30" customWidth="1"/>
    <col min="10767" max="10770" width="4.7109375" style="30" customWidth="1"/>
    <col min="10771" max="10771" width="5.28515625" style="30" customWidth="1"/>
    <col min="10772" max="10772" width="6.28515625" style="30" bestFit="1" customWidth="1"/>
    <col min="10773" max="10773" width="4.7109375" style="30" customWidth="1"/>
    <col min="10774" max="10775" width="7.7109375" style="30" customWidth="1"/>
    <col min="10776" max="10776" width="5.7109375" style="30" customWidth="1"/>
    <col min="10777" max="10777" width="1.7109375" style="30" customWidth="1"/>
    <col min="10778" max="10781" width="4.7109375" style="30" customWidth="1"/>
    <col min="10782" max="10782" width="5.42578125" style="30" customWidth="1"/>
    <col min="10783" max="10783" width="6.28515625" style="30" bestFit="1" customWidth="1"/>
    <col min="10784" max="10784" width="4.7109375" style="30" customWidth="1"/>
    <col min="10785" max="10786" width="7.7109375" style="30" customWidth="1"/>
    <col min="10787" max="10787" width="5.7109375" style="30" customWidth="1"/>
    <col min="10788" max="11011" width="9.140625" style="30"/>
    <col min="11012" max="11015" width="4.7109375" style="30" customWidth="1"/>
    <col min="11016" max="11016" width="5.28515625" style="30" customWidth="1"/>
    <col min="11017" max="11017" width="6.28515625" style="30" bestFit="1" customWidth="1"/>
    <col min="11018" max="11018" width="4.7109375" style="30" customWidth="1"/>
    <col min="11019" max="11020" width="7.7109375" style="30" customWidth="1"/>
    <col min="11021" max="11021" width="5.7109375" style="30" customWidth="1"/>
    <col min="11022" max="11022" width="1.7109375" style="30" customWidth="1"/>
    <col min="11023" max="11026" width="4.7109375" style="30" customWidth="1"/>
    <col min="11027" max="11027" width="5.28515625" style="30" customWidth="1"/>
    <col min="11028" max="11028" width="6.28515625" style="30" bestFit="1" customWidth="1"/>
    <col min="11029" max="11029" width="4.7109375" style="30" customWidth="1"/>
    <col min="11030" max="11031" width="7.7109375" style="30" customWidth="1"/>
    <col min="11032" max="11032" width="5.7109375" style="30" customWidth="1"/>
    <col min="11033" max="11033" width="1.7109375" style="30" customWidth="1"/>
    <col min="11034" max="11037" width="4.7109375" style="30" customWidth="1"/>
    <col min="11038" max="11038" width="5.42578125" style="30" customWidth="1"/>
    <col min="11039" max="11039" width="6.28515625" style="30" bestFit="1" customWidth="1"/>
    <col min="11040" max="11040" width="4.7109375" style="30" customWidth="1"/>
    <col min="11041" max="11042" width="7.7109375" style="30" customWidth="1"/>
    <col min="11043" max="11043" width="5.7109375" style="30" customWidth="1"/>
    <col min="11044" max="11267" width="9.140625" style="30"/>
    <col min="11268" max="11271" width="4.7109375" style="30" customWidth="1"/>
    <col min="11272" max="11272" width="5.28515625" style="30" customWidth="1"/>
    <col min="11273" max="11273" width="6.28515625" style="30" bestFit="1" customWidth="1"/>
    <col min="11274" max="11274" width="4.7109375" style="30" customWidth="1"/>
    <col min="11275" max="11276" width="7.7109375" style="30" customWidth="1"/>
    <col min="11277" max="11277" width="5.7109375" style="30" customWidth="1"/>
    <col min="11278" max="11278" width="1.7109375" style="30" customWidth="1"/>
    <col min="11279" max="11282" width="4.7109375" style="30" customWidth="1"/>
    <col min="11283" max="11283" width="5.28515625" style="30" customWidth="1"/>
    <col min="11284" max="11284" width="6.28515625" style="30" bestFit="1" customWidth="1"/>
    <col min="11285" max="11285" width="4.7109375" style="30" customWidth="1"/>
    <col min="11286" max="11287" width="7.7109375" style="30" customWidth="1"/>
    <col min="11288" max="11288" width="5.7109375" style="30" customWidth="1"/>
    <col min="11289" max="11289" width="1.7109375" style="30" customWidth="1"/>
    <col min="11290" max="11293" width="4.7109375" style="30" customWidth="1"/>
    <col min="11294" max="11294" width="5.42578125" style="30" customWidth="1"/>
    <col min="11295" max="11295" width="6.28515625" style="30" bestFit="1" customWidth="1"/>
    <col min="11296" max="11296" width="4.7109375" style="30" customWidth="1"/>
    <col min="11297" max="11298" width="7.7109375" style="30" customWidth="1"/>
    <col min="11299" max="11299" width="5.7109375" style="30" customWidth="1"/>
    <col min="11300" max="11523" width="9.140625" style="30"/>
    <col min="11524" max="11527" width="4.7109375" style="30" customWidth="1"/>
    <col min="11528" max="11528" width="5.28515625" style="30" customWidth="1"/>
    <col min="11529" max="11529" width="6.28515625" style="30" bestFit="1" customWidth="1"/>
    <col min="11530" max="11530" width="4.7109375" style="30" customWidth="1"/>
    <col min="11531" max="11532" width="7.7109375" style="30" customWidth="1"/>
    <col min="11533" max="11533" width="5.7109375" style="30" customWidth="1"/>
    <col min="11534" max="11534" width="1.7109375" style="30" customWidth="1"/>
    <col min="11535" max="11538" width="4.7109375" style="30" customWidth="1"/>
    <col min="11539" max="11539" width="5.28515625" style="30" customWidth="1"/>
    <col min="11540" max="11540" width="6.28515625" style="30" bestFit="1" customWidth="1"/>
    <col min="11541" max="11541" width="4.7109375" style="30" customWidth="1"/>
    <col min="11542" max="11543" width="7.7109375" style="30" customWidth="1"/>
    <col min="11544" max="11544" width="5.7109375" style="30" customWidth="1"/>
    <col min="11545" max="11545" width="1.7109375" style="30" customWidth="1"/>
    <col min="11546" max="11549" width="4.7109375" style="30" customWidth="1"/>
    <col min="11550" max="11550" width="5.42578125" style="30" customWidth="1"/>
    <col min="11551" max="11551" width="6.28515625" style="30" bestFit="1" customWidth="1"/>
    <col min="11552" max="11552" width="4.7109375" style="30" customWidth="1"/>
    <col min="11553" max="11554" width="7.7109375" style="30" customWidth="1"/>
    <col min="11555" max="11555" width="5.7109375" style="30" customWidth="1"/>
    <col min="11556" max="11779" width="9.140625" style="30"/>
    <col min="11780" max="11783" width="4.7109375" style="30" customWidth="1"/>
    <col min="11784" max="11784" width="5.28515625" style="30" customWidth="1"/>
    <col min="11785" max="11785" width="6.28515625" style="30" bestFit="1" customWidth="1"/>
    <col min="11786" max="11786" width="4.7109375" style="30" customWidth="1"/>
    <col min="11787" max="11788" width="7.7109375" style="30" customWidth="1"/>
    <col min="11789" max="11789" width="5.7109375" style="30" customWidth="1"/>
    <col min="11790" max="11790" width="1.7109375" style="30" customWidth="1"/>
    <col min="11791" max="11794" width="4.7109375" style="30" customWidth="1"/>
    <col min="11795" max="11795" width="5.28515625" style="30" customWidth="1"/>
    <col min="11796" max="11796" width="6.28515625" style="30" bestFit="1" customWidth="1"/>
    <col min="11797" max="11797" width="4.7109375" style="30" customWidth="1"/>
    <col min="11798" max="11799" width="7.7109375" style="30" customWidth="1"/>
    <col min="11800" max="11800" width="5.7109375" style="30" customWidth="1"/>
    <col min="11801" max="11801" width="1.7109375" style="30" customWidth="1"/>
    <col min="11802" max="11805" width="4.7109375" style="30" customWidth="1"/>
    <col min="11806" max="11806" width="5.42578125" style="30" customWidth="1"/>
    <col min="11807" max="11807" width="6.28515625" style="30" bestFit="1" customWidth="1"/>
    <col min="11808" max="11808" width="4.7109375" style="30" customWidth="1"/>
    <col min="11809" max="11810" width="7.7109375" style="30" customWidth="1"/>
    <col min="11811" max="11811" width="5.7109375" style="30" customWidth="1"/>
    <col min="11812" max="12035" width="9.140625" style="30"/>
    <col min="12036" max="12039" width="4.7109375" style="30" customWidth="1"/>
    <col min="12040" max="12040" width="5.28515625" style="30" customWidth="1"/>
    <col min="12041" max="12041" width="6.28515625" style="30" bestFit="1" customWidth="1"/>
    <col min="12042" max="12042" width="4.7109375" style="30" customWidth="1"/>
    <col min="12043" max="12044" width="7.7109375" style="30" customWidth="1"/>
    <col min="12045" max="12045" width="5.7109375" style="30" customWidth="1"/>
    <col min="12046" max="12046" width="1.7109375" style="30" customWidth="1"/>
    <col min="12047" max="12050" width="4.7109375" style="30" customWidth="1"/>
    <col min="12051" max="12051" width="5.28515625" style="30" customWidth="1"/>
    <col min="12052" max="12052" width="6.28515625" style="30" bestFit="1" customWidth="1"/>
    <col min="12053" max="12053" width="4.7109375" style="30" customWidth="1"/>
    <col min="12054" max="12055" width="7.7109375" style="30" customWidth="1"/>
    <col min="12056" max="12056" width="5.7109375" style="30" customWidth="1"/>
    <col min="12057" max="12057" width="1.7109375" style="30" customWidth="1"/>
    <col min="12058" max="12061" width="4.7109375" style="30" customWidth="1"/>
    <col min="12062" max="12062" width="5.42578125" style="30" customWidth="1"/>
    <col min="12063" max="12063" width="6.28515625" style="30" bestFit="1" customWidth="1"/>
    <col min="12064" max="12064" width="4.7109375" style="30" customWidth="1"/>
    <col min="12065" max="12066" width="7.7109375" style="30" customWidth="1"/>
    <col min="12067" max="12067" width="5.7109375" style="30" customWidth="1"/>
    <col min="12068" max="12291" width="9.140625" style="30"/>
    <col min="12292" max="12295" width="4.7109375" style="30" customWidth="1"/>
    <col min="12296" max="12296" width="5.28515625" style="30" customWidth="1"/>
    <col min="12297" max="12297" width="6.28515625" style="30" bestFit="1" customWidth="1"/>
    <col min="12298" max="12298" width="4.7109375" style="30" customWidth="1"/>
    <col min="12299" max="12300" width="7.7109375" style="30" customWidth="1"/>
    <col min="12301" max="12301" width="5.7109375" style="30" customWidth="1"/>
    <col min="12302" max="12302" width="1.7109375" style="30" customWidth="1"/>
    <col min="12303" max="12306" width="4.7109375" style="30" customWidth="1"/>
    <col min="12307" max="12307" width="5.28515625" style="30" customWidth="1"/>
    <col min="12308" max="12308" width="6.28515625" style="30" bestFit="1" customWidth="1"/>
    <col min="12309" max="12309" width="4.7109375" style="30" customWidth="1"/>
    <col min="12310" max="12311" width="7.7109375" style="30" customWidth="1"/>
    <col min="12312" max="12312" width="5.7109375" style="30" customWidth="1"/>
    <col min="12313" max="12313" width="1.7109375" style="30" customWidth="1"/>
    <col min="12314" max="12317" width="4.7109375" style="30" customWidth="1"/>
    <col min="12318" max="12318" width="5.42578125" style="30" customWidth="1"/>
    <col min="12319" max="12319" width="6.28515625" style="30" bestFit="1" customWidth="1"/>
    <col min="12320" max="12320" width="4.7109375" style="30" customWidth="1"/>
    <col min="12321" max="12322" width="7.7109375" style="30" customWidth="1"/>
    <col min="12323" max="12323" width="5.7109375" style="30" customWidth="1"/>
    <col min="12324" max="12547" width="9.140625" style="30"/>
    <col min="12548" max="12551" width="4.7109375" style="30" customWidth="1"/>
    <col min="12552" max="12552" width="5.28515625" style="30" customWidth="1"/>
    <col min="12553" max="12553" width="6.28515625" style="30" bestFit="1" customWidth="1"/>
    <col min="12554" max="12554" width="4.7109375" style="30" customWidth="1"/>
    <col min="12555" max="12556" width="7.7109375" style="30" customWidth="1"/>
    <col min="12557" max="12557" width="5.7109375" style="30" customWidth="1"/>
    <col min="12558" max="12558" width="1.7109375" style="30" customWidth="1"/>
    <col min="12559" max="12562" width="4.7109375" style="30" customWidth="1"/>
    <col min="12563" max="12563" width="5.28515625" style="30" customWidth="1"/>
    <col min="12564" max="12564" width="6.28515625" style="30" bestFit="1" customWidth="1"/>
    <col min="12565" max="12565" width="4.7109375" style="30" customWidth="1"/>
    <col min="12566" max="12567" width="7.7109375" style="30" customWidth="1"/>
    <col min="12568" max="12568" width="5.7109375" style="30" customWidth="1"/>
    <col min="12569" max="12569" width="1.7109375" style="30" customWidth="1"/>
    <col min="12570" max="12573" width="4.7109375" style="30" customWidth="1"/>
    <col min="12574" max="12574" width="5.42578125" style="30" customWidth="1"/>
    <col min="12575" max="12575" width="6.28515625" style="30" bestFit="1" customWidth="1"/>
    <col min="12576" max="12576" width="4.7109375" style="30" customWidth="1"/>
    <col min="12577" max="12578" width="7.7109375" style="30" customWidth="1"/>
    <col min="12579" max="12579" width="5.7109375" style="30" customWidth="1"/>
    <col min="12580" max="12803" width="9.140625" style="30"/>
    <col min="12804" max="12807" width="4.7109375" style="30" customWidth="1"/>
    <col min="12808" max="12808" width="5.28515625" style="30" customWidth="1"/>
    <col min="12809" max="12809" width="6.28515625" style="30" bestFit="1" customWidth="1"/>
    <col min="12810" max="12810" width="4.7109375" style="30" customWidth="1"/>
    <col min="12811" max="12812" width="7.7109375" style="30" customWidth="1"/>
    <col min="12813" max="12813" width="5.7109375" style="30" customWidth="1"/>
    <col min="12814" max="12814" width="1.7109375" style="30" customWidth="1"/>
    <col min="12815" max="12818" width="4.7109375" style="30" customWidth="1"/>
    <col min="12819" max="12819" width="5.28515625" style="30" customWidth="1"/>
    <col min="12820" max="12820" width="6.28515625" style="30" bestFit="1" customWidth="1"/>
    <col min="12821" max="12821" width="4.7109375" style="30" customWidth="1"/>
    <col min="12822" max="12823" width="7.7109375" style="30" customWidth="1"/>
    <col min="12824" max="12824" width="5.7109375" style="30" customWidth="1"/>
    <col min="12825" max="12825" width="1.7109375" style="30" customWidth="1"/>
    <col min="12826" max="12829" width="4.7109375" style="30" customWidth="1"/>
    <col min="12830" max="12830" width="5.42578125" style="30" customWidth="1"/>
    <col min="12831" max="12831" width="6.28515625" style="30" bestFit="1" customWidth="1"/>
    <col min="12832" max="12832" width="4.7109375" style="30" customWidth="1"/>
    <col min="12833" max="12834" width="7.7109375" style="30" customWidth="1"/>
    <col min="12835" max="12835" width="5.7109375" style="30" customWidth="1"/>
    <col min="12836" max="13059" width="9.140625" style="30"/>
    <col min="13060" max="13063" width="4.7109375" style="30" customWidth="1"/>
    <col min="13064" max="13064" width="5.28515625" style="30" customWidth="1"/>
    <col min="13065" max="13065" width="6.28515625" style="30" bestFit="1" customWidth="1"/>
    <col min="13066" max="13066" width="4.7109375" style="30" customWidth="1"/>
    <col min="13067" max="13068" width="7.7109375" style="30" customWidth="1"/>
    <col min="13069" max="13069" width="5.7109375" style="30" customWidth="1"/>
    <col min="13070" max="13070" width="1.7109375" style="30" customWidth="1"/>
    <col min="13071" max="13074" width="4.7109375" style="30" customWidth="1"/>
    <col min="13075" max="13075" width="5.28515625" style="30" customWidth="1"/>
    <col min="13076" max="13076" width="6.28515625" style="30" bestFit="1" customWidth="1"/>
    <col min="13077" max="13077" width="4.7109375" style="30" customWidth="1"/>
    <col min="13078" max="13079" width="7.7109375" style="30" customWidth="1"/>
    <col min="13080" max="13080" width="5.7109375" style="30" customWidth="1"/>
    <col min="13081" max="13081" width="1.7109375" style="30" customWidth="1"/>
    <col min="13082" max="13085" width="4.7109375" style="30" customWidth="1"/>
    <col min="13086" max="13086" width="5.42578125" style="30" customWidth="1"/>
    <col min="13087" max="13087" width="6.28515625" style="30" bestFit="1" customWidth="1"/>
    <col min="13088" max="13088" width="4.7109375" style="30" customWidth="1"/>
    <col min="13089" max="13090" width="7.7109375" style="30" customWidth="1"/>
    <col min="13091" max="13091" width="5.7109375" style="30" customWidth="1"/>
    <col min="13092" max="13315" width="9.140625" style="30"/>
    <col min="13316" max="13319" width="4.7109375" style="30" customWidth="1"/>
    <col min="13320" max="13320" width="5.28515625" style="30" customWidth="1"/>
    <col min="13321" max="13321" width="6.28515625" style="30" bestFit="1" customWidth="1"/>
    <col min="13322" max="13322" width="4.7109375" style="30" customWidth="1"/>
    <col min="13323" max="13324" width="7.7109375" style="30" customWidth="1"/>
    <col min="13325" max="13325" width="5.7109375" style="30" customWidth="1"/>
    <col min="13326" max="13326" width="1.7109375" style="30" customWidth="1"/>
    <col min="13327" max="13330" width="4.7109375" style="30" customWidth="1"/>
    <col min="13331" max="13331" width="5.28515625" style="30" customWidth="1"/>
    <col min="13332" max="13332" width="6.28515625" style="30" bestFit="1" customWidth="1"/>
    <col min="13333" max="13333" width="4.7109375" style="30" customWidth="1"/>
    <col min="13334" max="13335" width="7.7109375" style="30" customWidth="1"/>
    <col min="13336" max="13336" width="5.7109375" style="30" customWidth="1"/>
    <col min="13337" max="13337" width="1.7109375" style="30" customWidth="1"/>
    <col min="13338" max="13341" width="4.7109375" style="30" customWidth="1"/>
    <col min="13342" max="13342" width="5.42578125" style="30" customWidth="1"/>
    <col min="13343" max="13343" width="6.28515625" style="30" bestFit="1" customWidth="1"/>
    <col min="13344" max="13344" width="4.7109375" style="30" customWidth="1"/>
    <col min="13345" max="13346" width="7.7109375" style="30" customWidth="1"/>
    <col min="13347" max="13347" width="5.7109375" style="30" customWidth="1"/>
    <col min="13348" max="13571" width="9.140625" style="30"/>
    <col min="13572" max="13575" width="4.7109375" style="30" customWidth="1"/>
    <col min="13576" max="13576" width="5.28515625" style="30" customWidth="1"/>
    <col min="13577" max="13577" width="6.28515625" style="30" bestFit="1" customWidth="1"/>
    <col min="13578" max="13578" width="4.7109375" style="30" customWidth="1"/>
    <col min="13579" max="13580" width="7.7109375" style="30" customWidth="1"/>
    <col min="13581" max="13581" width="5.7109375" style="30" customWidth="1"/>
    <col min="13582" max="13582" width="1.7109375" style="30" customWidth="1"/>
    <col min="13583" max="13586" width="4.7109375" style="30" customWidth="1"/>
    <col min="13587" max="13587" width="5.28515625" style="30" customWidth="1"/>
    <col min="13588" max="13588" width="6.28515625" style="30" bestFit="1" customWidth="1"/>
    <col min="13589" max="13589" width="4.7109375" style="30" customWidth="1"/>
    <col min="13590" max="13591" width="7.7109375" style="30" customWidth="1"/>
    <col min="13592" max="13592" width="5.7109375" style="30" customWidth="1"/>
    <col min="13593" max="13593" width="1.7109375" style="30" customWidth="1"/>
    <col min="13594" max="13597" width="4.7109375" style="30" customWidth="1"/>
    <col min="13598" max="13598" width="5.42578125" style="30" customWidth="1"/>
    <col min="13599" max="13599" width="6.28515625" style="30" bestFit="1" customWidth="1"/>
    <col min="13600" max="13600" width="4.7109375" style="30" customWidth="1"/>
    <col min="13601" max="13602" width="7.7109375" style="30" customWidth="1"/>
    <col min="13603" max="13603" width="5.7109375" style="30" customWidth="1"/>
    <col min="13604" max="13827" width="9.140625" style="30"/>
    <col min="13828" max="13831" width="4.7109375" style="30" customWidth="1"/>
    <col min="13832" max="13832" width="5.28515625" style="30" customWidth="1"/>
    <col min="13833" max="13833" width="6.28515625" style="30" bestFit="1" customWidth="1"/>
    <col min="13834" max="13834" width="4.7109375" style="30" customWidth="1"/>
    <col min="13835" max="13836" width="7.7109375" style="30" customWidth="1"/>
    <col min="13837" max="13837" width="5.7109375" style="30" customWidth="1"/>
    <col min="13838" max="13838" width="1.7109375" style="30" customWidth="1"/>
    <col min="13839" max="13842" width="4.7109375" style="30" customWidth="1"/>
    <col min="13843" max="13843" width="5.28515625" style="30" customWidth="1"/>
    <col min="13844" max="13844" width="6.28515625" style="30" bestFit="1" customWidth="1"/>
    <col min="13845" max="13845" width="4.7109375" style="30" customWidth="1"/>
    <col min="13846" max="13847" width="7.7109375" style="30" customWidth="1"/>
    <col min="13848" max="13848" width="5.7109375" style="30" customWidth="1"/>
    <col min="13849" max="13849" width="1.7109375" style="30" customWidth="1"/>
    <col min="13850" max="13853" width="4.7109375" style="30" customWidth="1"/>
    <col min="13854" max="13854" width="5.42578125" style="30" customWidth="1"/>
    <col min="13855" max="13855" width="6.28515625" style="30" bestFit="1" customWidth="1"/>
    <col min="13856" max="13856" width="4.7109375" style="30" customWidth="1"/>
    <col min="13857" max="13858" width="7.7109375" style="30" customWidth="1"/>
    <col min="13859" max="13859" width="5.7109375" style="30" customWidth="1"/>
    <col min="13860" max="14083" width="9.140625" style="30"/>
    <col min="14084" max="14087" width="4.7109375" style="30" customWidth="1"/>
    <col min="14088" max="14088" width="5.28515625" style="30" customWidth="1"/>
    <col min="14089" max="14089" width="6.28515625" style="30" bestFit="1" customWidth="1"/>
    <col min="14090" max="14090" width="4.7109375" style="30" customWidth="1"/>
    <col min="14091" max="14092" width="7.7109375" style="30" customWidth="1"/>
    <col min="14093" max="14093" width="5.7109375" style="30" customWidth="1"/>
    <col min="14094" max="14094" width="1.7109375" style="30" customWidth="1"/>
    <col min="14095" max="14098" width="4.7109375" style="30" customWidth="1"/>
    <col min="14099" max="14099" width="5.28515625" style="30" customWidth="1"/>
    <col min="14100" max="14100" width="6.28515625" style="30" bestFit="1" customWidth="1"/>
    <col min="14101" max="14101" width="4.7109375" style="30" customWidth="1"/>
    <col min="14102" max="14103" width="7.7109375" style="30" customWidth="1"/>
    <col min="14104" max="14104" width="5.7109375" style="30" customWidth="1"/>
    <col min="14105" max="14105" width="1.7109375" style="30" customWidth="1"/>
    <col min="14106" max="14109" width="4.7109375" style="30" customWidth="1"/>
    <col min="14110" max="14110" width="5.42578125" style="30" customWidth="1"/>
    <col min="14111" max="14111" width="6.28515625" style="30" bestFit="1" customWidth="1"/>
    <col min="14112" max="14112" width="4.7109375" style="30" customWidth="1"/>
    <col min="14113" max="14114" width="7.7109375" style="30" customWidth="1"/>
    <col min="14115" max="14115" width="5.7109375" style="30" customWidth="1"/>
    <col min="14116" max="14339" width="9.140625" style="30"/>
    <col min="14340" max="14343" width="4.7109375" style="30" customWidth="1"/>
    <col min="14344" max="14344" width="5.28515625" style="30" customWidth="1"/>
    <col min="14345" max="14345" width="6.28515625" style="30" bestFit="1" customWidth="1"/>
    <col min="14346" max="14346" width="4.7109375" style="30" customWidth="1"/>
    <col min="14347" max="14348" width="7.7109375" style="30" customWidth="1"/>
    <col min="14349" max="14349" width="5.7109375" style="30" customWidth="1"/>
    <col min="14350" max="14350" width="1.7109375" style="30" customWidth="1"/>
    <col min="14351" max="14354" width="4.7109375" style="30" customWidth="1"/>
    <col min="14355" max="14355" width="5.28515625" style="30" customWidth="1"/>
    <col min="14356" max="14356" width="6.28515625" style="30" bestFit="1" customWidth="1"/>
    <col min="14357" max="14357" width="4.7109375" style="30" customWidth="1"/>
    <col min="14358" max="14359" width="7.7109375" style="30" customWidth="1"/>
    <col min="14360" max="14360" width="5.7109375" style="30" customWidth="1"/>
    <col min="14361" max="14361" width="1.7109375" style="30" customWidth="1"/>
    <col min="14362" max="14365" width="4.7109375" style="30" customWidth="1"/>
    <col min="14366" max="14366" width="5.42578125" style="30" customWidth="1"/>
    <col min="14367" max="14367" width="6.28515625" style="30" bestFit="1" customWidth="1"/>
    <col min="14368" max="14368" width="4.7109375" style="30" customWidth="1"/>
    <col min="14369" max="14370" width="7.7109375" style="30" customWidth="1"/>
    <col min="14371" max="14371" width="5.7109375" style="30" customWidth="1"/>
    <col min="14372" max="14595" width="9.140625" style="30"/>
    <col min="14596" max="14599" width="4.7109375" style="30" customWidth="1"/>
    <col min="14600" max="14600" width="5.28515625" style="30" customWidth="1"/>
    <col min="14601" max="14601" width="6.28515625" style="30" bestFit="1" customWidth="1"/>
    <col min="14602" max="14602" width="4.7109375" style="30" customWidth="1"/>
    <col min="14603" max="14604" width="7.7109375" style="30" customWidth="1"/>
    <col min="14605" max="14605" width="5.7109375" style="30" customWidth="1"/>
    <col min="14606" max="14606" width="1.7109375" style="30" customWidth="1"/>
    <col min="14607" max="14610" width="4.7109375" style="30" customWidth="1"/>
    <col min="14611" max="14611" width="5.28515625" style="30" customWidth="1"/>
    <col min="14612" max="14612" width="6.28515625" style="30" bestFit="1" customWidth="1"/>
    <col min="14613" max="14613" width="4.7109375" style="30" customWidth="1"/>
    <col min="14614" max="14615" width="7.7109375" style="30" customWidth="1"/>
    <col min="14616" max="14616" width="5.7109375" style="30" customWidth="1"/>
    <col min="14617" max="14617" width="1.7109375" style="30" customWidth="1"/>
    <col min="14618" max="14621" width="4.7109375" style="30" customWidth="1"/>
    <col min="14622" max="14622" width="5.42578125" style="30" customWidth="1"/>
    <col min="14623" max="14623" width="6.28515625" style="30" bestFit="1" customWidth="1"/>
    <col min="14624" max="14624" width="4.7109375" style="30" customWidth="1"/>
    <col min="14625" max="14626" width="7.7109375" style="30" customWidth="1"/>
    <col min="14627" max="14627" width="5.7109375" style="30" customWidth="1"/>
    <col min="14628" max="14851" width="9.140625" style="30"/>
    <col min="14852" max="14855" width="4.7109375" style="30" customWidth="1"/>
    <col min="14856" max="14856" width="5.28515625" style="30" customWidth="1"/>
    <col min="14857" max="14857" width="6.28515625" style="30" bestFit="1" customWidth="1"/>
    <col min="14858" max="14858" width="4.7109375" style="30" customWidth="1"/>
    <col min="14859" max="14860" width="7.7109375" style="30" customWidth="1"/>
    <col min="14861" max="14861" width="5.7109375" style="30" customWidth="1"/>
    <col min="14862" max="14862" width="1.7109375" style="30" customWidth="1"/>
    <col min="14863" max="14866" width="4.7109375" style="30" customWidth="1"/>
    <col min="14867" max="14867" width="5.28515625" style="30" customWidth="1"/>
    <col min="14868" max="14868" width="6.28515625" style="30" bestFit="1" customWidth="1"/>
    <col min="14869" max="14869" width="4.7109375" style="30" customWidth="1"/>
    <col min="14870" max="14871" width="7.7109375" style="30" customWidth="1"/>
    <col min="14872" max="14872" width="5.7109375" style="30" customWidth="1"/>
    <col min="14873" max="14873" width="1.7109375" style="30" customWidth="1"/>
    <col min="14874" max="14877" width="4.7109375" style="30" customWidth="1"/>
    <col min="14878" max="14878" width="5.42578125" style="30" customWidth="1"/>
    <col min="14879" max="14879" width="6.28515625" style="30" bestFit="1" customWidth="1"/>
    <col min="14880" max="14880" width="4.7109375" style="30" customWidth="1"/>
    <col min="14881" max="14882" width="7.7109375" style="30" customWidth="1"/>
    <col min="14883" max="14883" width="5.7109375" style="30" customWidth="1"/>
    <col min="14884" max="15107" width="9.140625" style="30"/>
    <col min="15108" max="15111" width="4.7109375" style="30" customWidth="1"/>
    <col min="15112" max="15112" width="5.28515625" style="30" customWidth="1"/>
    <col min="15113" max="15113" width="6.28515625" style="30" bestFit="1" customWidth="1"/>
    <col min="15114" max="15114" width="4.7109375" style="30" customWidth="1"/>
    <col min="15115" max="15116" width="7.7109375" style="30" customWidth="1"/>
    <col min="15117" max="15117" width="5.7109375" style="30" customWidth="1"/>
    <col min="15118" max="15118" width="1.7109375" style="30" customWidth="1"/>
    <col min="15119" max="15122" width="4.7109375" style="30" customWidth="1"/>
    <col min="15123" max="15123" width="5.28515625" style="30" customWidth="1"/>
    <col min="15124" max="15124" width="6.28515625" style="30" bestFit="1" customWidth="1"/>
    <col min="15125" max="15125" width="4.7109375" style="30" customWidth="1"/>
    <col min="15126" max="15127" width="7.7109375" style="30" customWidth="1"/>
    <col min="15128" max="15128" width="5.7109375" style="30" customWidth="1"/>
    <col min="15129" max="15129" width="1.7109375" style="30" customWidth="1"/>
    <col min="15130" max="15133" width="4.7109375" style="30" customWidth="1"/>
    <col min="15134" max="15134" width="5.42578125" style="30" customWidth="1"/>
    <col min="15135" max="15135" width="6.28515625" style="30" bestFit="1" customWidth="1"/>
    <col min="15136" max="15136" width="4.7109375" style="30" customWidth="1"/>
    <col min="15137" max="15138" width="7.7109375" style="30" customWidth="1"/>
    <col min="15139" max="15139" width="5.7109375" style="30" customWidth="1"/>
    <col min="15140" max="15363" width="9.140625" style="30"/>
    <col min="15364" max="15367" width="4.7109375" style="30" customWidth="1"/>
    <col min="15368" max="15368" width="5.28515625" style="30" customWidth="1"/>
    <col min="15369" max="15369" width="6.28515625" style="30" bestFit="1" customWidth="1"/>
    <col min="15370" max="15370" width="4.7109375" style="30" customWidth="1"/>
    <col min="15371" max="15372" width="7.7109375" style="30" customWidth="1"/>
    <col min="15373" max="15373" width="5.7109375" style="30" customWidth="1"/>
    <col min="15374" max="15374" width="1.7109375" style="30" customWidth="1"/>
    <col min="15375" max="15378" width="4.7109375" style="30" customWidth="1"/>
    <col min="15379" max="15379" width="5.28515625" style="30" customWidth="1"/>
    <col min="15380" max="15380" width="6.28515625" style="30" bestFit="1" customWidth="1"/>
    <col min="15381" max="15381" width="4.7109375" style="30" customWidth="1"/>
    <col min="15382" max="15383" width="7.7109375" style="30" customWidth="1"/>
    <col min="15384" max="15384" width="5.7109375" style="30" customWidth="1"/>
    <col min="15385" max="15385" width="1.7109375" style="30" customWidth="1"/>
    <col min="15386" max="15389" width="4.7109375" style="30" customWidth="1"/>
    <col min="15390" max="15390" width="5.42578125" style="30" customWidth="1"/>
    <col min="15391" max="15391" width="6.28515625" style="30" bestFit="1" customWidth="1"/>
    <col min="15392" max="15392" width="4.7109375" style="30" customWidth="1"/>
    <col min="15393" max="15394" width="7.7109375" style="30" customWidth="1"/>
    <col min="15395" max="15395" width="5.7109375" style="30" customWidth="1"/>
    <col min="15396" max="15619" width="9.140625" style="30"/>
    <col min="15620" max="15623" width="4.7109375" style="30" customWidth="1"/>
    <col min="15624" max="15624" width="5.28515625" style="30" customWidth="1"/>
    <col min="15625" max="15625" width="6.28515625" style="30" bestFit="1" customWidth="1"/>
    <col min="15626" max="15626" width="4.7109375" style="30" customWidth="1"/>
    <col min="15627" max="15628" width="7.7109375" style="30" customWidth="1"/>
    <col min="15629" max="15629" width="5.7109375" style="30" customWidth="1"/>
    <col min="15630" max="15630" width="1.7109375" style="30" customWidth="1"/>
    <col min="15631" max="15634" width="4.7109375" style="30" customWidth="1"/>
    <col min="15635" max="15635" width="5.28515625" style="30" customWidth="1"/>
    <col min="15636" max="15636" width="6.28515625" style="30" bestFit="1" customWidth="1"/>
    <col min="15637" max="15637" width="4.7109375" style="30" customWidth="1"/>
    <col min="15638" max="15639" width="7.7109375" style="30" customWidth="1"/>
    <col min="15640" max="15640" width="5.7109375" style="30" customWidth="1"/>
    <col min="15641" max="15641" width="1.7109375" style="30" customWidth="1"/>
    <col min="15642" max="15645" width="4.7109375" style="30" customWidth="1"/>
    <col min="15646" max="15646" width="5.42578125" style="30" customWidth="1"/>
    <col min="15647" max="15647" width="6.28515625" style="30" bestFit="1" customWidth="1"/>
    <col min="15648" max="15648" width="4.7109375" style="30" customWidth="1"/>
    <col min="15649" max="15650" width="7.7109375" style="30" customWidth="1"/>
    <col min="15651" max="15651" width="5.7109375" style="30" customWidth="1"/>
    <col min="15652" max="15875" width="9.140625" style="30"/>
    <col min="15876" max="15879" width="4.7109375" style="30" customWidth="1"/>
    <col min="15880" max="15880" width="5.28515625" style="30" customWidth="1"/>
    <col min="15881" max="15881" width="6.28515625" style="30" bestFit="1" customWidth="1"/>
    <col min="15882" max="15882" width="4.7109375" style="30" customWidth="1"/>
    <col min="15883" max="15884" width="7.7109375" style="30" customWidth="1"/>
    <col min="15885" max="15885" width="5.7109375" style="30" customWidth="1"/>
    <col min="15886" max="15886" width="1.7109375" style="30" customWidth="1"/>
    <col min="15887" max="15890" width="4.7109375" style="30" customWidth="1"/>
    <col min="15891" max="15891" width="5.28515625" style="30" customWidth="1"/>
    <col min="15892" max="15892" width="6.28515625" style="30" bestFit="1" customWidth="1"/>
    <col min="15893" max="15893" width="4.7109375" style="30" customWidth="1"/>
    <col min="15894" max="15895" width="7.7109375" style="30" customWidth="1"/>
    <col min="15896" max="15896" width="5.7109375" style="30" customWidth="1"/>
    <col min="15897" max="15897" width="1.7109375" style="30" customWidth="1"/>
    <col min="15898" max="15901" width="4.7109375" style="30" customWidth="1"/>
    <col min="15902" max="15902" width="5.42578125" style="30" customWidth="1"/>
    <col min="15903" max="15903" width="6.28515625" style="30" bestFit="1" customWidth="1"/>
    <col min="15904" max="15904" width="4.7109375" style="30" customWidth="1"/>
    <col min="15905" max="15906" width="7.7109375" style="30" customWidth="1"/>
    <col min="15907" max="15907" width="5.7109375" style="30" customWidth="1"/>
    <col min="15908" max="16131" width="9.140625" style="30"/>
    <col min="16132" max="16135" width="4.7109375" style="30" customWidth="1"/>
    <col min="16136" max="16136" width="5.28515625" style="30" customWidth="1"/>
    <col min="16137" max="16137" width="6.28515625" style="30" bestFit="1" customWidth="1"/>
    <col min="16138" max="16138" width="4.7109375" style="30" customWidth="1"/>
    <col min="16139" max="16140" width="7.7109375" style="30" customWidth="1"/>
    <col min="16141" max="16141" width="5.7109375" style="30" customWidth="1"/>
    <col min="16142" max="16142" width="1.7109375" style="30" customWidth="1"/>
    <col min="16143" max="16146" width="4.7109375" style="30" customWidth="1"/>
    <col min="16147" max="16147" width="5.28515625" style="30" customWidth="1"/>
    <col min="16148" max="16148" width="6.28515625" style="30" bestFit="1" customWidth="1"/>
    <col min="16149" max="16149" width="4.7109375" style="30" customWidth="1"/>
    <col min="16150" max="16151" width="7.7109375" style="30" customWidth="1"/>
    <col min="16152" max="16152" width="5.7109375" style="30" customWidth="1"/>
    <col min="16153" max="16153" width="1.7109375" style="30" customWidth="1"/>
    <col min="16154" max="16157" width="4.7109375" style="30" customWidth="1"/>
    <col min="16158" max="16158" width="5.42578125" style="30" customWidth="1"/>
    <col min="16159" max="16159" width="6.28515625" style="30" bestFit="1" customWidth="1"/>
    <col min="16160" max="16160" width="4.7109375" style="30" customWidth="1"/>
    <col min="16161" max="16162" width="7.7109375" style="30" customWidth="1"/>
    <col min="16163" max="16163" width="5.7109375" style="30" customWidth="1"/>
    <col min="16164" max="16384" width="9.140625" style="30"/>
  </cols>
  <sheetData>
    <row r="1" spans="1:35" ht="21.95" customHeight="1" x14ac:dyDescent="0.35">
      <c r="A1" s="31"/>
      <c r="B1" s="32"/>
      <c r="C1" s="32"/>
      <c r="D1" s="32"/>
      <c r="E1" s="32"/>
      <c r="F1" s="32"/>
      <c r="G1" s="32"/>
      <c r="H1" s="32"/>
      <c r="I1" s="32"/>
      <c r="J1" s="32"/>
      <c r="K1" s="32"/>
      <c r="L1" s="513"/>
      <c r="M1" s="514"/>
      <c r="N1" s="514"/>
      <c r="O1" s="514"/>
      <c r="P1" s="514"/>
      <c r="Q1" s="514"/>
      <c r="R1" s="514"/>
      <c r="S1" s="514"/>
      <c r="T1" s="514"/>
      <c r="U1" s="514"/>
      <c r="V1" s="514"/>
      <c r="W1" s="514"/>
      <c r="X1" s="514"/>
      <c r="Y1" s="32"/>
      <c r="Z1" s="32"/>
      <c r="AA1" s="33"/>
      <c r="AB1" s="515"/>
      <c r="AC1" s="515"/>
      <c r="AD1" s="515"/>
      <c r="AE1" s="515"/>
      <c r="AF1" s="515"/>
      <c r="AG1" s="515"/>
      <c r="AH1" s="515"/>
      <c r="AI1" s="516"/>
    </row>
    <row r="2" spans="1:35" ht="21.95" customHeight="1" x14ac:dyDescent="0.3">
      <c r="A2" s="533" t="s">
        <v>58</v>
      </c>
      <c r="B2" s="534"/>
      <c r="C2" s="534"/>
      <c r="D2" s="534"/>
      <c r="E2" s="117"/>
      <c r="F2" s="34"/>
      <c r="G2" s="34"/>
      <c r="H2" s="34"/>
      <c r="I2" s="34"/>
      <c r="J2" s="34"/>
      <c r="K2" s="34"/>
      <c r="L2" s="517" t="s">
        <v>6</v>
      </c>
      <c r="M2" s="518"/>
      <c r="N2" s="518"/>
      <c r="O2" s="518"/>
      <c r="P2" s="518"/>
      <c r="Q2" s="518"/>
      <c r="R2" s="518"/>
      <c r="S2" s="518"/>
      <c r="T2" s="518"/>
      <c r="U2" s="518"/>
      <c r="V2" s="518"/>
      <c r="W2" s="518"/>
      <c r="X2" s="518"/>
      <c r="Y2" s="34"/>
      <c r="Z2" s="34"/>
      <c r="AA2" s="35" t="s">
        <v>7</v>
      </c>
      <c r="AB2" s="519">
        <f>TS!W74</f>
        <v>0</v>
      </c>
      <c r="AC2" s="519"/>
      <c r="AD2" s="519"/>
      <c r="AE2" s="519"/>
      <c r="AF2" s="519"/>
      <c r="AG2" s="519"/>
      <c r="AH2" s="519"/>
      <c r="AI2" s="520"/>
    </row>
    <row r="3" spans="1:35" ht="21.95" customHeight="1" x14ac:dyDescent="0.3">
      <c r="A3" s="36"/>
      <c r="B3" s="37"/>
      <c r="C3" s="37"/>
      <c r="D3" s="37"/>
      <c r="E3" s="37"/>
      <c r="F3" s="37"/>
      <c r="G3" s="37"/>
      <c r="H3" s="531" t="s">
        <v>24</v>
      </c>
      <c r="I3" s="531"/>
      <c r="J3" s="531"/>
      <c r="K3" s="531"/>
      <c r="L3" s="532" t="s">
        <v>21</v>
      </c>
      <c r="M3" s="532"/>
      <c r="N3" s="532"/>
      <c r="O3" s="532"/>
      <c r="P3" s="532"/>
      <c r="Q3" s="532"/>
      <c r="R3" s="532"/>
      <c r="S3" s="532"/>
      <c r="T3" s="532"/>
      <c r="U3" s="532"/>
      <c r="V3" s="532"/>
      <c r="W3" s="532"/>
      <c r="X3" s="532"/>
      <c r="Y3" s="37"/>
      <c r="Z3" s="37"/>
      <c r="AA3" s="37"/>
      <c r="AB3" s="37"/>
      <c r="AC3" s="37"/>
      <c r="AD3" s="37"/>
      <c r="AE3" s="37"/>
      <c r="AF3" s="37"/>
      <c r="AG3" s="521" t="s">
        <v>22</v>
      </c>
      <c r="AH3" s="521"/>
      <c r="AI3" s="38"/>
    </row>
    <row r="4" spans="1:35" ht="21.95" customHeight="1" x14ac:dyDescent="0.3">
      <c r="A4" s="50" t="s">
        <v>8</v>
      </c>
      <c r="B4" s="50" t="s">
        <v>9</v>
      </c>
      <c r="C4" s="50" t="s">
        <v>9</v>
      </c>
      <c r="D4" s="50" t="s">
        <v>10</v>
      </c>
      <c r="E4" s="50" t="s">
        <v>70</v>
      </c>
      <c r="F4" s="50" t="s">
        <v>11</v>
      </c>
      <c r="G4" s="50" t="s">
        <v>12</v>
      </c>
      <c r="H4" s="50" t="s">
        <v>13</v>
      </c>
      <c r="I4" s="50" t="s">
        <v>14</v>
      </c>
      <c r="J4" s="50" t="s">
        <v>15</v>
      </c>
      <c r="K4" s="50" t="s">
        <v>16</v>
      </c>
      <c r="L4" s="51"/>
      <c r="M4" s="50" t="s">
        <v>8</v>
      </c>
      <c r="N4" s="50" t="s">
        <v>9</v>
      </c>
      <c r="O4" s="50" t="s">
        <v>9</v>
      </c>
      <c r="P4" s="50" t="s">
        <v>10</v>
      </c>
      <c r="Q4" s="50" t="s">
        <v>70</v>
      </c>
      <c r="R4" s="50" t="s">
        <v>11</v>
      </c>
      <c r="S4" s="50" t="s">
        <v>12</v>
      </c>
      <c r="T4" s="50" t="s">
        <v>13</v>
      </c>
      <c r="U4" s="50" t="s">
        <v>14</v>
      </c>
      <c r="V4" s="50" t="s">
        <v>15</v>
      </c>
      <c r="W4" s="50" t="s">
        <v>16</v>
      </c>
      <c r="X4" s="51"/>
      <c r="Y4" s="50" t="s">
        <v>8</v>
      </c>
      <c r="Z4" s="50" t="s">
        <v>9</v>
      </c>
      <c r="AA4" s="50" t="s">
        <v>9</v>
      </c>
      <c r="AB4" s="50" t="s">
        <v>10</v>
      </c>
      <c r="AC4" s="50" t="s">
        <v>70</v>
      </c>
      <c r="AD4" s="50" t="s">
        <v>11</v>
      </c>
      <c r="AE4" s="50" t="s">
        <v>12</v>
      </c>
      <c r="AF4" s="50" t="s">
        <v>13</v>
      </c>
      <c r="AG4" s="50" t="s">
        <v>14</v>
      </c>
      <c r="AH4" s="50" t="s">
        <v>15</v>
      </c>
      <c r="AI4" s="50" t="s">
        <v>16</v>
      </c>
    </row>
    <row r="5" spans="1:35" ht="21.95" customHeight="1" x14ac:dyDescent="0.3">
      <c r="A5" s="52"/>
      <c r="B5" s="52" t="s">
        <v>17</v>
      </c>
      <c r="C5" s="52" t="s">
        <v>18</v>
      </c>
      <c r="D5" s="52" t="s">
        <v>19</v>
      </c>
      <c r="E5" s="52"/>
      <c r="F5" s="52"/>
      <c r="G5" s="52"/>
      <c r="H5" s="52" t="s">
        <v>0</v>
      </c>
      <c r="I5" s="52" t="s">
        <v>0</v>
      </c>
      <c r="J5" s="52" t="s">
        <v>20</v>
      </c>
      <c r="K5" s="52"/>
      <c r="L5" s="51"/>
      <c r="M5" s="52"/>
      <c r="N5" s="52" t="s">
        <v>17</v>
      </c>
      <c r="O5" s="52" t="s">
        <v>18</v>
      </c>
      <c r="P5" s="52" t="s">
        <v>19</v>
      </c>
      <c r="Q5" s="52"/>
      <c r="R5" s="52"/>
      <c r="S5" s="52"/>
      <c r="T5" s="52" t="s">
        <v>0</v>
      </c>
      <c r="U5" s="52" t="s">
        <v>0</v>
      </c>
      <c r="V5" s="52" t="s">
        <v>20</v>
      </c>
      <c r="W5" s="52"/>
      <c r="X5" s="51"/>
      <c r="Y5" s="52"/>
      <c r="Z5" s="52" t="s">
        <v>17</v>
      </c>
      <c r="AA5" s="52" t="s">
        <v>18</v>
      </c>
      <c r="AB5" s="52" t="s">
        <v>19</v>
      </c>
      <c r="AC5" s="52"/>
      <c r="AD5" s="52"/>
      <c r="AE5" s="52"/>
      <c r="AF5" s="52" t="s">
        <v>0</v>
      </c>
      <c r="AG5" s="52" t="s">
        <v>0</v>
      </c>
      <c r="AH5" s="52" t="s">
        <v>20</v>
      </c>
      <c r="AI5" s="52"/>
    </row>
    <row r="6" spans="1:35" ht="21.95" customHeight="1" x14ac:dyDescent="0.25">
      <c r="A6" s="522" t="s">
        <v>30</v>
      </c>
      <c r="B6" s="523"/>
      <c r="C6" s="523"/>
      <c r="D6" s="523"/>
      <c r="E6" s="523"/>
      <c r="F6" s="523"/>
      <c r="G6" s="523"/>
      <c r="H6" s="523"/>
      <c r="I6" s="523"/>
      <c r="J6" s="523"/>
      <c r="K6" s="524"/>
      <c r="L6" s="53"/>
      <c r="M6" s="522" t="s">
        <v>28</v>
      </c>
      <c r="N6" s="523"/>
      <c r="O6" s="523"/>
      <c r="P6" s="523"/>
      <c r="Q6" s="523"/>
      <c r="R6" s="523"/>
      <c r="S6" s="523"/>
      <c r="T6" s="523"/>
      <c r="U6" s="523"/>
      <c r="V6" s="523"/>
      <c r="W6" s="524"/>
      <c r="X6" s="53"/>
      <c r="Y6" s="522" t="s">
        <v>28</v>
      </c>
      <c r="Z6" s="523"/>
      <c r="AA6" s="523"/>
      <c r="AB6" s="523"/>
      <c r="AC6" s="523"/>
      <c r="AD6" s="523"/>
      <c r="AE6" s="523"/>
      <c r="AF6" s="523"/>
      <c r="AG6" s="523"/>
      <c r="AH6" s="523"/>
      <c r="AI6" s="524"/>
    </row>
    <row r="7" spans="1:35" ht="21.95" customHeight="1" x14ac:dyDescent="0.25">
      <c r="A7" s="525"/>
      <c r="B7" s="526"/>
      <c r="C7" s="526"/>
      <c r="D7" s="526"/>
      <c r="E7" s="526"/>
      <c r="F7" s="526"/>
      <c r="G7" s="526"/>
      <c r="H7" s="526"/>
      <c r="I7" s="526"/>
      <c r="J7" s="526"/>
      <c r="K7" s="527"/>
      <c r="L7" s="54"/>
      <c r="M7" s="528"/>
      <c r="N7" s="529"/>
      <c r="O7" s="529"/>
      <c r="P7" s="529"/>
      <c r="Q7" s="529"/>
      <c r="R7" s="529"/>
      <c r="S7" s="529"/>
      <c r="T7" s="529"/>
      <c r="U7" s="529"/>
      <c r="V7" s="529"/>
      <c r="W7" s="530"/>
      <c r="X7" s="54"/>
      <c r="Y7" s="528"/>
      <c r="Z7" s="529"/>
      <c r="AA7" s="529"/>
      <c r="AB7" s="529"/>
      <c r="AC7" s="529"/>
      <c r="AD7" s="529"/>
      <c r="AE7" s="529"/>
      <c r="AF7" s="529"/>
      <c r="AG7" s="529"/>
      <c r="AH7" s="529"/>
      <c r="AI7" s="530"/>
    </row>
    <row r="8" spans="1:35" ht="21.95" customHeight="1" x14ac:dyDescent="0.3">
      <c r="A8" s="80"/>
      <c r="B8" s="81" t="s">
        <v>39</v>
      </c>
      <c r="C8" s="80" t="s">
        <v>40</v>
      </c>
      <c r="D8" s="80">
        <v>5</v>
      </c>
      <c r="E8" s="81">
        <v>311</v>
      </c>
      <c r="F8" s="80">
        <v>513</v>
      </c>
      <c r="G8" s="81">
        <v>757</v>
      </c>
      <c r="H8" s="80" t="str">
        <f>bookoutsort!G6</f>
        <v>A</v>
      </c>
      <c r="I8" s="80">
        <f>bookoutsort!H6</f>
        <v>1</v>
      </c>
      <c r="J8" s="80"/>
      <c r="K8" s="83">
        <v>112</v>
      </c>
      <c r="L8" s="54"/>
      <c r="M8" s="80"/>
      <c r="N8" s="80" t="s">
        <v>41</v>
      </c>
      <c r="O8" s="80" t="s">
        <v>40</v>
      </c>
      <c r="P8" s="80">
        <v>16</v>
      </c>
      <c r="Q8" s="81">
        <v>401</v>
      </c>
      <c r="R8" s="80">
        <v>427</v>
      </c>
      <c r="S8" s="81">
        <v>1823</v>
      </c>
      <c r="T8" s="80" t="str">
        <f>bookoutsort!G25</f>
        <v>D</v>
      </c>
      <c r="U8" s="80">
        <f>bookoutsort!H25</f>
        <v>20</v>
      </c>
      <c r="V8" s="80"/>
      <c r="W8" s="83">
        <v>336</v>
      </c>
      <c r="X8" s="54"/>
      <c r="Y8" s="82"/>
      <c r="Z8" s="80" t="s">
        <v>41</v>
      </c>
      <c r="AA8" s="80" t="s">
        <v>40</v>
      </c>
      <c r="AB8" s="80">
        <v>9</v>
      </c>
      <c r="AC8" s="80">
        <v>401</v>
      </c>
      <c r="AD8" s="80">
        <v>559</v>
      </c>
      <c r="AE8" s="80">
        <v>2015</v>
      </c>
      <c r="AF8" s="83"/>
      <c r="AG8" s="85"/>
      <c r="AH8" s="80"/>
      <c r="AI8" s="83">
        <v>287</v>
      </c>
    </row>
    <row r="9" spans="1:35" ht="21.95" customHeight="1" x14ac:dyDescent="0.3">
      <c r="A9" s="52"/>
      <c r="B9" s="103" t="s">
        <v>39</v>
      </c>
      <c r="C9" s="52" t="s">
        <v>40</v>
      </c>
      <c r="D9" s="52">
        <v>1</v>
      </c>
      <c r="E9" s="103">
        <v>311</v>
      </c>
      <c r="F9" s="52">
        <v>520</v>
      </c>
      <c r="G9" s="103">
        <v>812</v>
      </c>
      <c r="H9" s="52" t="str">
        <f>bookoutsort!G7</f>
        <v>A</v>
      </c>
      <c r="I9" s="52">
        <f>bookoutsort!H7</f>
        <v>2</v>
      </c>
      <c r="J9" s="52"/>
      <c r="K9" s="104">
        <v>128</v>
      </c>
      <c r="L9" s="54"/>
      <c r="M9" s="52"/>
      <c r="N9" s="52" t="s">
        <v>41</v>
      </c>
      <c r="O9" s="52" t="s">
        <v>40</v>
      </c>
      <c r="P9" s="52">
        <v>18</v>
      </c>
      <c r="Q9" s="103">
        <v>401</v>
      </c>
      <c r="R9" s="52">
        <v>438</v>
      </c>
      <c r="S9" s="103">
        <v>2121</v>
      </c>
      <c r="T9" s="52" t="str">
        <f>bookoutsort!G26</f>
        <v>E</v>
      </c>
      <c r="U9" s="52">
        <f>bookoutsort!H26</f>
        <v>21</v>
      </c>
      <c r="V9" s="52"/>
      <c r="W9" s="104">
        <v>385</v>
      </c>
      <c r="X9" s="54"/>
      <c r="Y9" s="102"/>
      <c r="Z9" s="52" t="s">
        <v>41</v>
      </c>
      <c r="AA9" s="52" t="s">
        <v>40</v>
      </c>
      <c r="AB9" s="52">
        <v>42</v>
      </c>
      <c r="AC9" s="52">
        <v>401</v>
      </c>
      <c r="AD9" s="52">
        <v>603</v>
      </c>
      <c r="AE9" s="52">
        <v>908</v>
      </c>
      <c r="AF9" s="104"/>
      <c r="AG9" s="79"/>
      <c r="AH9" s="52"/>
      <c r="AI9" s="104">
        <v>74</v>
      </c>
    </row>
    <row r="10" spans="1:35" ht="21.95" customHeight="1" x14ac:dyDescent="0.3">
      <c r="A10" s="80"/>
      <c r="B10" s="81" t="s">
        <v>39</v>
      </c>
      <c r="C10" s="80" t="s">
        <v>40</v>
      </c>
      <c r="D10" s="80">
        <v>2</v>
      </c>
      <c r="E10" s="81">
        <v>311</v>
      </c>
      <c r="F10" s="80">
        <v>610</v>
      </c>
      <c r="G10" s="81">
        <v>836</v>
      </c>
      <c r="H10" s="80" t="str">
        <f>bookoutsort!G8</f>
        <v>A</v>
      </c>
      <c r="I10" s="80">
        <f>bookoutsort!H8</f>
        <v>3</v>
      </c>
      <c r="J10" s="80"/>
      <c r="K10" s="83">
        <v>105</v>
      </c>
      <c r="L10" s="54"/>
      <c r="M10" s="80"/>
      <c r="N10" s="80" t="s">
        <v>41</v>
      </c>
      <c r="O10" s="80" t="s">
        <v>40</v>
      </c>
      <c r="P10" s="80">
        <v>20</v>
      </c>
      <c r="Q10" s="81">
        <v>401</v>
      </c>
      <c r="R10" s="80">
        <v>443</v>
      </c>
      <c r="S10" s="81">
        <v>1900</v>
      </c>
      <c r="T10" s="80" t="str">
        <f>bookoutsort!G27</f>
        <v>E</v>
      </c>
      <c r="U10" s="80">
        <f>bookoutsort!H27</f>
        <v>22</v>
      </c>
      <c r="V10" s="80"/>
      <c r="W10" s="83">
        <v>316</v>
      </c>
      <c r="X10" s="54"/>
      <c r="Y10" s="82"/>
      <c r="Z10" s="80" t="s">
        <v>41</v>
      </c>
      <c r="AA10" s="80" t="s">
        <v>40</v>
      </c>
      <c r="AB10" s="80">
        <v>15</v>
      </c>
      <c r="AC10" s="80">
        <v>401</v>
      </c>
      <c r="AD10" s="80">
        <v>606</v>
      </c>
      <c r="AE10" s="80">
        <v>1954</v>
      </c>
      <c r="AF10" s="83"/>
      <c r="AG10" s="82"/>
      <c r="AH10" s="80"/>
      <c r="AI10" s="83">
        <v>291</v>
      </c>
    </row>
    <row r="11" spans="1:35" ht="21.95" customHeight="1" x14ac:dyDescent="0.3">
      <c r="A11" s="52"/>
      <c r="B11" s="103" t="s">
        <v>39</v>
      </c>
      <c r="C11" s="52" t="s">
        <v>40</v>
      </c>
      <c r="D11" s="52">
        <v>4</v>
      </c>
      <c r="E11" s="103">
        <v>311</v>
      </c>
      <c r="F11" s="52">
        <v>618</v>
      </c>
      <c r="G11" s="103">
        <v>908</v>
      </c>
      <c r="H11" s="52" t="str">
        <f>bookoutsort!G9</f>
        <v>A</v>
      </c>
      <c r="I11" s="52">
        <f>bookoutsort!H9</f>
        <v>4</v>
      </c>
      <c r="J11" s="52"/>
      <c r="K11" s="104">
        <v>112</v>
      </c>
      <c r="L11" s="54"/>
      <c r="M11" s="52"/>
      <c r="N11" s="52" t="s">
        <v>41</v>
      </c>
      <c r="O11" s="52" t="s">
        <v>40</v>
      </c>
      <c r="P11" s="52">
        <v>11</v>
      </c>
      <c r="Q11" s="103">
        <v>401</v>
      </c>
      <c r="R11" s="52">
        <v>446</v>
      </c>
      <c r="S11" s="103">
        <v>2602</v>
      </c>
      <c r="T11" s="52" t="str">
        <f>bookoutsort!G28</f>
        <v>E</v>
      </c>
      <c r="U11" s="52">
        <f>bookoutsort!H28</f>
        <v>23</v>
      </c>
      <c r="V11" s="52"/>
      <c r="W11" s="104">
        <v>477</v>
      </c>
      <c r="X11" s="54"/>
      <c r="Y11" s="102"/>
      <c r="Z11" s="52" t="s">
        <v>41</v>
      </c>
      <c r="AA11" s="52" t="s">
        <v>40</v>
      </c>
      <c r="AB11" s="52">
        <v>45</v>
      </c>
      <c r="AC11" s="52">
        <v>401</v>
      </c>
      <c r="AD11" s="52">
        <v>609</v>
      </c>
      <c r="AE11" s="52">
        <v>852</v>
      </c>
      <c r="AF11" s="104"/>
      <c r="AG11" s="58"/>
      <c r="AH11" s="52"/>
      <c r="AI11" s="104">
        <v>76</v>
      </c>
    </row>
    <row r="12" spans="1:35" ht="21.95" customHeight="1" x14ac:dyDescent="0.3">
      <c r="A12" s="80"/>
      <c r="B12" s="81" t="s">
        <v>39</v>
      </c>
      <c r="C12" s="80" t="s">
        <v>40</v>
      </c>
      <c r="D12" s="80">
        <v>3</v>
      </c>
      <c r="E12" s="81">
        <v>311</v>
      </c>
      <c r="F12" s="80">
        <v>623</v>
      </c>
      <c r="G12" s="81">
        <v>848</v>
      </c>
      <c r="H12" s="80" t="str">
        <f>bookoutsort!G10</f>
        <v>A</v>
      </c>
      <c r="I12" s="80">
        <f>bookoutsort!H10</f>
        <v>5</v>
      </c>
      <c r="J12" s="80"/>
      <c r="K12" s="83">
        <v>105</v>
      </c>
      <c r="L12" s="54"/>
      <c r="M12" s="80"/>
      <c r="N12" s="80" t="s">
        <v>41</v>
      </c>
      <c r="O12" s="80" t="s">
        <v>40</v>
      </c>
      <c r="P12" s="80">
        <v>5</v>
      </c>
      <c r="Q12" s="81">
        <v>401</v>
      </c>
      <c r="R12" s="80">
        <v>453</v>
      </c>
      <c r="S12" s="81">
        <v>2108</v>
      </c>
      <c r="T12" s="80" t="str">
        <f>bookoutsort!G29</f>
        <v>E</v>
      </c>
      <c r="U12" s="80">
        <f>bookoutsort!H29</f>
        <v>24</v>
      </c>
      <c r="V12" s="80"/>
      <c r="W12" s="83">
        <v>382</v>
      </c>
      <c r="X12" s="54"/>
      <c r="Y12" s="82"/>
      <c r="Z12" s="80" t="s">
        <v>41</v>
      </c>
      <c r="AA12" s="80" t="s">
        <v>40</v>
      </c>
      <c r="AB12" s="80">
        <v>38</v>
      </c>
      <c r="AC12" s="80">
        <v>401</v>
      </c>
      <c r="AD12" s="80">
        <v>611</v>
      </c>
      <c r="AE12" s="80">
        <v>904</v>
      </c>
      <c r="AF12" s="81"/>
      <c r="AG12" s="80"/>
      <c r="AH12" s="83"/>
      <c r="AI12" s="83">
        <v>81</v>
      </c>
    </row>
    <row r="13" spans="1:35" ht="21.95" customHeight="1" x14ac:dyDescent="0.3">
      <c r="A13" s="52"/>
      <c r="B13" s="56"/>
      <c r="C13" s="52"/>
      <c r="D13" s="52"/>
      <c r="E13" s="103"/>
      <c r="F13" s="52"/>
      <c r="G13" s="56"/>
      <c r="H13" s="52"/>
      <c r="I13" s="59"/>
      <c r="J13" s="52"/>
      <c r="K13" s="57"/>
      <c r="L13" s="54"/>
      <c r="M13" s="52"/>
      <c r="N13" s="52" t="s">
        <v>41</v>
      </c>
      <c r="O13" s="52" t="s">
        <v>40</v>
      </c>
      <c r="P13" s="52">
        <v>26</v>
      </c>
      <c r="Q13" s="103">
        <v>401</v>
      </c>
      <c r="R13" s="52">
        <v>457</v>
      </c>
      <c r="S13" s="103">
        <v>1738</v>
      </c>
      <c r="T13" s="52" t="str">
        <f>bookoutsort!G30</f>
        <v>E</v>
      </c>
      <c r="U13" s="52">
        <f>bookoutsort!H30</f>
        <v>25</v>
      </c>
      <c r="V13" s="52"/>
      <c r="W13" s="104">
        <v>300</v>
      </c>
      <c r="X13" s="54"/>
      <c r="Y13" s="60"/>
      <c r="Z13" s="52" t="s">
        <v>41</v>
      </c>
      <c r="AA13" s="52" t="s">
        <v>40</v>
      </c>
      <c r="AB13" s="50">
        <v>8</v>
      </c>
      <c r="AC13" s="50">
        <v>401</v>
      </c>
      <c r="AD13" s="50">
        <v>611</v>
      </c>
      <c r="AE13" s="50">
        <v>1849</v>
      </c>
      <c r="AF13" s="61"/>
      <c r="AG13" s="52"/>
      <c r="AH13" s="62"/>
      <c r="AI13" s="62">
        <v>270</v>
      </c>
    </row>
    <row r="14" spans="1:35" ht="21.95" customHeight="1" x14ac:dyDescent="0.3">
      <c r="A14" s="511" t="s">
        <v>31</v>
      </c>
      <c r="B14" s="511"/>
      <c r="C14" s="511"/>
      <c r="D14" s="511"/>
      <c r="E14" s="511"/>
      <c r="F14" s="511"/>
      <c r="G14" s="511"/>
      <c r="H14" s="511"/>
      <c r="I14" s="511"/>
      <c r="J14" s="511"/>
      <c r="K14" s="511"/>
      <c r="L14" s="54"/>
      <c r="M14" s="80"/>
      <c r="N14" s="80" t="s">
        <v>41</v>
      </c>
      <c r="O14" s="80" t="s">
        <v>40</v>
      </c>
      <c r="P14" s="80">
        <v>4</v>
      </c>
      <c r="Q14" s="81">
        <v>401</v>
      </c>
      <c r="R14" s="80">
        <v>504</v>
      </c>
      <c r="S14" s="81">
        <v>1756</v>
      </c>
      <c r="T14" s="80" t="str">
        <f>bookoutsort!G31</f>
        <v>F</v>
      </c>
      <c r="U14" s="80">
        <f>bookoutsort!H31</f>
        <v>26</v>
      </c>
      <c r="V14" s="80"/>
      <c r="W14" s="83">
        <v>293</v>
      </c>
      <c r="X14" s="54"/>
      <c r="Y14" s="82"/>
      <c r="Z14" s="80" t="s">
        <v>41</v>
      </c>
      <c r="AA14" s="80" t="s">
        <v>40</v>
      </c>
      <c r="AB14" s="83">
        <v>37</v>
      </c>
      <c r="AC14" s="83">
        <v>401</v>
      </c>
      <c r="AD14" s="83">
        <v>613</v>
      </c>
      <c r="AE14" s="80">
        <v>1031</v>
      </c>
      <c r="AF14" s="81"/>
      <c r="AG14" s="84"/>
      <c r="AH14" s="80"/>
      <c r="AI14" s="83">
        <v>92</v>
      </c>
    </row>
    <row r="15" spans="1:35" ht="21.95" customHeight="1" x14ac:dyDescent="0.3">
      <c r="A15" s="512"/>
      <c r="B15" s="512"/>
      <c r="C15" s="512"/>
      <c r="D15" s="512"/>
      <c r="E15" s="512"/>
      <c r="F15" s="512"/>
      <c r="G15" s="512"/>
      <c r="H15" s="512"/>
      <c r="I15" s="512"/>
      <c r="J15" s="512"/>
      <c r="K15" s="512"/>
      <c r="L15" s="54"/>
      <c r="M15" s="52"/>
      <c r="N15" s="52" t="s">
        <v>41</v>
      </c>
      <c r="O15" s="52" t="s">
        <v>40</v>
      </c>
      <c r="P15" s="52">
        <v>30</v>
      </c>
      <c r="Q15" s="103">
        <v>401</v>
      </c>
      <c r="R15" s="52">
        <v>510</v>
      </c>
      <c r="S15" s="103">
        <v>1916</v>
      </c>
      <c r="T15" s="52" t="str">
        <f>bookoutsort!G32</f>
        <v>F</v>
      </c>
      <c r="U15" s="52">
        <f>bookoutsort!H32</f>
        <v>27</v>
      </c>
      <c r="V15" s="52"/>
      <c r="W15" s="104">
        <v>341</v>
      </c>
      <c r="X15" s="54"/>
      <c r="Y15" s="102"/>
      <c r="Z15" s="52" t="s">
        <v>41</v>
      </c>
      <c r="AA15" s="52" t="s">
        <v>40</v>
      </c>
      <c r="AB15" s="104">
        <v>44</v>
      </c>
      <c r="AC15" s="104">
        <v>401</v>
      </c>
      <c r="AD15" s="104">
        <v>620</v>
      </c>
      <c r="AE15" s="52">
        <v>947</v>
      </c>
      <c r="AF15" s="103"/>
      <c r="AG15" s="52"/>
      <c r="AH15" s="52"/>
      <c r="AI15" s="104">
        <v>88</v>
      </c>
    </row>
    <row r="16" spans="1:35" ht="21.95" customHeight="1" x14ac:dyDescent="0.3">
      <c r="A16" s="80"/>
      <c r="B16" s="81" t="s">
        <v>39</v>
      </c>
      <c r="C16" s="80" t="s">
        <v>40</v>
      </c>
      <c r="D16" s="80">
        <v>20</v>
      </c>
      <c r="E16" s="80">
        <v>352</v>
      </c>
      <c r="F16" s="80">
        <v>444</v>
      </c>
      <c r="G16" s="80">
        <v>758</v>
      </c>
      <c r="H16" s="82" t="str">
        <f>bookoutsort!G11</f>
        <v>B</v>
      </c>
      <c r="I16" s="80">
        <f>bookoutsort!H11</f>
        <v>6</v>
      </c>
      <c r="J16" s="83"/>
      <c r="K16" s="83">
        <v>163</v>
      </c>
      <c r="L16" s="54"/>
      <c r="M16" s="80"/>
      <c r="N16" s="80" t="s">
        <v>41</v>
      </c>
      <c r="O16" s="80" t="s">
        <v>40</v>
      </c>
      <c r="P16" s="80">
        <v>13</v>
      </c>
      <c r="Q16" s="81">
        <v>401</v>
      </c>
      <c r="R16" s="80">
        <v>517</v>
      </c>
      <c r="S16" s="81">
        <v>2312</v>
      </c>
      <c r="T16" s="80" t="str">
        <f>bookoutsort!G33</f>
        <v>F</v>
      </c>
      <c r="U16" s="80">
        <f>bookoutsort!H33</f>
        <v>28</v>
      </c>
      <c r="V16" s="80"/>
      <c r="W16" s="83">
        <v>375</v>
      </c>
      <c r="X16" s="54"/>
      <c r="Y16" s="82"/>
      <c r="Z16" s="80" t="s">
        <v>41</v>
      </c>
      <c r="AA16" s="80" t="s">
        <v>40</v>
      </c>
      <c r="AB16" s="83">
        <v>49</v>
      </c>
      <c r="AC16" s="83">
        <v>401</v>
      </c>
      <c r="AD16" s="83">
        <v>621</v>
      </c>
      <c r="AE16" s="80">
        <v>919</v>
      </c>
      <c r="AF16" s="81"/>
      <c r="AG16" s="84"/>
      <c r="AH16" s="80"/>
      <c r="AI16" s="83">
        <v>78</v>
      </c>
    </row>
    <row r="17" spans="1:35" ht="21.95" customHeight="1" x14ac:dyDescent="0.3">
      <c r="A17" s="52"/>
      <c r="B17" s="103" t="s">
        <v>39</v>
      </c>
      <c r="C17" s="52" t="s">
        <v>40</v>
      </c>
      <c r="D17" s="52">
        <v>13</v>
      </c>
      <c r="E17" s="52">
        <v>352</v>
      </c>
      <c r="F17" s="52">
        <v>447</v>
      </c>
      <c r="G17" s="52">
        <v>759</v>
      </c>
      <c r="H17" s="102" t="str">
        <f>bookoutsort!G12</f>
        <v>B</v>
      </c>
      <c r="I17" s="52">
        <f>bookoutsort!H12</f>
        <v>7</v>
      </c>
      <c r="J17" s="104"/>
      <c r="K17" s="104">
        <v>163</v>
      </c>
      <c r="L17" s="54"/>
      <c r="M17" s="52"/>
      <c r="N17" s="52" t="s">
        <v>41</v>
      </c>
      <c r="O17" s="52" t="s">
        <v>40</v>
      </c>
      <c r="P17" s="52">
        <v>36</v>
      </c>
      <c r="Q17" s="103">
        <v>401</v>
      </c>
      <c r="R17" s="52">
        <v>522</v>
      </c>
      <c r="S17" s="103">
        <v>1009</v>
      </c>
      <c r="T17" s="52" t="str">
        <f>bookoutsort!G34</f>
        <v>F</v>
      </c>
      <c r="U17" s="52">
        <f>bookoutsort!H34</f>
        <v>29</v>
      </c>
      <c r="V17" s="52"/>
      <c r="W17" s="104">
        <v>129</v>
      </c>
      <c r="X17" s="54"/>
      <c r="Y17" s="102"/>
      <c r="Z17" s="52" t="s">
        <v>41</v>
      </c>
      <c r="AA17" s="52" t="s">
        <v>40</v>
      </c>
      <c r="AB17" s="104">
        <v>32</v>
      </c>
      <c r="AC17" s="104">
        <v>401</v>
      </c>
      <c r="AD17" s="104">
        <v>622</v>
      </c>
      <c r="AE17" s="52">
        <v>1032</v>
      </c>
      <c r="AF17" s="103"/>
      <c r="AG17" s="52"/>
      <c r="AH17" s="52"/>
      <c r="AI17" s="104">
        <v>104</v>
      </c>
    </row>
    <row r="18" spans="1:35" ht="21.95" customHeight="1" x14ac:dyDescent="0.3">
      <c r="A18" s="80"/>
      <c r="B18" s="81" t="s">
        <v>39</v>
      </c>
      <c r="C18" s="80" t="s">
        <v>40</v>
      </c>
      <c r="D18" s="80">
        <v>14</v>
      </c>
      <c r="E18" s="80">
        <v>352</v>
      </c>
      <c r="F18" s="80">
        <v>512</v>
      </c>
      <c r="G18" s="80">
        <v>830</v>
      </c>
      <c r="H18" s="82" t="str">
        <f>bookoutsort!G13</f>
        <v>B</v>
      </c>
      <c r="I18" s="80">
        <f>bookoutsort!H13</f>
        <v>8</v>
      </c>
      <c r="J18" s="83"/>
      <c r="K18" s="83">
        <v>163</v>
      </c>
      <c r="L18" s="54"/>
      <c r="M18" s="80"/>
      <c r="N18" s="80" t="s">
        <v>41</v>
      </c>
      <c r="O18" s="80" t="s">
        <v>40</v>
      </c>
      <c r="P18" s="80">
        <v>3</v>
      </c>
      <c r="Q18" s="81">
        <v>401</v>
      </c>
      <c r="R18" s="80">
        <v>523</v>
      </c>
      <c r="S18" s="81">
        <v>2002</v>
      </c>
      <c r="T18" s="80" t="str">
        <f>bookoutsort!G35</f>
        <v>F</v>
      </c>
      <c r="U18" s="80">
        <f>bookoutsort!H35</f>
        <v>30</v>
      </c>
      <c r="V18" s="80"/>
      <c r="W18" s="83">
        <v>354</v>
      </c>
      <c r="X18" s="54"/>
      <c r="Y18" s="82"/>
      <c r="Z18" s="80" t="s">
        <v>41</v>
      </c>
      <c r="AA18" s="80" t="s">
        <v>40</v>
      </c>
      <c r="AB18" s="83">
        <v>48</v>
      </c>
      <c r="AC18" s="83">
        <v>401</v>
      </c>
      <c r="AD18" s="83">
        <v>640</v>
      </c>
      <c r="AE18" s="80">
        <v>1004</v>
      </c>
      <c r="AF18" s="81"/>
      <c r="AG18" s="84"/>
      <c r="AH18" s="80"/>
      <c r="AI18" s="83">
        <v>87</v>
      </c>
    </row>
    <row r="19" spans="1:35" ht="21.95" customHeight="1" x14ac:dyDescent="0.3">
      <c r="A19" s="52"/>
      <c r="B19" s="103" t="s">
        <v>39</v>
      </c>
      <c r="C19" s="52" t="s">
        <v>40</v>
      </c>
      <c r="D19" s="52">
        <v>11</v>
      </c>
      <c r="E19" s="52">
        <v>352</v>
      </c>
      <c r="F19" s="52">
        <v>540</v>
      </c>
      <c r="G19" s="52">
        <v>848</v>
      </c>
      <c r="H19" s="102" t="str">
        <f>bookoutsort!G14</f>
        <v>B</v>
      </c>
      <c r="I19" s="52">
        <f>bookoutsort!H14</f>
        <v>9</v>
      </c>
      <c r="J19" s="104"/>
      <c r="K19" s="104">
        <v>146</v>
      </c>
      <c r="L19" s="54"/>
      <c r="M19" s="52"/>
      <c r="N19" s="52" t="s">
        <v>41</v>
      </c>
      <c r="O19" s="52" t="s">
        <v>40</v>
      </c>
      <c r="P19" s="52">
        <v>2</v>
      </c>
      <c r="Q19" s="103">
        <v>401</v>
      </c>
      <c r="R19" s="52">
        <v>524</v>
      </c>
      <c r="S19" s="103">
        <v>1913</v>
      </c>
      <c r="T19" s="52" t="str">
        <f>bookoutsort!G36</f>
        <v>G</v>
      </c>
      <c r="U19" s="52">
        <f>bookoutsort!H36</f>
        <v>31</v>
      </c>
      <c r="V19" s="52"/>
      <c r="W19" s="104">
        <v>289</v>
      </c>
      <c r="X19" s="54"/>
      <c r="Y19" s="102"/>
      <c r="Z19" s="52" t="s">
        <v>41</v>
      </c>
      <c r="AA19" s="52" t="s">
        <v>40</v>
      </c>
      <c r="AB19" s="104">
        <v>41</v>
      </c>
      <c r="AC19" s="104">
        <v>401</v>
      </c>
      <c r="AD19" s="104">
        <v>657</v>
      </c>
      <c r="AE19" s="52">
        <v>943</v>
      </c>
      <c r="AF19" s="103"/>
      <c r="AG19" s="52"/>
      <c r="AH19" s="52"/>
      <c r="AI19" s="104">
        <v>76</v>
      </c>
    </row>
    <row r="20" spans="1:35" ht="21.95" customHeight="1" x14ac:dyDescent="0.3">
      <c r="A20" s="80"/>
      <c r="B20" s="81" t="s">
        <v>39</v>
      </c>
      <c r="C20" s="80" t="s">
        <v>40</v>
      </c>
      <c r="D20" s="80">
        <v>15</v>
      </c>
      <c r="E20" s="80">
        <v>352</v>
      </c>
      <c r="F20" s="80">
        <v>549</v>
      </c>
      <c r="G20" s="80">
        <v>825</v>
      </c>
      <c r="H20" s="82" t="str">
        <f>bookoutsort!G15</f>
        <v>B</v>
      </c>
      <c r="I20" s="80">
        <f>bookoutsort!H15</f>
        <v>10</v>
      </c>
      <c r="J20" s="83"/>
      <c r="K20" s="83">
        <v>109</v>
      </c>
      <c r="L20" s="54"/>
      <c r="M20" s="80"/>
      <c r="N20" s="80" t="s">
        <v>41</v>
      </c>
      <c r="O20" s="80" t="s">
        <v>40</v>
      </c>
      <c r="P20" s="80">
        <v>33</v>
      </c>
      <c r="Q20" s="81">
        <v>401</v>
      </c>
      <c r="R20" s="80">
        <v>529</v>
      </c>
      <c r="S20" s="81">
        <v>848</v>
      </c>
      <c r="T20" s="80" t="str">
        <f>bookoutsort!G37</f>
        <v>G</v>
      </c>
      <c r="U20" s="80">
        <f>bookoutsort!H37</f>
        <v>32</v>
      </c>
      <c r="V20" s="80"/>
      <c r="W20" s="83">
        <v>88</v>
      </c>
      <c r="X20" s="54"/>
      <c r="Y20" s="511" t="s">
        <v>29</v>
      </c>
      <c r="Z20" s="511"/>
      <c r="AA20" s="511"/>
      <c r="AB20" s="511"/>
      <c r="AC20" s="511"/>
      <c r="AD20" s="511"/>
      <c r="AE20" s="511"/>
      <c r="AF20" s="511"/>
      <c r="AG20" s="511"/>
      <c r="AH20" s="511"/>
      <c r="AI20" s="511"/>
    </row>
    <row r="21" spans="1:35" ht="21.95" customHeight="1" x14ac:dyDescent="0.3">
      <c r="A21" s="52"/>
      <c r="B21" s="103" t="s">
        <v>39</v>
      </c>
      <c r="C21" s="52" t="s">
        <v>40</v>
      </c>
      <c r="D21" s="52">
        <v>16</v>
      </c>
      <c r="E21" s="52">
        <v>352</v>
      </c>
      <c r="F21" s="52">
        <v>555</v>
      </c>
      <c r="G21" s="52">
        <v>926</v>
      </c>
      <c r="H21" s="102" t="str">
        <f>bookoutsort!G16</f>
        <v>C</v>
      </c>
      <c r="I21" s="52">
        <f>bookoutsort!H16</f>
        <v>11</v>
      </c>
      <c r="J21" s="104"/>
      <c r="K21" s="104">
        <v>122</v>
      </c>
      <c r="L21" s="54"/>
      <c r="M21" s="52"/>
      <c r="N21" s="52" t="s">
        <v>41</v>
      </c>
      <c r="O21" s="52" t="s">
        <v>40</v>
      </c>
      <c r="P21" s="52">
        <v>31</v>
      </c>
      <c r="Q21" s="103">
        <v>401</v>
      </c>
      <c r="R21" s="52">
        <v>533</v>
      </c>
      <c r="S21" s="103">
        <v>939</v>
      </c>
      <c r="T21" s="52" t="str">
        <f>bookoutsort!G38</f>
        <v>G</v>
      </c>
      <c r="U21" s="52">
        <f>bookoutsort!H38</f>
        <v>33</v>
      </c>
      <c r="V21" s="52"/>
      <c r="W21" s="104">
        <v>97</v>
      </c>
      <c r="X21" s="54"/>
      <c r="Y21" s="512"/>
      <c r="Z21" s="512"/>
      <c r="AA21" s="512"/>
      <c r="AB21" s="512"/>
      <c r="AC21" s="512"/>
      <c r="AD21" s="512"/>
      <c r="AE21" s="512"/>
      <c r="AF21" s="512"/>
      <c r="AG21" s="512"/>
      <c r="AH21" s="512"/>
      <c r="AI21" s="512"/>
    </row>
    <row r="22" spans="1:35" ht="21.95" customHeight="1" x14ac:dyDescent="0.3">
      <c r="A22" s="80"/>
      <c r="B22" s="81" t="s">
        <v>39</v>
      </c>
      <c r="C22" s="80" t="s">
        <v>40</v>
      </c>
      <c r="D22" s="80">
        <v>19</v>
      </c>
      <c r="E22" s="80">
        <v>352</v>
      </c>
      <c r="F22" s="80">
        <v>606</v>
      </c>
      <c r="G22" s="80">
        <v>749</v>
      </c>
      <c r="H22" s="80" t="str">
        <f>bookoutsort!G17</f>
        <v>C</v>
      </c>
      <c r="I22" s="80">
        <f>bookoutsort!H17</f>
        <v>12</v>
      </c>
      <c r="J22" s="80"/>
      <c r="K22" s="83">
        <v>84</v>
      </c>
      <c r="L22" s="54"/>
      <c r="M22" s="80"/>
      <c r="N22" s="80" t="s">
        <v>41</v>
      </c>
      <c r="O22" s="80" t="s">
        <v>40</v>
      </c>
      <c r="P22" s="80">
        <v>34</v>
      </c>
      <c r="Q22" s="81">
        <v>401</v>
      </c>
      <c r="R22" s="80">
        <v>533</v>
      </c>
      <c r="S22" s="81">
        <v>1002</v>
      </c>
      <c r="T22" s="80" t="str">
        <f>bookoutsort!G39</f>
        <v>G</v>
      </c>
      <c r="U22" s="80">
        <f>bookoutsort!H39</f>
        <v>34</v>
      </c>
      <c r="V22" s="80"/>
      <c r="W22" s="83">
        <v>112</v>
      </c>
      <c r="X22" s="54"/>
      <c r="Y22" s="80"/>
      <c r="Z22" s="80" t="s">
        <v>41</v>
      </c>
      <c r="AA22" s="80" t="s">
        <v>40</v>
      </c>
      <c r="AB22" s="80">
        <v>10</v>
      </c>
      <c r="AC22" s="81">
        <v>402</v>
      </c>
      <c r="AD22" s="80">
        <v>454</v>
      </c>
      <c r="AE22" s="80">
        <v>2154</v>
      </c>
      <c r="AF22" s="80"/>
      <c r="AG22" s="80"/>
      <c r="AH22" s="80"/>
      <c r="AI22" s="83">
        <v>362</v>
      </c>
    </row>
    <row r="23" spans="1:35" ht="21.95" customHeight="1" x14ac:dyDescent="0.3">
      <c r="A23" s="52"/>
      <c r="B23" s="103" t="s">
        <v>39</v>
      </c>
      <c r="C23" s="52" t="s">
        <v>40</v>
      </c>
      <c r="D23" s="52">
        <v>12</v>
      </c>
      <c r="E23" s="52">
        <v>352</v>
      </c>
      <c r="F23" s="52">
        <v>609</v>
      </c>
      <c r="G23" s="52">
        <v>824</v>
      </c>
      <c r="H23" s="52" t="str">
        <f>bookoutsort!G18</f>
        <v>C</v>
      </c>
      <c r="I23" s="52">
        <f>bookoutsort!H18</f>
        <v>13</v>
      </c>
      <c r="J23" s="52"/>
      <c r="K23" s="104">
        <v>95</v>
      </c>
      <c r="L23" s="54"/>
      <c r="M23" s="52"/>
      <c r="N23" s="52" t="s">
        <v>41</v>
      </c>
      <c r="O23" s="52" t="s">
        <v>40</v>
      </c>
      <c r="P23" s="52">
        <v>35</v>
      </c>
      <c r="Q23" s="103">
        <v>401</v>
      </c>
      <c r="R23" s="52">
        <v>540</v>
      </c>
      <c r="S23" s="103">
        <v>952</v>
      </c>
      <c r="T23" s="52" t="str">
        <f>bookoutsort!G40</f>
        <v>G</v>
      </c>
      <c r="U23" s="52">
        <f>bookoutsort!H40</f>
        <v>35</v>
      </c>
      <c r="V23" s="52"/>
      <c r="W23" s="104">
        <v>97</v>
      </c>
      <c r="X23" s="54"/>
      <c r="Y23" s="52"/>
      <c r="Z23" s="52" t="s">
        <v>41</v>
      </c>
      <c r="AA23" s="52" t="s">
        <v>40</v>
      </c>
      <c r="AB23" s="52">
        <v>13</v>
      </c>
      <c r="AC23" s="103">
        <v>402</v>
      </c>
      <c r="AD23" s="52">
        <v>515</v>
      </c>
      <c r="AE23" s="52">
        <v>2850</v>
      </c>
      <c r="AF23" s="52"/>
      <c r="AG23" s="52"/>
      <c r="AH23" s="52"/>
      <c r="AI23" s="104">
        <v>502</v>
      </c>
    </row>
    <row r="24" spans="1:35" ht="21.95" customHeight="1" x14ac:dyDescent="0.3">
      <c r="A24" s="80"/>
      <c r="B24" s="81" t="s">
        <v>39</v>
      </c>
      <c r="C24" s="80" t="s">
        <v>40</v>
      </c>
      <c r="D24" s="80">
        <v>18</v>
      </c>
      <c r="E24" s="80">
        <v>352</v>
      </c>
      <c r="F24" s="80">
        <v>628</v>
      </c>
      <c r="G24" s="80">
        <v>813</v>
      </c>
      <c r="H24" s="80" t="str">
        <f>bookoutsort!G19</f>
        <v>C</v>
      </c>
      <c r="I24" s="80">
        <f>bookoutsort!H19</f>
        <v>14</v>
      </c>
      <c r="J24" s="80"/>
      <c r="K24" s="83">
        <v>84</v>
      </c>
      <c r="L24" s="54"/>
      <c r="M24" s="80"/>
      <c r="N24" s="80" t="s">
        <v>41</v>
      </c>
      <c r="O24" s="80" t="s">
        <v>40</v>
      </c>
      <c r="P24" s="80">
        <v>47</v>
      </c>
      <c r="Q24" s="81">
        <v>401</v>
      </c>
      <c r="R24" s="80">
        <v>540</v>
      </c>
      <c r="S24" s="81">
        <v>959</v>
      </c>
      <c r="T24" s="80" t="str">
        <f>bookoutsort!G41</f>
        <v>H</v>
      </c>
      <c r="U24" s="80">
        <f>bookoutsort!H41</f>
        <v>36</v>
      </c>
      <c r="V24" s="80"/>
      <c r="W24" s="83">
        <v>119</v>
      </c>
      <c r="X24" s="54"/>
      <c r="Y24" s="80"/>
      <c r="Z24" s="80" t="s">
        <v>41</v>
      </c>
      <c r="AA24" s="80" t="s">
        <v>40</v>
      </c>
      <c r="AB24" s="80">
        <v>23</v>
      </c>
      <c r="AC24" s="81">
        <v>402</v>
      </c>
      <c r="AD24" s="80">
        <v>537</v>
      </c>
      <c r="AE24" s="80">
        <v>1008</v>
      </c>
      <c r="AF24" s="80"/>
      <c r="AG24" s="80"/>
      <c r="AH24" s="80"/>
      <c r="AI24" s="83">
        <v>98</v>
      </c>
    </row>
    <row r="25" spans="1:35" ht="21.95" customHeight="1" x14ac:dyDescent="0.3">
      <c r="A25" s="52"/>
      <c r="B25" s="103" t="s">
        <v>39</v>
      </c>
      <c r="C25" s="52" t="s">
        <v>40</v>
      </c>
      <c r="D25" s="52">
        <v>17</v>
      </c>
      <c r="E25" s="52">
        <v>352</v>
      </c>
      <c r="F25" s="52">
        <v>632</v>
      </c>
      <c r="G25" s="52">
        <v>807</v>
      </c>
      <c r="H25" s="52" t="str">
        <f>bookoutsort!G20</f>
        <v>C</v>
      </c>
      <c r="I25" s="52">
        <f>bookoutsort!H20</f>
        <v>15</v>
      </c>
      <c r="J25" s="52"/>
      <c r="K25" s="104">
        <v>81</v>
      </c>
      <c r="L25" s="54"/>
      <c r="M25" s="52"/>
      <c r="N25" s="52" t="s">
        <v>41</v>
      </c>
      <c r="O25" s="52" t="s">
        <v>40</v>
      </c>
      <c r="P25" s="52">
        <v>25</v>
      </c>
      <c r="Q25" s="103">
        <v>401</v>
      </c>
      <c r="R25" s="52">
        <v>546</v>
      </c>
      <c r="S25" s="103">
        <v>2512</v>
      </c>
      <c r="T25" s="52" t="str">
        <f>bookoutsort!G42</f>
        <v>H</v>
      </c>
      <c r="U25" s="52">
        <f>bookoutsort!H42</f>
        <v>37</v>
      </c>
      <c r="V25" s="52"/>
      <c r="W25" s="104">
        <v>462</v>
      </c>
      <c r="X25" s="54"/>
      <c r="Y25" s="52"/>
      <c r="Z25" s="52" t="s">
        <v>41</v>
      </c>
      <c r="AA25" s="52" t="s">
        <v>40</v>
      </c>
      <c r="AB25" s="52">
        <v>25</v>
      </c>
      <c r="AC25" s="103">
        <v>402</v>
      </c>
      <c r="AD25" s="52">
        <v>550</v>
      </c>
      <c r="AE25" s="52">
        <v>936</v>
      </c>
      <c r="AF25" s="52"/>
      <c r="AG25" s="52"/>
      <c r="AH25" s="52"/>
      <c r="AI25" s="104">
        <v>89</v>
      </c>
    </row>
    <row r="26" spans="1:35" ht="21.95" customHeight="1" x14ac:dyDescent="0.3">
      <c r="A26" s="511" t="s">
        <v>32</v>
      </c>
      <c r="B26" s="511"/>
      <c r="C26" s="511"/>
      <c r="D26" s="511"/>
      <c r="E26" s="511"/>
      <c r="F26" s="511"/>
      <c r="G26" s="511"/>
      <c r="H26" s="511"/>
      <c r="I26" s="511"/>
      <c r="J26" s="511"/>
      <c r="K26" s="511"/>
      <c r="L26" s="54"/>
      <c r="M26" s="80"/>
      <c r="N26" s="80" t="s">
        <v>41</v>
      </c>
      <c r="O26" s="80" t="s">
        <v>40</v>
      </c>
      <c r="P26" s="80">
        <v>24</v>
      </c>
      <c r="Q26" s="81">
        <v>401</v>
      </c>
      <c r="R26" s="80">
        <v>547</v>
      </c>
      <c r="S26" s="81">
        <v>2931</v>
      </c>
      <c r="T26" s="80" t="str">
        <f>bookoutsort!G43</f>
        <v>H</v>
      </c>
      <c r="U26" s="80">
        <f>bookoutsort!H43</f>
        <v>38</v>
      </c>
      <c r="V26" s="80"/>
      <c r="W26" s="83">
        <v>543</v>
      </c>
      <c r="X26" s="54"/>
      <c r="Y26" s="80"/>
      <c r="Z26" s="80" t="s">
        <v>41</v>
      </c>
      <c r="AA26" s="80" t="s">
        <v>40</v>
      </c>
      <c r="AB26" s="80">
        <v>12</v>
      </c>
      <c r="AC26" s="81">
        <v>402</v>
      </c>
      <c r="AD26" s="80">
        <v>556</v>
      </c>
      <c r="AE26" s="80">
        <v>1906</v>
      </c>
      <c r="AF26" s="80"/>
      <c r="AG26" s="80"/>
      <c r="AH26" s="80"/>
      <c r="AI26" s="83">
        <v>238</v>
      </c>
    </row>
    <row r="27" spans="1:35" ht="21.95" customHeight="1" x14ac:dyDescent="0.3">
      <c r="A27" s="512"/>
      <c r="B27" s="512"/>
      <c r="C27" s="512"/>
      <c r="D27" s="512"/>
      <c r="E27" s="512"/>
      <c r="F27" s="512"/>
      <c r="G27" s="512"/>
      <c r="H27" s="512"/>
      <c r="I27" s="512"/>
      <c r="J27" s="512"/>
      <c r="K27" s="512"/>
      <c r="L27" s="54"/>
      <c r="M27" s="52"/>
      <c r="N27" s="52" t="s">
        <v>41</v>
      </c>
      <c r="O27" s="52" t="s">
        <v>40</v>
      </c>
      <c r="P27" s="52">
        <v>10</v>
      </c>
      <c r="Q27" s="103">
        <v>401</v>
      </c>
      <c r="R27" s="52">
        <v>553</v>
      </c>
      <c r="S27" s="103">
        <v>2042</v>
      </c>
      <c r="T27" s="52" t="str">
        <f>bookoutsort!G44</f>
        <v>H</v>
      </c>
      <c r="U27" s="52">
        <f>bookoutsort!H44</f>
        <v>39</v>
      </c>
      <c r="V27" s="52"/>
      <c r="W27" s="104">
        <v>338</v>
      </c>
      <c r="X27" s="54"/>
      <c r="Y27" s="52"/>
      <c r="Z27" s="52" t="s">
        <v>41</v>
      </c>
      <c r="AA27" s="52" t="s">
        <v>40</v>
      </c>
      <c r="AB27" s="52">
        <v>21</v>
      </c>
      <c r="AC27" s="103">
        <v>402</v>
      </c>
      <c r="AD27" s="52">
        <v>557</v>
      </c>
      <c r="AE27" s="52">
        <v>921</v>
      </c>
      <c r="AF27" s="52"/>
      <c r="AG27" s="52"/>
      <c r="AH27" s="52"/>
      <c r="AI27" s="104">
        <v>78</v>
      </c>
    </row>
    <row r="28" spans="1:35" ht="21.95" customHeight="1" x14ac:dyDescent="0.3">
      <c r="A28" s="80"/>
      <c r="B28" s="80" t="s">
        <v>41</v>
      </c>
      <c r="C28" s="80" t="s">
        <v>40</v>
      </c>
      <c r="D28" s="80">
        <v>1</v>
      </c>
      <c r="E28" s="80">
        <v>401</v>
      </c>
      <c r="F28" s="80">
        <v>424</v>
      </c>
      <c r="G28" s="80">
        <v>2616</v>
      </c>
      <c r="H28" s="87" t="str">
        <f>bookoutsort!G21</f>
        <v>D</v>
      </c>
      <c r="I28" s="136">
        <f>bookoutsort!H21</f>
        <v>16</v>
      </c>
      <c r="J28" s="80"/>
      <c r="K28" s="83">
        <v>489</v>
      </c>
      <c r="L28" s="54"/>
      <c r="M28" s="80"/>
      <c r="N28" s="80" t="s">
        <v>41</v>
      </c>
      <c r="O28" s="80" t="s">
        <v>40</v>
      </c>
      <c r="P28" s="80">
        <v>12</v>
      </c>
      <c r="Q28" s="81">
        <v>401</v>
      </c>
      <c r="R28" s="80">
        <v>553</v>
      </c>
      <c r="S28" s="81">
        <v>2431</v>
      </c>
      <c r="T28" s="80" t="str">
        <f>bookoutsort!G45</f>
        <v>H</v>
      </c>
      <c r="U28" s="80">
        <f>bookoutsort!H45</f>
        <v>40</v>
      </c>
      <c r="V28" s="80"/>
      <c r="W28" s="83">
        <v>415</v>
      </c>
      <c r="X28" s="54"/>
      <c r="Y28" s="80"/>
      <c r="Z28" s="80" t="s">
        <v>41</v>
      </c>
      <c r="AA28" s="80" t="s">
        <v>40</v>
      </c>
      <c r="AB28" s="80">
        <v>11</v>
      </c>
      <c r="AC28" s="81">
        <v>402</v>
      </c>
      <c r="AD28" s="80">
        <v>606</v>
      </c>
      <c r="AE28" s="80">
        <v>1854</v>
      </c>
      <c r="AF28" s="80"/>
      <c r="AG28" s="80"/>
      <c r="AH28" s="80"/>
      <c r="AI28" s="83">
        <v>278</v>
      </c>
    </row>
    <row r="29" spans="1:35" ht="21.95" customHeight="1" x14ac:dyDescent="0.3">
      <c r="A29" s="52"/>
      <c r="B29" s="52" t="s">
        <v>41</v>
      </c>
      <c r="C29" s="52" t="s">
        <v>40</v>
      </c>
      <c r="D29" s="52">
        <v>21</v>
      </c>
      <c r="E29" s="52">
        <v>401</v>
      </c>
      <c r="F29" s="52">
        <v>425</v>
      </c>
      <c r="G29" s="52">
        <v>2308</v>
      </c>
      <c r="H29" s="52" t="str">
        <f>bookoutsort!G22</f>
        <v>D</v>
      </c>
      <c r="I29" s="104">
        <f>bookoutsort!H22</f>
        <v>17</v>
      </c>
      <c r="J29" s="52"/>
      <c r="K29" s="104">
        <v>415</v>
      </c>
      <c r="L29" s="54"/>
      <c r="M29" s="52"/>
      <c r="N29" s="52" t="s">
        <v>41</v>
      </c>
      <c r="O29" s="52" t="s">
        <v>40</v>
      </c>
      <c r="P29" s="52">
        <v>22</v>
      </c>
      <c r="Q29" s="103">
        <v>401</v>
      </c>
      <c r="R29" s="52">
        <v>553</v>
      </c>
      <c r="S29" s="103">
        <v>2023</v>
      </c>
      <c r="T29" s="52" t="str">
        <f>bookoutsort!G46</f>
        <v>H</v>
      </c>
      <c r="U29" s="52">
        <f>bookoutsort!H46</f>
        <v>41</v>
      </c>
      <c r="V29" s="52"/>
      <c r="W29" s="104">
        <v>336</v>
      </c>
      <c r="X29" s="54"/>
      <c r="Y29" s="52"/>
      <c r="Z29" s="52" t="s">
        <v>41</v>
      </c>
      <c r="AA29" s="52" t="s">
        <v>40</v>
      </c>
      <c r="AB29" s="52">
        <v>16</v>
      </c>
      <c r="AC29" s="103">
        <v>402</v>
      </c>
      <c r="AD29" s="52">
        <v>655</v>
      </c>
      <c r="AE29" s="52">
        <v>2236</v>
      </c>
      <c r="AF29" s="52"/>
      <c r="AG29" s="52"/>
      <c r="AH29" s="52"/>
      <c r="AI29" s="104">
        <v>327</v>
      </c>
    </row>
    <row r="30" spans="1:35" ht="21.95" customHeight="1" x14ac:dyDescent="0.3">
      <c r="A30" s="80"/>
      <c r="B30" s="80" t="s">
        <v>41</v>
      </c>
      <c r="C30" s="80" t="s">
        <v>40</v>
      </c>
      <c r="D30" s="80">
        <v>23</v>
      </c>
      <c r="E30" s="80">
        <v>401</v>
      </c>
      <c r="F30" s="80">
        <v>425</v>
      </c>
      <c r="G30" s="80">
        <v>2901</v>
      </c>
      <c r="H30" s="80" t="str">
        <f>bookoutsort!G23</f>
        <v>D</v>
      </c>
      <c r="I30" s="83">
        <f>bookoutsort!H23</f>
        <v>18</v>
      </c>
      <c r="J30" s="80"/>
      <c r="K30" s="83">
        <v>563</v>
      </c>
      <c r="L30" s="54"/>
      <c r="M30" s="80"/>
      <c r="N30" s="80" t="s">
        <v>41</v>
      </c>
      <c r="O30" s="80" t="s">
        <v>40</v>
      </c>
      <c r="P30" s="80">
        <v>14</v>
      </c>
      <c r="Q30" s="81">
        <v>401</v>
      </c>
      <c r="R30" s="80">
        <v>555</v>
      </c>
      <c r="S30" s="81">
        <v>1940</v>
      </c>
      <c r="T30" s="80" t="str">
        <f>bookoutsort!G47</f>
        <v>H</v>
      </c>
      <c r="U30" s="80">
        <f>bookoutsort!H47</f>
        <v>42</v>
      </c>
      <c r="V30" s="80"/>
      <c r="W30" s="83">
        <v>287</v>
      </c>
      <c r="X30" s="54"/>
      <c r="Y30" s="80"/>
      <c r="Z30" s="80" t="s">
        <v>41</v>
      </c>
      <c r="AA30" s="80" t="s">
        <v>40</v>
      </c>
      <c r="AB30" s="80">
        <v>22</v>
      </c>
      <c r="AC30" s="81">
        <v>402</v>
      </c>
      <c r="AD30" s="80">
        <v>717</v>
      </c>
      <c r="AE30" s="80">
        <v>946</v>
      </c>
      <c r="AF30" s="80"/>
      <c r="AG30" s="80"/>
      <c r="AH30" s="80"/>
      <c r="AI30" s="83">
        <v>61</v>
      </c>
    </row>
    <row r="31" spans="1:35" ht="21.95" customHeight="1" x14ac:dyDescent="0.3">
      <c r="A31" s="52"/>
      <c r="B31" s="52" t="s">
        <v>41</v>
      </c>
      <c r="C31" s="52" t="s">
        <v>40</v>
      </c>
      <c r="D31" s="52">
        <v>6</v>
      </c>
      <c r="E31" s="52">
        <v>401</v>
      </c>
      <c r="F31" s="52">
        <v>426</v>
      </c>
      <c r="G31" s="52">
        <v>1953</v>
      </c>
      <c r="H31" s="52" t="str">
        <f>bookoutsort!G24</f>
        <v>D</v>
      </c>
      <c r="I31" s="104">
        <f>bookoutsort!H24</f>
        <v>19</v>
      </c>
      <c r="J31" s="52"/>
      <c r="K31" s="104">
        <v>361</v>
      </c>
      <c r="L31" s="54"/>
      <c r="M31" s="52"/>
      <c r="N31" s="52" t="s">
        <v>41</v>
      </c>
      <c r="O31" s="52" t="s">
        <v>40</v>
      </c>
      <c r="P31" s="52">
        <v>46</v>
      </c>
      <c r="Q31" s="103">
        <v>401</v>
      </c>
      <c r="R31" s="52">
        <v>559</v>
      </c>
      <c r="S31" s="103">
        <v>917</v>
      </c>
      <c r="T31" s="52" t="str">
        <f>bookoutsort!G48</f>
        <v>H</v>
      </c>
      <c r="U31" s="78">
        <f>bookoutsort!H48</f>
        <v>43</v>
      </c>
      <c r="V31" s="52"/>
      <c r="W31" s="104">
        <v>95</v>
      </c>
      <c r="X31" s="54"/>
      <c r="Y31" s="52"/>
      <c r="Z31" s="52" t="s">
        <v>41</v>
      </c>
      <c r="AA31" s="52" t="s">
        <v>40</v>
      </c>
      <c r="AB31" s="52">
        <v>26</v>
      </c>
      <c r="AC31" s="103">
        <v>402</v>
      </c>
      <c r="AD31" s="52">
        <v>721</v>
      </c>
      <c r="AE31" s="52">
        <v>913</v>
      </c>
      <c r="AF31" s="52"/>
      <c r="AG31" s="52"/>
      <c r="AH31" s="52"/>
      <c r="AI31" s="104">
        <v>55</v>
      </c>
    </row>
    <row r="32" spans="1:35" ht="21.95" customHeight="1" x14ac:dyDescent="0.2">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row>
  </sheetData>
  <mergeCells count="14">
    <mergeCell ref="A14:K15"/>
    <mergeCell ref="A26:K27"/>
    <mergeCell ref="L1:X1"/>
    <mergeCell ref="AB1:AI1"/>
    <mergeCell ref="L2:X2"/>
    <mergeCell ref="AB2:AI2"/>
    <mergeCell ref="AG3:AH3"/>
    <mergeCell ref="A6:K7"/>
    <mergeCell ref="M6:W7"/>
    <mergeCell ref="Y6:AI7"/>
    <mergeCell ref="H3:K3"/>
    <mergeCell ref="L3:X3"/>
    <mergeCell ref="A2:D2"/>
    <mergeCell ref="Y20:AI21"/>
  </mergeCells>
  <phoneticPr fontId="0" type="noConversion"/>
  <printOptions horizontalCentered="1" verticalCentered="1"/>
  <pageMargins left="0" right="0" top="0" bottom="0" header="0" footer="0"/>
  <pageSetup paperSize="5" scale="82"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FF00"/>
    <pageSetUpPr fitToPage="1"/>
  </sheetPr>
  <dimension ref="A1:AI32"/>
  <sheetViews>
    <sheetView topLeftCell="J1" zoomScaleNormal="100" workbookViewId="0">
      <selection activeCell="Z20" sqref="Z20:AI22"/>
    </sheetView>
  </sheetViews>
  <sheetFormatPr defaultRowHeight="21.95" customHeight="1" x14ac:dyDescent="0.2"/>
  <cols>
    <col min="1" max="4" width="6.7109375" style="30" customWidth="1"/>
    <col min="5" max="5" width="8.85546875" style="30" bestFit="1" customWidth="1"/>
    <col min="6" max="16" width="6.7109375" style="30" customWidth="1"/>
    <col min="17" max="17" width="8.85546875" style="30" bestFit="1" customWidth="1"/>
    <col min="18" max="28" width="6.7109375" style="30" customWidth="1"/>
    <col min="29" max="29" width="8.85546875" style="30" bestFit="1" customWidth="1"/>
    <col min="30" max="35" width="6.7109375" style="30" customWidth="1"/>
    <col min="36" max="259" width="9.140625" style="30"/>
    <col min="260" max="263" width="4.7109375" style="30" customWidth="1"/>
    <col min="264" max="264" width="5.28515625" style="30" customWidth="1"/>
    <col min="265" max="265" width="6.28515625" style="30" bestFit="1" customWidth="1"/>
    <col min="266" max="266" width="4.7109375" style="30" customWidth="1"/>
    <col min="267" max="268" width="7.7109375" style="30" customWidth="1"/>
    <col min="269" max="269" width="5.7109375" style="30" customWidth="1"/>
    <col min="270" max="270" width="1.7109375" style="30" customWidth="1"/>
    <col min="271" max="274" width="4.7109375" style="30" customWidth="1"/>
    <col min="275" max="275" width="5.28515625" style="30" customWidth="1"/>
    <col min="276" max="276" width="6.28515625" style="30" bestFit="1" customWidth="1"/>
    <col min="277" max="277" width="4.7109375" style="30" customWidth="1"/>
    <col min="278" max="279" width="7.7109375" style="30" customWidth="1"/>
    <col min="280" max="280" width="5.7109375" style="30" customWidth="1"/>
    <col min="281" max="281" width="1.7109375" style="30" customWidth="1"/>
    <col min="282" max="285" width="4.7109375" style="30" customWidth="1"/>
    <col min="286" max="286" width="5.42578125" style="30" customWidth="1"/>
    <col min="287" max="287" width="6.28515625" style="30" bestFit="1" customWidth="1"/>
    <col min="288" max="288" width="4.7109375" style="30" customWidth="1"/>
    <col min="289" max="290" width="7.7109375" style="30" customWidth="1"/>
    <col min="291" max="291" width="5.7109375" style="30" customWidth="1"/>
    <col min="292" max="515" width="9.140625" style="30"/>
    <col min="516" max="519" width="4.7109375" style="30" customWidth="1"/>
    <col min="520" max="520" width="5.28515625" style="30" customWidth="1"/>
    <col min="521" max="521" width="6.28515625" style="30" bestFit="1" customWidth="1"/>
    <col min="522" max="522" width="4.7109375" style="30" customWidth="1"/>
    <col min="523" max="524" width="7.7109375" style="30" customWidth="1"/>
    <col min="525" max="525" width="5.7109375" style="30" customWidth="1"/>
    <col min="526" max="526" width="1.7109375" style="30" customWidth="1"/>
    <col min="527" max="530" width="4.7109375" style="30" customWidth="1"/>
    <col min="531" max="531" width="5.28515625" style="30" customWidth="1"/>
    <col min="532" max="532" width="6.28515625" style="30" bestFit="1" customWidth="1"/>
    <col min="533" max="533" width="4.7109375" style="30" customWidth="1"/>
    <col min="534" max="535" width="7.7109375" style="30" customWidth="1"/>
    <col min="536" max="536" width="5.7109375" style="30" customWidth="1"/>
    <col min="537" max="537" width="1.7109375" style="30" customWidth="1"/>
    <col min="538" max="541" width="4.7109375" style="30" customWidth="1"/>
    <col min="542" max="542" width="5.42578125" style="30" customWidth="1"/>
    <col min="543" max="543" width="6.28515625" style="30" bestFit="1" customWidth="1"/>
    <col min="544" max="544" width="4.7109375" style="30" customWidth="1"/>
    <col min="545" max="546" width="7.7109375" style="30" customWidth="1"/>
    <col min="547" max="547" width="5.7109375" style="30" customWidth="1"/>
    <col min="548" max="771" width="9.140625" style="30"/>
    <col min="772" max="775" width="4.7109375" style="30" customWidth="1"/>
    <col min="776" max="776" width="5.28515625" style="30" customWidth="1"/>
    <col min="777" max="777" width="6.28515625" style="30" bestFit="1" customWidth="1"/>
    <col min="778" max="778" width="4.7109375" style="30" customWidth="1"/>
    <col min="779" max="780" width="7.7109375" style="30" customWidth="1"/>
    <col min="781" max="781" width="5.7109375" style="30" customWidth="1"/>
    <col min="782" max="782" width="1.7109375" style="30" customWidth="1"/>
    <col min="783" max="786" width="4.7109375" style="30" customWidth="1"/>
    <col min="787" max="787" width="5.28515625" style="30" customWidth="1"/>
    <col min="788" max="788" width="6.28515625" style="30" bestFit="1" customWidth="1"/>
    <col min="789" max="789" width="4.7109375" style="30" customWidth="1"/>
    <col min="790" max="791" width="7.7109375" style="30" customWidth="1"/>
    <col min="792" max="792" width="5.7109375" style="30" customWidth="1"/>
    <col min="793" max="793" width="1.7109375" style="30" customWidth="1"/>
    <col min="794" max="797" width="4.7109375" style="30" customWidth="1"/>
    <col min="798" max="798" width="5.42578125" style="30" customWidth="1"/>
    <col min="799" max="799" width="6.28515625" style="30" bestFit="1" customWidth="1"/>
    <col min="800" max="800" width="4.7109375" style="30" customWidth="1"/>
    <col min="801" max="802" width="7.7109375" style="30" customWidth="1"/>
    <col min="803" max="803" width="5.7109375" style="30" customWidth="1"/>
    <col min="804" max="1027" width="9.140625" style="30"/>
    <col min="1028" max="1031" width="4.7109375" style="30" customWidth="1"/>
    <col min="1032" max="1032" width="5.28515625" style="30" customWidth="1"/>
    <col min="1033" max="1033" width="6.28515625" style="30" bestFit="1" customWidth="1"/>
    <col min="1034" max="1034" width="4.7109375" style="30" customWidth="1"/>
    <col min="1035" max="1036" width="7.7109375" style="30" customWidth="1"/>
    <col min="1037" max="1037" width="5.7109375" style="30" customWidth="1"/>
    <col min="1038" max="1038" width="1.7109375" style="30" customWidth="1"/>
    <col min="1039" max="1042" width="4.7109375" style="30" customWidth="1"/>
    <col min="1043" max="1043" width="5.28515625" style="30" customWidth="1"/>
    <col min="1044" max="1044" width="6.28515625" style="30" bestFit="1" customWidth="1"/>
    <col min="1045" max="1045" width="4.7109375" style="30" customWidth="1"/>
    <col min="1046" max="1047" width="7.7109375" style="30" customWidth="1"/>
    <col min="1048" max="1048" width="5.7109375" style="30" customWidth="1"/>
    <col min="1049" max="1049" width="1.7109375" style="30" customWidth="1"/>
    <col min="1050" max="1053" width="4.7109375" style="30" customWidth="1"/>
    <col min="1054" max="1054" width="5.42578125" style="30" customWidth="1"/>
    <col min="1055" max="1055" width="6.28515625" style="30" bestFit="1" customWidth="1"/>
    <col min="1056" max="1056" width="4.7109375" style="30" customWidth="1"/>
    <col min="1057" max="1058" width="7.7109375" style="30" customWidth="1"/>
    <col min="1059" max="1059" width="5.7109375" style="30" customWidth="1"/>
    <col min="1060" max="1283" width="9.140625" style="30"/>
    <col min="1284" max="1287" width="4.7109375" style="30" customWidth="1"/>
    <col min="1288" max="1288" width="5.28515625" style="30" customWidth="1"/>
    <col min="1289" max="1289" width="6.28515625" style="30" bestFit="1" customWidth="1"/>
    <col min="1290" max="1290" width="4.7109375" style="30" customWidth="1"/>
    <col min="1291" max="1292" width="7.7109375" style="30" customWidth="1"/>
    <col min="1293" max="1293" width="5.7109375" style="30" customWidth="1"/>
    <col min="1294" max="1294" width="1.7109375" style="30" customWidth="1"/>
    <col min="1295" max="1298" width="4.7109375" style="30" customWidth="1"/>
    <col min="1299" max="1299" width="5.28515625" style="30" customWidth="1"/>
    <col min="1300" max="1300" width="6.28515625" style="30" bestFit="1" customWidth="1"/>
    <col min="1301" max="1301" width="4.7109375" style="30" customWidth="1"/>
    <col min="1302" max="1303" width="7.7109375" style="30" customWidth="1"/>
    <col min="1304" max="1304" width="5.7109375" style="30" customWidth="1"/>
    <col min="1305" max="1305" width="1.7109375" style="30" customWidth="1"/>
    <col min="1306" max="1309" width="4.7109375" style="30" customWidth="1"/>
    <col min="1310" max="1310" width="5.42578125" style="30" customWidth="1"/>
    <col min="1311" max="1311" width="6.28515625" style="30" bestFit="1" customWidth="1"/>
    <col min="1312" max="1312" width="4.7109375" style="30" customWidth="1"/>
    <col min="1313" max="1314" width="7.7109375" style="30" customWidth="1"/>
    <col min="1315" max="1315" width="5.7109375" style="30" customWidth="1"/>
    <col min="1316" max="1539" width="9.140625" style="30"/>
    <col min="1540" max="1543" width="4.7109375" style="30" customWidth="1"/>
    <col min="1544" max="1544" width="5.28515625" style="30" customWidth="1"/>
    <col min="1545" max="1545" width="6.28515625" style="30" bestFit="1" customWidth="1"/>
    <col min="1546" max="1546" width="4.7109375" style="30" customWidth="1"/>
    <col min="1547" max="1548" width="7.7109375" style="30" customWidth="1"/>
    <col min="1549" max="1549" width="5.7109375" style="30" customWidth="1"/>
    <col min="1550" max="1550" width="1.7109375" style="30" customWidth="1"/>
    <col min="1551" max="1554" width="4.7109375" style="30" customWidth="1"/>
    <col min="1555" max="1555" width="5.28515625" style="30" customWidth="1"/>
    <col min="1556" max="1556" width="6.28515625" style="30" bestFit="1" customWidth="1"/>
    <col min="1557" max="1557" width="4.7109375" style="30" customWidth="1"/>
    <col min="1558" max="1559" width="7.7109375" style="30" customWidth="1"/>
    <col min="1560" max="1560" width="5.7109375" style="30" customWidth="1"/>
    <col min="1561" max="1561" width="1.7109375" style="30" customWidth="1"/>
    <col min="1562" max="1565" width="4.7109375" style="30" customWidth="1"/>
    <col min="1566" max="1566" width="5.42578125" style="30" customWidth="1"/>
    <col min="1567" max="1567" width="6.28515625" style="30" bestFit="1" customWidth="1"/>
    <col min="1568" max="1568" width="4.7109375" style="30" customWidth="1"/>
    <col min="1569" max="1570" width="7.7109375" style="30" customWidth="1"/>
    <col min="1571" max="1571" width="5.7109375" style="30" customWidth="1"/>
    <col min="1572" max="1795" width="9.140625" style="30"/>
    <col min="1796" max="1799" width="4.7109375" style="30" customWidth="1"/>
    <col min="1800" max="1800" width="5.28515625" style="30" customWidth="1"/>
    <col min="1801" max="1801" width="6.28515625" style="30" bestFit="1" customWidth="1"/>
    <col min="1802" max="1802" width="4.7109375" style="30" customWidth="1"/>
    <col min="1803" max="1804" width="7.7109375" style="30" customWidth="1"/>
    <col min="1805" max="1805" width="5.7109375" style="30" customWidth="1"/>
    <col min="1806" max="1806" width="1.7109375" style="30" customWidth="1"/>
    <col min="1807" max="1810" width="4.7109375" style="30" customWidth="1"/>
    <col min="1811" max="1811" width="5.28515625" style="30" customWidth="1"/>
    <col min="1812" max="1812" width="6.28515625" style="30" bestFit="1" customWidth="1"/>
    <col min="1813" max="1813" width="4.7109375" style="30" customWidth="1"/>
    <col min="1814" max="1815" width="7.7109375" style="30" customWidth="1"/>
    <col min="1816" max="1816" width="5.7109375" style="30" customWidth="1"/>
    <col min="1817" max="1817" width="1.7109375" style="30" customWidth="1"/>
    <col min="1818" max="1821" width="4.7109375" style="30" customWidth="1"/>
    <col min="1822" max="1822" width="5.42578125" style="30" customWidth="1"/>
    <col min="1823" max="1823" width="6.28515625" style="30" bestFit="1" customWidth="1"/>
    <col min="1824" max="1824" width="4.7109375" style="30" customWidth="1"/>
    <col min="1825" max="1826" width="7.7109375" style="30" customWidth="1"/>
    <col min="1827" max="1827" width="5.7109375" style="30" customWidth="1"/>
    <col min="1828" max="2051" width="9.140625" style="30"/>
    <col min="2052" max="2055" width="4.7109375" style="30" customWidth="1"/>
    <col min="2056" max="2056" width="5.28515625" style="30" customWidth="1"/>
    <col min="2057" max="2057" width="6.28515625" style="30" bestFit="1" customWidth="1"/>
    <col min="2058" max="2058" width="4.7109375" style="30" customWidth="1"/>
    <col min="2059" max="2060" width="7.7109375" style="30" customWidth="1"/>
    <col min="2061" max="2061" width="5.7109375" style="30" customWidth="1"/>
    <col min="2062" max="2062" width="1.7109375" style="30" customWidth="1"/>
    <col min="2063" max="2066" width="4.7109375" style="30" customWidth="1"/>
    <col min="2067" max="2067" width="5.28515625" style="30" customWidth="1"/>
    <col min="2068" max="2068" width="6.28515625" style="30" bestFit="1" customWidth="1"/>
    <col min="2069" max="2069" width="4.7109375" style="30" customWidth="1"/>
    <col min="2070" max="2071" width="7.7109375" style="30" customWidth="1"/>
    <col min="2072" max="2072" width="5.7109375" style="30" customWidth="1"/>
    <col min="2073" max="2073" width="1.7109375" style="30" customWidth="1"/>
    <col min="2074" max="2077" width="4.7109375" style="30" customWidth="1"/>
    <col min="2078" max="2078" width="5.42578125" style="30" customWidth="1"/>
    <col min="2079" max="2079" width="6.28515625" style="30" bestFit="1" customWidth="1"/>
    <col min="2080" max="2080" width="4.7109375" style="30" customWidth="1"/>
    <col min="2081" max="2082" width="7.7109375" style="30" customWidth="1"/>
    <col min="2083" max="2083" width="5.7109375" style="30" customWidth="1"/>
    <col min="2084" max="2307" width="9.140625" style="30"/>
    <col min="2308" max="2311" width="4.7109375" style="30" customWidth="1"/>
    <col min="2312" max="2312" width="5.28515625" style="30" customWidth="1"/>
    <col min="2313" max="2313" width="6.28515625" style="30" bestFit="1" customWidth="1"/>
    <col min="2314" max="2314" width="4.7109375" style="30" customWidth="1"/>
    <col min="2315" max="2316" width="7.7109375" style="30" customWidth="1"/>
    <col min="2317" max="2317" width="5.7109375" style="30" customWidth="1"/>
    <col min="2318" max="2318" width="1.7109375" style="30" customWidth="1"/>
    <col min="2319" max="2322" width="4.7109375" style="30" customWidth="1"/>
    <col min="2323" max="2323" width="5.28515625" style="30" customWidth="1"/>
    <col min="2324" max="2324" width="6.28515625" style="30" bestFit="1" customWidth="1"/>
    <col min="2325" max="2325" width="4.7109375" style="30" customWidth="1"/>
    <col min="2326" max="2327" width="7.7109375" style="30" customWidth="1"/>
    <col min="2328" max="2328" width="5.7109375" style="30" customWidth="1"/>
    <col min="2329" max="2329" width="1.7109375" style="30" customWidth="1"/>
    <col min="2330" max="2333" width="4.7109375" style="30" customWidth="1"/>
    <col min="2334" max="2334" width="5.42578125" style="30" customWidth="1"/>
    <col min="2335" max="2335" width="6.28515625" style="30" bestFit="1" customWidth="1"/>
    <col min="2336" max="2336" width="4.7109375" style="30" customWidth="1"/>
    <col min="2337" max="2338" width="7.7109375" style="30" customWidth="1"/>
    <col min="2339" max="2339" width="5.7109375" style="30" customWidth="1"/>
    <col min="2340" max="2563" width="9.140625" style="30"/>
    <col min="2564" max="2567" width="4.7109375" style="30" customWidth="1"/>
    <col min="2568" max="2568" width="5.28515625" style="30" customWidth="1"/>
    <col min="2569" max="2569" width="6.28515625" style="30" bestFit="1" customWidth="1"/>
    <col min="2570" max="2570" width="4.7109375" style="30" customWidth="1"/>
    <col min="2571" max="2572" width="7.7109375" style="30" customWidth="1"/>
    <col min="2573" max="2573" width="5.7109375" style="30" customWidth="1"/>
    <col min="2574" max="2574" width="1.7109375" style="30" customWidth="1"/>
    <col min="2575" max="2578" width="4.7109375" style="30" customWidth="1"/>
    <col min="2579" max="2579" width="5.28515625" style="30" customWidth="1"/>
    <col min="2580" max="2580" width="6.28515625" style="30" bestFit="1" customWidth="1"/>
    <col min="2581" max="2581" width="4.7109375" style="30" customWidth="1"/>
    <col min="2582" max="2583" width="7.7109375" style="30" customWidth="1"/>
    <col min="2584" max="2584" width="5.7109375" style="30" customWidth="1"/>
    <col min="2585" max="2585" width="1.7109375" style="30" customWidth="1"/>
    <col min="2586" max="2589" width="4.7109375" style="30" customWidth="1"/>
    <col min="2590" max="2590" width="5.42578125" style="30" customWidth="1"/>
    <col min="2591" max="2591" width="6.28515625" style="30" bestFit="1" customWidth="1"/>
    <col min="2592" max="2592" width="4.7109375" style="30" customWidth="1"/>
    <col min="2593" max="2594" width="7.7109375" style="30" customWidth="1"/>
    <col min="2595" max="2595" width="5.7109375" style="30" customWidth="1"/>
    <col min="2596" max="2819" width="9.140625" style="30"/>
    <col min="2820" max="2823" width="4.7109375" style="30" customWidth="1"/>
    <col min="2824" max="2824" width="5.28515625" style="30" customWidth="1"/>
    <col min="2825" max="2825" width="6.28515625" style="30" bestFit="1" customWidth="1"/>
    <col min="2826" max="2826" width="4.7109375" style="30" customWidth="1"/>
    <col min="2827" max="2828" width="7.7109375" style="30" customWidth="1"/>
    <col min="2829" max="2829" width="5.7109375" style="30" customWidth="1"/>
    <col min="2830" max="2830" width="1.7109375" style="30" customWidth="1"/>
    <col min="2831" max="2834" width="4.7109375" style="30" customWidth="1"/>
    <col min="2835" max="2835" width="5.28515625" style="30" customWidth="1"/>
    <col min="2836" max="2836" width="6.28515625" style="30" bestFit="1" customWidth="1"/>
    <col min="2837" max="2837" width="4.7109375" style="30" customWidth="1"/>
    <col min="2838" max="2839" width="7.7109375" style="30" customWidth="1"/>
    <col min="2840" max="2840" width="5.7109375" style="30" customWidth="1"/>
    <col min="2841" max="2841" width="1.7109375" style="30" customWidth="1"/>
    <col min="2842" max="2845" width="4.7109375" style="30" customWidth="1"/>
    <col min="2846" max="2846" width="5.42578125" style="30" customWidth="1"/>
    <col min="2847" max="2847" width="6.28515625" style="30" bestFit="1" customWidth="1"/>
    <col min="2848" max="2848" width="4.7109375" style="30" customWidth="1"/>
    <col min="2849" max="2850" width="7.7109375" style="30" customWidth="1"/>
    <col min="2851" max="2851" width="5.7109375" style="30" customWidth="1"/>
    <col min="2852" max="3075" width="9.140625" style="30"/>
    <col min="3076" max="3079" width="4.7109375" style="30" customWidth="1"/>
    <col min="3080" max="3080" width="5.28515625" style="30" customWidth="1"/>
    <col min="3081" max="3081" width="6.28515625" style="30" bestFit="1" customWidth="1"/>
    <col min="3082" max="3082" width="4.7109375" style="30" customWidth="1"/>
    <col min="3083" max="3084" width="7.7109375" style="30" customWidth="1"/>
    <col min="3085" max="3085" width="5.7109375" style="30" customWidth="1"/>
    <col min="3086" max="3086" width="1.7109375" style="30" customWidth="1"/>
    <col min="3087" max="3090" width="4.7109375" style="30" customWidth="1"/>
    <col min="3091" max="3091" width="5.28515625" style="30" customWidth="1"/>
    <col min="3092" max="3092" width="6.28515625" style="30" bestFit="1" customWidth="1"/>
    <col min="3093" max="3093" width="4.7109375" style="30" customWidth="1"/>
    <col min="3094" max="3095" width="7.7109375" style="30" customWidth="1"/>
    <col min="3096" max="3096" width="5.7109375" style="30" customWidth="1"/>
    <col min="3097" max="3097" width="1.7109375" style="30" customWidth="1"/>
    <col min="3098" max="3101" width="4.7109375" style="30" customWidth="1"/>
    <col min="3102" max="3102" width="5.42578125" style="30" customWidth="1"/>
    <col min="3103" max="3103" width="6.28515625" style="30" bestFit="1" customWidth="1"/>
    <col min="3104" max="3104" width="4.7109375" style="30" customWidth="1"/>
    <col min="3105" max="3106" width="7.7109375" style="30" customWidth="1"/>
    <col min="3107" max="3107" width="5.7109375" style="30" customWidth="1"/>
    <col min="3108" max="3331" width="9.140625" style="30"/>
    <col min="3332" max="3335" width="4.7109375" style="30" customWidth="1"/>
    <col min="3336" max="3336" width="5.28515625" style="30" customWidth="1"/>
    <col min="3337" max="3337" width="6.28515625" style="30" bestFit="1" customWidth="1"/>
    <col min="3338" max="3338" width="4.7109375" style="30" customWidth="1"/>
    <col min="3339" max="3340" width="7.7109375" style="30" customWidth="1"/>
    <col min="3341" max="3341" width="5.7109375" style="30" customWidth="1"/>
    <col min="3342" max="3342" width="1.7109375" style="30" customWidth="1"/>
    <col min="3343" max="3346" width="4.7109375" style="30" customWidth="1"/>
    <col min="3347" max="3347" width="5.28515625" style="30" customWidth="1"/>
    <col min="3348" max="3348" width="6.28515625" style="30" bestFit="1" customWidth="1"/>
    <col min="3349" max="3349" width="4.7109375" style="30" customWidth="1"/>
    <col min="3350" max="3351" width="7.7109375" style="30" customWidth="1"/>
    <col min="3352" max="3352" width="5.7109375" style="30" customWidth="1"/>
    <col min="3353" max="3353" width="1.7109375" style="30" customWidth="1"/>
    <col min="3354" max="3357" width="4.7109375" style="30" customWidth="1"/>
    <col min="3358" max="3358" width="5.42578125" style="30" customWidth="1"/>
    <col min="3359" max="3359" width="6.28515625" style="30" bestFit="1" customWidth="1"/>
    <col min="3360" max="3360" width="4.7109375" style="30" customWidth="1"/>
    <col min="3361" max="3362" width="7.7109375" style="30" customWidth="1"/>
    <col min="3363" max="3363" width="5.7109375" style="30" customWidth="1"/>
    <col min="3364" max="3587" width="9.140625" style="30"/>
    <col min="3588" max="3591" width="4.7109375" style="30" customWidth="1"/>
    <col min="3592" max="3592" width="5.28515625" style="30" customWidth="1"/>
    <col min="3593" max="3593" width="6.28515625" style="30" bestFit="1" customWidth="1"/>
    <col min="3594" max="3594" width="4.7109375" style="30" customWidth="1"/>
    <col min="3595" max="3596" width="7.7109375" style="30" customWidth="1"/>
    <col min="3597" max="3597" width="5.7109375" style="30" customWidth="1"/>
    <col min="3598" max="3598" width="1.7109375" style="30" customWidth="1"/>
    <col min="3599" max="3602" width="4.7109375" style="30" customWidth="1"/>
    <col min="3603" max="3603" width="5.28515625" style="30" customWidth="1"/>
    <col min="3604" max="3604" width="6.28515625" style="30" bestFit="1" customWidth="1"/>
    <col min="3605" max="3605" width="4.7109375" style="30" customWidth="1"/>
    <col min="3606" max="3607" width="7.7109375" style="30" customWidth="1"/>
    <col min="3608" max="3608" width="5.7109375" style="30" customWidth="1"/>
    <col min="3609" max="3609" width="1.7109375" style="30" customWidth="1"/>
    <col min="3610" max="3613" width="4.7109375" style="30" customWidth="1"/>
    <col min="3614" max="3614" width="5.42578125" style="30" customWidth="1"/>
    <col min="3615" max="3615" width="6.28515625" style="30" bestFit="1" customWidth="1"/>
    <col min="3616" max="3616" width="4.7109375" style="30" customWidth="1"/>
    <col min="3617" max="3618" width="7.7109375" style="30" customWidth="1"/>
    <col min="3619" max="3619" width="5.7109375" style="30" customWidth="1"/>
    <col min="3620" max="3843" width="9.140625" style="30"/>
    <col min="3844" max="3847" width="4.7109375" style="30" customWidth="1"/>
    <col min="3848" max="3848" width="5.28515625" style="30" customWidth="1"/>
    <col min="3849" max="3849" width="6.28515625" style="30" bestFit="1" customWidth="1"/>
    <col min="3850" max="3850" width="4.7109375" style="30" customWidth="1"/>
    <col min="3851" max="3852" width="7.7109375" style="30" customWidth="1"/>
    <col min="3853" max="3853" width="5.7109375" style="30" customWidth="1"/>
    <col min="3854" max="3854" width="1.7109375" style="30" customWidth="1"/>
    <col min="3855" max="3858" width="4.7109375" style="30" customWidth="1"/>
    <col min="3859" max="3859" width="5.28515625" style="30" customWidth="1"/>
    <col min="3860" max="3860" width="6.28515625" style="30" bestFit="1" customWidth="1"/>
    <col min="3861" max="3861" width="4.7109375" style="30" customWidth="1"/>
    <col min="3862" max="3863" width="7.7109375" style="30" customWidth="1"/>
    <col min="3864" max="3864" width="5.7109375" style="30" customWidth="1"/>
    <col min="3865" max="3865" width="1.7109375" style="30" customWidth="1"/>
    <col min="3866" max="3869" width="4.7109375" style="30" customWidth="1"/>
    <col min="3870" max="3870" width="5.42578125" style="30" customWidth="1"/>
    <col min="3871" max="3871" width="6.28515625" style="30" bestFit="1" customWidth="1"/>
    <col min="3872" max="3872" width="4.7109375" style="30" customWidth="1"/>
    <col min="3873" max="3874" width="7.7109375" style="30" customWidth="1"/>
    <col min="3875" max="3875" width="5.7109375" style="30" customWidth="1"/>
    <col min="3876" max="4099" width="9.140625" style="30"/>
    <col min="4100" max="4103" width="4.7109375" style="30" customWidth="1"/>
    <col min="4104" max="4104" width="5.28515625" style="30" customWidth="1"/>
    <col min="4105" max="4105" width="6.28515625" style="30" bestFit="1" customWidth="1"/>
    <col min="4106" max="4106" width="4.7109375" style="30" customWidth="1"/>
    <col min="4107" max="4108" width="7.7109375" style="30" customWidth="1"/>
    <col min="4109" max="4109" width="5.7109375" style="30" customWidth="1"/>
    <col min="4110" max="4110" width="1.7109375" style="30" customWidth="1"/>
    <col min="4111" max="4114" width="4.7109375" style="30" customWidth="1"/>
    <col min="4115" max="4115" width="5.28515625" style="30" customWidth="1"/>
    <col min="4116" max="4116" width="6.28515625" style="30" bestFit="1" customWidth="1"/>
    <col min="4117" max="4117" width="4.7109375" style="30" customWidth="1"/>
    <col min="4118" max="4119" width="7.7109375" style="30" customWidth="1"/>
    <col min="4120" max="4120" width="5.7109375" style="30" customWidth="1"/>
    <col min="4121" max="4121" width="1.7109375" style="30" customWidth="1"/>
    <col min="4122" max="4125" width="4.7109375" style="30" customWidth="1"/>
    <col min="4126" max="4126" width="5.42578125" style="30" customWidth="1"/>
    <col min="4127" max="4127" width="6.28515625" style="30" bestFit="1" customWidth="1"/>
    <col min="4128" max="4128" width="4.7109375" style="30" customWidth="1"/>
    <col min="4129" max="4130" width="7.7109375" style="30" customWidth="1"/>
    <col min="4131" max="4131" width="5.7109375" style="30" customWidth="1"/>
    <col min="4132" max="4355" width="9.140625" style="30"/>
    <col min="4356" max="4359" width="4.7109375" style="30" customWidth="1"/>
    <col min="4360" max="4360" width="5.28515625" style="30" customWidth="1"/>
    <col min="4361" max="4361" width="6.28515625" style="30" bestFit="1" customWidth="1"/>
    <col min="4362" max="4362" width="4.7109375" style="30" customWidth="1"/>
    <col min="4363" max="4364" width="7.7109375" style="30" customWidth="1"/>
    <col min="4365" max="4365" width="5.7109375" style="30" customWidth="1"/>
    <col min="4366" max="4366" width="1.7109375" style="30" customWidth="1"/>
    <col min="4367" max="4370" width="4.7109375" style="30" customWidth="1"/>
    <col min="4371" max="4371" width="5.28515625" style="30" customWidth="1"/>
    <col min="4372" max="4372" width="6.28515625" style="30" bestFit="1" customWidth="1"/>
    <col min="4373" max="4373" width="4.7109375" style="30" customWidth="1"/>
    <col min="4374" max="4375" width="7.7109375" style="30" customWidth="1"/>
    <col min="4376" max="4376" width="5.7109375" style="30" customWidth="1"/>
    <col min="4377" max="4377" width="1.7109375" style="30" customWidth="1"/>
    <col min="4378" max="4381" width="4.7109375" style="30" customWidth="1"/>
    <col min="4382" max="4382" width="5.42578125" style="30" customWidth="1"/>
    <col min="4383" max="4383" width="6.28515625" style="30" bestFit="1" customWidth="1"/>
    <col min="4384" max="4384" width="4.7109375" style="30" customWidth="1"/>
    <col min="4385" max="4386" width="7.7109375" style="30" customWidth="1"/>
    <col min="4387" max="4387" width="5.7109375" style="30" customWidth="1"/>
    <col min="4388" max="4611" width="9.140625" style="30"/>
    <col min="4612" max="4615" width="4.7109375" style="30" customWidth="1"/>
    <col min="4616" max="4616" width="5.28515625" style="30" customWidth="1"/>
    <col min="4617" max="4617" width="6.28515625" style="30" bestFit="1" customWidth="1"/>
    <col min="4618" max="4618" width="4.7109375" style="30" customWidth="1"/>
    <col min="4619" max="4620" width="7.7109375" style="30" customWidth="1"/>
    <col min="4621" max="4621" width="5.7109375" style="30" customWidth="1"/>
    <col min="4622" max="4622" width="1.7109375" style="30" customWidth="1"/>
    <col min="4623" max="4626" width="4.7109375" style="30" customWidth="1"/>
    <col min="4627" max="4627" width="5.28515625" style="30" customWidth="1"/>
    <col min="4628" max="4628" width="6.28515625" style="30" bestFit="1" customWidth="1"/>
    <col min="4629" max="4629" width="4.7109375" style="30" customWidth="1"/>
    <col min="4630" max="4631" width="7.7109375" style="30" customWidth="1"/>
    <col min="4632" max="4632" width="5.7109375" style="30" customWidth="1"/>
    <col min="4633" max="4633" width="1.7109375" style="30" customWidth="1"/>
    <col min="4634" max="4637" width="4.7109375" style="30" customWidth="1"/>
    <col min="4638" max="4638" width="5.42578125" style="30" customWidth="1"/>
    <col min="4639" max="4639" width="6.28515625" style="30" bestFit="1" customWidth="1"/>
    <col min="4640" max="4640" width="4.7109375" style="30" customWidth="1"/>
    <col min="4641" max="4642" width="7.7109375" style="30" customWidth="1"/>
    <col min="4643" max="4643" width="5.7109375" style="30" customWidth="1"/>
    <col min="4644" max="4867" width="9.140625" style="30"/>
    <col min="4868" max="4871" width="4.7109375" style="30" customWidth="1"/>
    <col min="4872" max="4872" width="5.28515625" style="30" customWidth="1"/>
    <col min="4873" max="4873" width="6.28515625" style="30" bestFit="1" customWidth="1"/>
    <col min="4874" max="4874" width="4.7109375" style="30" customWidth="1"/>
    <col min="4875" max="4876" width="7.7109375" style="30" customWidth="1"/>
    <col min="4877" max="4877" width="5.7109375" style="30" customWidth="1"/>
    <col min="4878" max="4878" width="1.7109375" style="30" customWidth="1"/>
    <col min="4879" max="4882" width="4.7109375" style="30" customWidth="1"/>
    <col min="4883" max="4883" width="5.28515625" style="30" customWidth="1"/>
    <col min="4884" max="4884" width="6.28515625" style="30" bestFit="1" customWidth="1"/>
    <col min="4885" max="4885" width="4.7109375" style="30" customWidth="1"/>
    <col min="4886" max="4887" width="7.7109375" style="30" customWidth="1"/>
    <col min="4888" max="4888" width="5.7109375" style="30" customWidth="1"/>
    <col min="4889" max="4889" width="1.7109375" style="30" customWidth="1"/>
    <col min="4890" max="4893" width="4.7109375" style="30" customWidth="1"/>
    <col min="4894" max="4894" width="5.42578125" style="30" customWidth="1"/>
    <col min="4895" max="4895" width="6.28515625" style="30" bestFit="1" customWidth="1"/>
    <col min="4896" max="4896" width="4.7109375" style="30" customWidth="1"/>
    <col min="4897" max="4898" width="7.7109375" style="30" customWidth="1"/>
    <col min="4899" max="4899" width="5.7109375" style="30" customWidth="1"/>
    <col min="4900" max="5123" width="9.140625" style="30"/>
    <col min="5124" max="5127" width="4.7109375" style="30" customWidth="1"/>
    <col min="5128" max="5128" width="5.28515625" style="30" customWidth="1"/>
    <col min="5129" max="5129" width="6.28515625" style="30" bestFit="1" customWidth="1"/>
    <col min="5130" max="5130" width="4.7109375" style="30" customWidth="1"/>
    <col min="5131" max="5132" width="7.7109375" style="30" customWidth="1"/>
    <col min="5133" max="5133" width="5.7109375" style="30" customWidth="1"/>
    <col min="5134" max="5134" width="1.7109375" style="30" customWidth="1"/>
    <col min="5135" max="5138" width="4.7109375" style="30" customWidth="1"/>
    <col min="5139" max="5139" width="5.28515625" style="30" customWidth="1"/>
    <col min="5140" max="5140" width="6.28515625" style="30" bestFit="1" customWidth="1"/>
    <col min="5141" max="5141" width="4.7109375" style="30" customWidth="1"/>
    <col min="5142" max="5143" width="7.7109375" style="30" customWidth="1"/>
    <col min="5144" max="5144" width="5.7109375" style="30" customWidth="1"/>
    <col min="5145" max="5145" width="1.7109375" style="30" customWidth="1"/>
    <col min="5146" max="5149" width="4.7109375" style="30" customWidth="1"/>
    <col min="5150" max="5150" width="5.42578125" style="30" customWidth="1"/>
    <col min="5151" max="5151" width="6.28515625" style="30" bestFit="1" customWidth="1"/>
    <col min="5152" max="5152" width="4.7109375" style="30" customWidth="1"/>
    <col min="5153" max="5154" width="7.7109375" style="30" customWidth="1"/>
    <col min="5155" max="5155" width="5.7109375" style="30" customWidth="1"/>
    <col min="5156" max="5379" width="9.140625" style="30"/>
    <col min="5380" max="5383" width="4.7109375" style="30" customWidth="1"/>
    <col min="5384" max="5384" width="5.28515625" style="30" customWidth="1"/>
    <col min="5385" max="5385" width="6.28515625" style="30" bestFit="1" customWidth="1"/>
    <col min="5386" max="5386" width="4.7109375" style="30" customWidth="1"/>
    <col min="5387" max="5388" width="7.7109375" style="30" customWidth="1"/>
    <col min="5389" max="5389" width="5.7109375" style="30" customWidth="1"/>
    <col min="5390" max="5390" width="1.7109375" style="30" customWidth="1"/>
    <col min="5391" max="5394" width="4.7109375" style="30" customWidth="1"/>
    <col min="5395" max="5395" width="5.28515625" style="30" customWidth="1"/>
    <col min="5396" max="5396" width="6.28515625" style="30" bestFit="1" customWidth="1"/>
    <col min="5397" max="5397" width="4.7109375" style="30" customWidth="1"/>
    <col min="5398" max="5399" width="7.7109375" style="30" customWidth="1"/>
    <col min="5400" max="5400" width="5.7109375" style="30" customWidth="1"/>
    <col min="5401" max="5401" width="1.7109375" style="30" customWidth="1"/>
    <col min="5402" max="5405" width="4.7109375" style="30" customWidth="1"/>
    <col min="5406" max="5406" width="5.42578125" style="30" customWidth="1"/>
    <col min="5407" max="5407" width="6.28515625" style="30" bestFit="1" customWidth="1"/>
    <col min="5408" max="5408" width="4.7109375" style="30" customWidth="1"/>
    <col min="5409" max="5410" width="7.7109375" style="30" customWidth="1"/>
    <col min="5411" max="5411" width="5.7109375" style="30" customWidth="1"/>
    <col min="5412" max="5635" width="9.140625" style="30"/>
    <col min="5636" max="5639" width="4.7109375" style="30" customWidth="1"/>
    <col min="5640" max="5640" width="5.28515625" style="30" customWidth="1"/>
    <col min="5641" max="5641" width="6.28515625" style="30" bestFit="1" customWidth="1"/>
    <col min="5642" max="5642" width="4.7109375" style="30" customWidth="1"/>
    <col min="5643" max="5644" width="7.7109375" style="30" customWidth="1"/>
    <col min="5645" max="5645" width="5.7109375" style="30" customWidth="1"/>
    <col min="5646" max="5646" width="1.7109375" style="30" customWidth="1"/>
    <col min="5647" max="5650" width="4.7109375" style="30" customWidth="1"/>
    <col min="5651" max="5651" width="5.28515625" style="30" customWidth="1"/>
    <col min="5652" max="5652" width="6.28515625" style="30" bestFit="1" customWidth="1"/>
    <col min="5653" max="5653" width="4.7109375" style="30" customWidth="1"/>
    <col min="5654" max="5655" width="7.7109375" style="30" customWidth="1"/>
    <col min="5656" max="5656" width="5.7109375" style="30" customWidth="1"/>
    <col min="5657" max="5657" width="1.7109375" style="30" customWidth="1"/>
    <col min="5658" max="5661" width="4.7109375" style="30" customWidth="1"/>
    <col min="5662" max="5662" width="5.42578125" style="30" customWidth="1"/>
    <col min="5663" max="5663" width="6.28515625" style="30" bestFit="1" customWidth="1"/>
    <col min="5664" max="5664" width="4.7109375" style="30" customWidth="1"/>
    <col min="5665" max="5666" width="7.7109375" style="30" customWidth="1"/>
    <col min="5667" max="5667" width="5.7109375" style="30" customWidth="1"/>
    <col min="5668" max="5891" width="9.140625" style="30"/>
    <col min="5892" max="5895" width="4.7109375" style="30" customWidth="1"/>
    <col min="5896" max="5896" width="5.28515625" style="30" customWidth="1"/>
    <col min="5897" max="5897" width="6.28515625" style="30" bestFit="1" customWidth="1"/>
    <col min="5898" max="5898" width="4.7109375" style="30" customWidth="1"/>
    <col min="5899" max="5900" width="7.7109375" style="30" customWidth="1"/>
    <col min="5901" max="5901" width="5.7109375" style="30" customWidth="1"/>
    <col min="5902" max="5902" width="1.7109375" style="30" customWidth="1"/>
    <col min="5903" max="5906" width="4.7109375" style="30" customWidth="1"/>
    <col min="5907" max="5907" width="5.28515625" style="30" customWidth="1"/>
    <col min="5908" max="5908" width="6.28515625" style="30" bestFit="1" customWidth="1"/>
    <col min="5909" max="5909" width="4.7109375" style="30" customWidth="1"/>
    <col min="5910" max="5911" width="7.7109375" style="30" customWidth="1"/>
    <col min="5912" max="5912" width="5.7109375" style="30" customWidth="1"/>
    <col min="5913" max="5913" width="1.7109375" style="30" customWidth="1"/>
    <col min="5914" max="5917" width="4.7109375" style="30" customWidth="1"/>
    <col min="5918" max="5918" width="5.42578125" style="30" customWidth="1"/>
    <col min="5919" max="5919" width="6.28515625" style="30" bestFit="1" customWidth="1"/>
    <col min="5920" max="5920" width="4.7109375" style="30" customWidth="1"/>
    <col min="5921" max="5922" width="7.7109375" style="30" customWidth="1"/>
    <col min="5923" max="5923" width="5.7109375" style="30" customWidth="1"/>
    <col min="5924" max="6147" width="9.140625" style="30"/>
    <col min="6148" max="6151" width="4.7109375" style="30" customWidth="1"/>
    <col min="6152" max="6152" width="5.28515625" style="30" customWidth="1"/>
    <col min="6153" max="6153" width="6.28515625" style="30" bestFit="1" customWidth="1"/>
    <col min="6154" max="6154" width="4.7109375" style="30" customWidth="1"/>
    <col min="6155" max="6156" width="7.7109375" style="30" customWidth="1"/>
    <col min="6157" max="6157" width="5.7109375" style="30" customWidth="1"/>
    <col min="6158" max="6158" width="1.7109375" style="30" customWidth="1"/>
    <col min="6159" max="6162" width="4.7109375" style="30" customWidth="1"/>
    <col min="6163" max="6163" width="5.28515625" style="30" customWidth="1"/>
    <col min="6164" max="6164" width="6.28515625" style="30" bestFit="1" customWidth="1"/>
    <col min="6165" max="6165" width="4.7109375" style="30" customWidth="1"/>
    <col min="6166" max="6167" width="7.7109375" style="30" customWidth="1"/>
    <col min="6168" max="6168" width="5.7109375" style="30" customWidth="1"/>
    <col min="6169" max="6169" width="1.7109375" style="30" customWidth="1"/>
    <col min="6170" max="6173" width="4.7109375" style="30" customWidth="1"/>
    <col min="6174" max="6174" width="5.42578125" style="30" customWidth="1"/>
    <col min="6175" max="6175" width="6.28515625" style="30" bestFit="1" customWidth="1"/>
    <col min="6176" max="6176" width="4.7109375" style="30" customWidth="1"/>
    <col min="6177" max="6178" width="7.7109375" style="30" customWidth="1"/>
    <col min="6179" max="6179" width="5.7109375" style="30" customWidth="1"/>
    <col min="6180" max="6403" width="9.140625" style="30"/>
    <col min="6404" max="6407" width="4.7109375" style="30" customWidth="1"/>
    <col min="6408" max="6408" width="5.28515625" style="30" customWidth="1"/>
    <col min="6409" max="6409" width="6.28515625" style="30" bestFit="1" customWidth="1"/>
    <col min="6410" max="6410" width="4.7109375" style="30" customWidth="1"/>
    <col min="6411" max="6412" width="7.7109375" style="30" customWidth="1"/>
    <col min="6413" max="6413" width="5.7109375" style="30" customWidth="1"/>
    <col min="6414" max="6414" width="1.7109375" style="30" customWidth="1"/>
    <col min="6415" max="6418" width="4.7109375" style="30" customWidth="1"/>
    <col min="6419" max="6419" width="5.28515625" style="30" customWidth="1"/>
    <col min="6420" max="6420" width="6.28515625" style="30" bestFit="1" customWidth="1"/>
    <col min="6421" max="6421" width="4.7109375" style="30" customWidth="1"/>
    <col min="6422" max="6423" width="7.7109375" style="30" customWidth="1"/>
    <col min="6424" max="6424" width="5.7109375" style="30" customWidth="1"/>
    <col min="6425" max="6425" width="1.7109375" style="30" customWidth="1"/>
    <col min="6426" max="6429" width="4.7109375" style="30" customWidth="1"/>
    <col min="6430" max="6430" width="5.42578125" style="30" customWidth="1"/>
    <col min="6431" max="6431" width="6.28515625" style="30" bestFit="1" customWidth="1"/>
    <col min="6432" max="6432" width="4.7109375" style="30" customWidth="1"/>
    <col min="6433" max="6434" width="7.7109375" style="30" customWidth="1"/>
    <col min="6435" max="6435" width="5.7109375" style="30" customWidth="1"/>
    <col min="6436" max="6659" width="9.140625" style="30"/>
    <col min="6660" max="6663" width="4.7109375" style="30" customWidth="1"/>
    <col min="6664" max="6664" width="5.28515625" style="30" customWidth="1"/>
    <col min="6665" max="6665" width="6.28515625" style="30" bestFit="1" customWidth="1"/>
    <col min="6666" max="6666" width="4.7109375" style="30" customWidth="1"/>
    <col min="6667" max="6668" width="7.7109375" style="30" customWidth="1"/>
    <col min="6669" max="6669" width="5.7109375" style="30" customWidth="1"/>
    <col min="6670" max="6670" width="1.7109375" style="30" customWidth="1"/>
    <col min="6671" max="6674" width="4.7109375" style="30" customWidth="1"/>
    <col min="6675" max="6675" width="5.28515625" style="30" customWidth="1"/>
    <col min="6676" max="6676" width="6.28515625" style="30" bestFit="1" customWidth="1"/>
    <col min="6677" max="6677" width="4.7109375" style="30" customWidth="1"/>
    <col min="6678" max="6679" width="7.7109375" style="30" customWidth="1"/>
    <col min="6680" max="6680" width="5.7109375" style="30" customWidth="1"/>
    <col min="6681" max="6681" width="1.7109375" style="30" customWidth="1"/>
    <col min="6682" max="6685" width="4.7109375" style="30" customWidth="1"/>
    <col min="6686" max="6686" width="5.42578125" style="30" customWidth="1"/>
    <col min="6687" max="6687" width="6.28515625" style="30" bestFit="1" customWidth="1"/>
    <col min="6688" max="6688" width="4.7109375" style="30" customWidth="1"/>
    <col min="6689" max="6690" width="7.7109375" style="30" customWidth="1"/>
    <col min="6691" max="6691" width="5.7109375" style="30" customWidth="1"/>
    <col min="6692" max="6915" width="9.140625" style="30"/>
    <col min="6916" max="6919" width="4.7109375" style="30" customWidth="1"/>
    <col min="6920" max="6920" width="5.28515625" style="30" customWidth="1"/>
    <col min="6921" max="6921" width="6.28515625" style="30" bestFit="1" customWidth="1"/>
    <col min="6922" max="6922" width="4.7109375" style="30" customWidth="1"/>
    <col min="6923" max="6924" width="7.7109375" style="30" customWidth="1"/>
    <col min="6925" max="6925" width="5.7109375" style="30" customWidth="1"/>
    <col min="6926" max="6926" width="1.7109375" style="30" customWidth="1"/>
    <col min="6927" max="6930" width="4.7109375" style="30" customWidth="1"/>
    <col min="6931" max="6931" width="5.28515625" style="30" customWidth="1"/>
    <col min="6932" max="6932" width="6.28515625" style="30" bestFit="1" customWidth="1"/>
    <col min="6933" max="6933" width="4.7109375" style="30" customWidth="1"/>
    <col min="6934" max="6935" width="7.7109375" style="30" customWidth="1"/>
    <col min="6936" max="6936" width="5.7109375" style="30" customWidth="1"/>
    <col min="6937" max="6937" width="1.7109375" style="30" customWidth="1"/>
    <col min="6938" max="6941" width="4.7109375" style="30" customWidth="1"/>
    <col min="6942" max="6942" width="5.42578125" style="30" customWidth="1"/>
    <col min="6943" max="6943" width="6.28515625" style="30" bestFit="1" customWidth="1"/>
    <col min="6944" max="6944" width="4.7109375" style="30" customWidth="1"/>
    <col min="6945" max="6946" width="7.7109375" style="30" customWidth="1"/>
    <col min="6947" max="6947" width="5.7109375" style="30" customWidth="1"/>
    <col min="6948" max="7171" width="9.140625" style="30"/>
    <col min="7172" max="7175" width="4.7109375" style="30" customWidth="1"/>
    <col min="7176" max="7176" width="5.28515625" style="30" customWidth="1"/>
    <col min="7177" max="7177" width="6.28515625" style="30" bestFit="1" customWidth="1"/>
    <col min="7178" max="7178" width="4.7109375" style="30" customWidth="1"/>
    <col min="7179" max="7180" width="7.7109375" style="30" customWidth="1"/>
    <col min="7181" max="7181" width="5.7109375" style="30" customWidth="1"/>
    <col min="7182" max="7182" width="1.7109375" style="30" customWidth="1"/>
    <col min="7183" max="7186" width="4.7109375" style="30" customWidth="1"/>
    <col min="7187" max="7187" width="5.28515625" style="30" customWidth="1"/>
    <col min="7188" max="7188" width="6.28515625" style="30" bestFit="1" customWidth="1"/>
    <col min="7189" max="7189" width="4.7109375" style="30" customWidth="1"/>
    <col min="7190" max="7191" width="7.7109375" style="30" customWidth="1"/>
    <col min="7192" max="7192" width="5.7109375" style="30" customWidth="1"/>
    <col min="7193" max="7193" width="1.7109375" style="30" customWidth="1"/>
    <col min="7194" max="7197" width="4.7109375" style="30" customWidth="1"/>
    <col min="7198" max="7198" width="5.42578125" style="30" customWidth="1"/>
    <col min="7199" max="7199" width="6.28515625" style="30" bestFit="1" customWidth="1"/>
    <col min="7200" max="7200" width="4.7109375" style="30" customWidth="1"/>
    <col min="7201" max="7202" width="7.7109375" style="30" customWidth="1"/>
    <col min="7203" max="7203" width="5.7109375" style="30" customWidth="1"/>
    <col min="7204" max="7427" width="9.140625" style="30"/>
    <col min="7428" max="7431" width="4.7109375" style="30" customWidth="1"/>
    <col min="7432" max="7432" width="5.28515625" style="30" customWidth="1"/>
    <col min="7433" max="7433" width="6.28515625" style="30" bestFit="1" customWidth="1"/>
    <col min="7434" max="7434" width="4.7109375" style="30" customWidth="1"/>
    <col min="7435" max="7436" width="7.7109375" style="30" customWidth="1"/>
    <col min="7437" max="7437" width="5.7109375" style="30" customWidth="1"/>
    <col min="7438" max="7438" width="1.7109375" style="30" customWidth="1"/>
    <col min="7439" max="7442" width="4.7109375" style="30" customWidth="1"/>
    <col min="7443" max="7443" width="5.28515625" style="30" customWidth="1"/>
    <col min="7444" max="7444" width="6.28515625" style="30" bestFit="1" customWidth="1"/>
    <col min="7445" max="7445" width="4.7109375" style="30" customWidth="1"/>
    <col min="7446" max="7447" width="7.7109375" style="30" customWidth="1"/>
    <col min="7448" max="7448" width="5.7109375" style="30" customWidth="1"/>
    <col min="7449" max="7449" width="1.7109375" style="30" customWidth="1"/>
    <col min="7450" max="7453" width="4.7109375" style="30" customWidth="1"/>
    <col min="7454" max="7454" width="5.42578125" style="30" customWidth="1"/>
    <col min="7455" max="7455" width="6.28515625" style="30" bestFit="1" customWidth="1"/>
    <col min="7456" max="7456" width="4.7109375" style="30" customWidth="1"/>
    <col min="7457" max="7458" width="7.7109375" style="30" customWidth="1"/>
    <col min="7459" max="7459" width="5.7109375" style="30" customWidth="1"/>
    <col min="7460" max="7683" width="9.140625" style="30"/>
    <col min="7684" max="7687" width="4.7109375" style="30" customWidth="1"/>
    <col min="7688" max="7688" width="5.28515625" style="30" customWidth="1"/>
    <col min="7689" max="7689" width="6.28515625" style="30" bestFit="1" customWidth="1"/>
    <col min="7690" max="7690" width="4.7109375" style="30" customWidth="1"/>
    <col min="7691" max="7692" width="7.7109375" style="30" customWidth="1"/>
    <col min="7693" max="7693" width="5.7109375" style="30" customWidth="1"/>
    <col min="7694" max="7694" width="1.7109375" style="30" customWidth="1"/>
    <col min="7695" max="7698" width="4.7109375" style="30" customWidth="1"/>
    <col min="7699" max="7699" width="5.28515625" style="30" customWidth="1"/>
    <col min="7700" max="7700" width="6.28515625" style="30" bestFit="1" customWidth="1"/>
    <col min="7701" max="7701" width="4.7109375" style="30" customWidth="1"/>
    <col min="7702" max="7703" width="7.7109375" style="30" customWidth="1"/>
    <col min="7704" max="7704" width="5.7109375" style="30" customWidth="1"/>
    <col min="7705" max="7705" width="1.7109375" style="30" customWidth="1"/>
    <col min="7706" max="7709" width="4.7109375" style="30" customWidth="1"/>
    <col min="7710" max="7710" width="5.42578125" style="30" customWidth="1"/>
    <col min="7711" max="7711" width="6.28515625" style="30" bestFit="1" customWidth="1"/>
    <col min="7712" max="7712" width="4.7109375" style="30" customWidth="1"/>
    <col min="7713" max="7714" width="7.7109375" style="30" customWidth="1"/>
    <col min="7715" max="7715" width="5.7109375" style="30" customWidth="1"/>
    <col min="7716" max="7939" width="9.140625" style="30"/>
    <col min="7940" max="7943" width="4.7109375" style="30" customWidth="1"/>
    <col min="7944" max="7944" width="5.28515625" style="30" customWidth="1"/>
    <col min="7945" max="7945" width="6.28515625" style="30" bestFit="1" customWidth="1"/>
    <col min="7946" max="7946" width="4.7109375" style="30" customWidth="1"/>
    <col min="7947" max="7948" width="7.7109375" style="30" customWidth="1"/>
    <col min="7949" max="7949" width="5.7109375" style="30" customWidth="1"/>
    <col min="7950" max="7950" width="1.7109375" style="30" customWidth="1"/>
    <col min="7951" max="7954" width="4.7109375" style="30" customWidth="1"/>
    <col min="7955" max="7955" width="5.28515625" style="30" customWidth="1"/>
    <col min="7956" max="7956" width="6.28515625" style="30" bestFit="1" customWidth="1"/>
    <col min="7957" max="7957" width="4.7109375" style="30" customWidth="1"/>
    <col min="7958" max="7959" width="7.7109375" style="30" customWidth="1"/>
    <col min="7960" max="7960" width="5.7109375" style="30" customWidth="1"/>
    <col min="7961" max="7961" width="1.7109375" style="30" customWidth="1"/>
    <col min="7962" max="7965" width="4.7109375" style="30" customWidth="1"/>
    <col min="7966" max="7966" width="5.42578125" style="30" customWidth="1"/>
    <col min="7967" max="7967" width="6.28515625" style="30" bestFit="1" customWidth="1"/>
    <col min="7968" max="7968" width="4.7109375" style="30" customWidth="1"/>
    <col min="7969" max="7970" width="7.7109375" style="30" customWidth="1"/>
    <col min="7971" max="7971" width="5.7109375" style="30" customWidth="1"/>
    <col min="7972" max="8195" width="9.140625" style="30"/>
    <col min="8196" max="8199" width="4.7109375" style="30" customWidth="1"/>
    <col min="8200" max="8200" width="5.28515625" style="30" customWidth="1"/>
    <col min="8201" max="8201" width="6.28515625" style="30" bestFit="1" customWidth="1"/>
    <col min="8202" max="8202" width="4.7109375" style="30" customWidth="1"/>
    <col min="8203" max="8204" width="7.7109375" style="30" customWidth="1"/>
    <col min="8205" max="8205" width="5.7109375" style="30" customWidth="1"/>
    <col min="8206" max="8206" width="1.7109375" style="30" customWidth="1"/>
    <col min="8207" max="8210" width="4.7109375" style="30" customWidth="1"/>
    <col min="8211" max="8211" width="5.28515625" style="30" customWidth="1"/>
    <col min="8212" max="8212" width="6.28515625" style="30" bestFit="1" customWidth="1"/>
    <col min="8213" max="8213" width="4.7109375" style="30" customWidth="1"/>
    <col min="8214" max="8215" width="7.7109375" style="30" customWidth="1"/>
    <col min="8216" max="8216" width="5.7109375" style="30" customWidth="1"/>
    <col min="8217" max="8217" width="1.7109375" style="30" customWidth="1"/>
    <col min="8218" max="8221" width="4.7109375" style="30" customWidth="1"/>
    <col min="8222" max="8222" width="5.42578125" style="30" customWidth="1"/>
    <col min="8223" max="8223" width="6.28515625" style="30" bestFit="1" customWidth="1"/>
    <col min="8224" max="8224" width="4.7109375" style="30" customWidth="1"/>
    <col min="8225" max="8226" width="7.7109375" style="30" customWidth="1"/>
    <col min="8227" max="8227" width="5.7109375" style="30" customWidth="1"/>
    <col min="8228" max="8451" width="9.140625" style="30"/>
    <col min="8452" max="8455" width="4.7109375" style="30" customWidth="1"/>
    <col min="8456" max="8456" width="5.28515625" style="30" customWidth="1"/>
    <col min="8457" max="8457" width="6.28515625" style="30" bestFit="1" customWidth="1"/>
    <col min="8458" max="8458" width="4.7109375" style="30" customWidth="1"/>
    <col min="8459" max="8460" width="7.7109375" style="30" customWidth="1"/>
    <col min="8461" max="8461" width="5.7109375" style="30" customWidth="1"/>
    <col min="8462" max="8462" width="1.7109375" style="30" customWidth="1"/>
    <col min="8463" max="8466" width="4.7109375" style="30" customWidth="1"/>
    <col min="8467" max="8467" width="5.28515625" style="30" customWidth="1"/>
    <col min="8468" max="8468" width="6.28515625" style="30" bestFit="1" customWidth="1"/>
    <col min="8469" max="8469" width="4.7109375" style="30" customWidth="1"/>
    <col min="8470" max="8471" width="7.7109375" style="30" customWidth="1"/>
    <col min="8472" max="8472" width="5.7109375" style="30" customWidth="1"/>
    <col min="8473" max="8473" width="1.7109375" style="30" customWidth="1"/>
    <col min="8474" max="8477" width="4.7109375" style="30" customWidth="1"/>
    <col min="8478" max="8478" width="5.42578125" style="30" customWidth="1"/>
    <col min="8479" max="8479" width="6.28515625" style="30" bestFit="1" customWidth="1"/>
    <col min="8480" max="8480" width="4.7109375" style="30" customWidth="1"/>
    <col min="8481" max="8482" width="7.7109375" style="30" customWidth="1"/>
    <col min="8483" max="8483" width="5.7109375" style="30" customWidth="1"/>
    <col min="8484" max="8707" width="9.140625" style="30"/>
    <col min="8708" max="8711" width="4.7109375" style="30" customWidth="1"/>
    <col min="8712" max="8712" width="5.28515625" style="30" customWidth="1"/>
    <col min="8713" max="8713" width="6.28515625" style="30" bestFit="1" customWidth="1"/>
    <col min="8714" max="8714" width="4.7109375" style="30" customWidth="1"/>
    <col min="8715" max="8716" width="7.7109375" style="30" customWidth="1"/>
    <col min="8717" max="8717" width="5.7109375" style="30" customWidth="1"/>
    <col min="8718" max="8718" width="1.7109375" style="30" customWidth="1"/>
    <col min="8719" max="8722" width="4.7109375" style="30" customWidth="1"/>
    <col min="8723" max="8723" width="5.28515625" style="30" customWidth="1"/>
    <col min="8724" max="8724" width="6.28515625" style="30" bestFit="1" customWidth="1"/>
    <col min="8725" max="8725" width="4.7109375" style="30" customWidth="1"/>
    <col min="8726" max="8727" width="7.7109375" style="30" customWidth="1"/>
    <col min="8728" max="8728" width="5.7109375" style="30" customWidth="1"/>
    <col min="8729" max="8729" width="1.7109375" style="30" customWidth="1"/>
    <col min="8730" max="8733" width="4.7109375" style="30" customWidth="1"/>
    <col min="8734" max="8734" width="5.42578125" style="30" customWidth="1"/>
    <col min="8735" max="8735" width="6.28515625" style="30" bestFit="1" customWidth="1"/>
    <col min="8736" max="8736" width="4.7109375" style="30" customWidth="1"/>
    <col min="8737" max="8738" width="7.7109375" style="30" customWidth="1"/>
    <col min="8739" max="8739" width="5.7109375" style="30" customWidth="1"/>
    <col min="8740" max="8963" width="9.140625" style="30"/>
    <col min="8964" max="8967" width="4.7109375" style="30" customWidth="1"/>
    <col min="8968" max="8968" width="5.28515625" style="30" customWidth="1"/>
    <col min="8969" max="8969" width="6.28515625" style="30" bestFit="1" customWidth="1"/>
    <col min="8970" max="8970" width="4.7109375" style="30" customWidth="1"/>
    <col min="8971" max="8972" width="7.7109375" style="30" customWidth="1"/>
    <col min="8973" max="8973" width="5.7109375" style="30" customWidth="1"/>
    <col min="8974" max="8974" width="1.7109375" style="30" customWidth="1"/>
    <col min="8975" max="8978" width="4.7109375" style="30" customWidth="1"/>
    <col min="8979" max="8979" width="5.28515625" style="30" customWidth="1"/>
    <col min="8980" max="8980" width="6.28515625" style="30" bestFit="1" customWidth="1"/>
    <col min="8981" max="8981" width="4.7109375" style="30" customWidth="1"/>
    <col min="8982" max="8983" width="7.7109375" style="30" customWidth="1"/>
    <col min="8984" max="8984" width="5.7109375" style="30" customWidth="1"/>
    <col min="8985" max="8985" width="1.7109375" style="30" customWidth="1"/>
    <col min="8986" max="8989" width="4.7109375" style="30" customWidth="1"/>
    <col min="8990" max="8990" width="5.42578125" style="30" customWidth="1"/>
    <col min="8991" max="8991" width="6.28515625" style="30" bestFit="1" customWidth="1"/>
    <col min="8992" max="8992" width="4.7109375" style="30" customWidth="1"/>
    <col min="8993" max="8994" width="7.7109375" style="30" customWidth="1"/>
    <col min="8995" max="8995" width="5.7109375" style="30" customWidth="1"/>
    <col min="8996" max="9219" width="9.140625" style="30"/>
    <col min="9220" max="9223" width="4.7109375" style="30" customWidth="1"/>
    <col min="9224" max="9224" width="5.28515625" style="30" customWidth="1"/>
    <col min="9225" max="9225" width="6.28515625" style="30" bestFit="1" customWidth="1"/>
    <col min="9226" max="9226" width="4.7109375" style="30" customWidth="1"/>
    <col min="9227" max="9228" width="7.7109375" style="30" customWidth="1"/>
    <col min="9229" max="9229" width="5.7109375" style="30" customWidth="1"/>
    <col min="9230" max="9230" width="1.7109375" style="30" customWidth="1"/>
    <col min="9231" max="9234" width="4.7109375" style="30" customWidth="1"/>
    <col min="9235" max="9235" width="5.28515625" style="30" customWidth="1"/>
    <col min="9236" max="9236" width="6.28515625" style="30" bestFit="1" customWidth="1"/>
    <col min="9237" max="9237" width="4.7109375" style="30" customWidth="1"/>
    <col min="9238" max="9239" width="7.7109375" style="30" customWidth="1"/>
    <col min="9240" max="9240" width="5.7109375" style="30" customWidth="1"/>
    <col min="9241" max="9241" width="1.7109375" style="30" customWidth="1"/>
    <col min="9242" max="9245" width="4.7109375" style="30" customWidth="1"/>
    <col min="9246" max="9246" width="5.42578125" style="30" customWidth="1"/>
    <col min="9247" max="9247" width="6.28515625" style="30" bestFit="1" customWidth="1"/>
    <col min="9248" max="9248" width="4.7109375" style="30" customWidth="1"/>
    <col min="9249" max="9250" width="7.7109375" style="30" customWidth="1"/>
    <col min="9251" max="9251" width="5.7109375" style="30" customWidth="1"/>
    <col min="9252" max="9475" width="9.140625" style="30"/>
    <col min="9476" max="9479" width="4.7109375" style="30" customWidth="1"/>
    <col min="9480" max="9480" width="5.28515625" style="30" customWidth="1"/>
    <col min="9481" max="9481" width="6.28515625" style="30" bestFit="1" customWidth="1"/>
    <col min="9482" max="9482" width="4.7109375" style="30" customWidth="1"/>
    <col min="9483" max="9484" width="7.7109375" style="30" customWidth="1"/>
    <col min="9485" max="9485" width="5.7109375" style="30" customWidth="1"/>
    <col min="9486" max="9486" width="1.7109375" style="30" customWidth="1"/>
    <col min="9487" max="9490" width="4.7109375" style="30" customWidth="1"/>
    <col min="9491" max="9491" width="5.28515625" style="30" customWidth="1"/>
    <col min="9492" max="9492" width="6.28515625" style="30" bestFit="1" customWidth="1"/>
    <col min="9493" max="9493" width="4.7109375" style="30" customWidth="1"/>
    <col min="9494" max="9495" width="7.7109375" style="30" customWidth="1"/>
    <col min="9496" max="9496" width="5.7109375" style="30" customWidth="1"/>
    <col min="9497" max="9497" width="1.7109375" style="30" customWidth="1"/>
    <col min="9498" max="9501" width="4.7109375" style="30" customWidth="1"/>
    <col min="9502" max="9502" width="5.42578125" style="30" customWidth="1"/>
    <col min="9503" max="9503" width="6.28515625" style="30" bestFit="1" customWidth="1"/>
    <col min="9504" max="9504" width="4.7109375" style="30" customWidth="1"/>
    <col min="9505" max="9506" width="7.7109375" style="30" customWidth="1"/>
    <col min="9507" max="9507" width="5.7109375" style="30" customWidth="1"/>
    <col min="9508" max="9731" width="9.140625" style="30"/>
    <col min="9732" max="9735" width="4.7109375" style="30" customWidth="1"/>
    <col min="9736" max="9736" width="5.28515625" style="30" customWidth="1"/>
    <col min="9737" max="9737" width="6.28515625" style="30" bestFit="1" customWidth="1"/>
    <col min="9738" max="9738" width="4.7109375" style="30" customWidth="1"/>
    <col min="9739" max="9740" width="7.7109375" style="30" customWidth="1"/>
    <col min="9741" max="9741" width="5.7109375" style="30" customWidth="1"/>
    <col min="9742" max="9742" width="1.7109375" style="30" customWidth="1"/>
    <col min="9743" max="9746" width="4.7109375" style="30" customWidth="1"/>
    <col min="9747" max="9747" width="5.28515625" style="30" customWidth="1"/>
    <col min="9748" max="9748" width="6.28515625" style="30" bestFit="1" customWidth="1"/>
    <col min="9749" max="9749" width="4.7109375" style="30" customWidth="1"/>
    <col min="9750" max="9751" width="7.7109375" style="30" customWidth="1"/>
    <col min="9752" max="9752" width="5.7109375" style="30" customWidth="1"/>
    <col min="9753" max="9753" width="1.7109375" style="30" customWidth="1"/>
    <col min="9754" max="9757" width="4.7109375" style="30" customWidth="1"/>
    <col min="9758" max="9758" width="5.42578125" style="30" customWidth="1"/>
    <col min="9759" max="9759" width="6.28515625" style="30" bestFit="1" customWidth="1"/>
    <col min="9760" max="9760" width="4.7109375" style="30" customWidth="1"/>
    <col min="9761" max="9762" width="7.7109375" style="30" customWidth="1"/>
    <col min="9763" max="9763" width="5.7109375" style="30" customWidth="1"/>
    <col min="9764" max="9987" width="9.140625" style="30"/>
    <col min="9988" max="9991" width="4.7109375" style="30" customWidth="1"/>
    <col min="9992" max="9992" width="5.28515625" style="30" customWidth="1"/>
    <col min="9993" max="9993" width="6.28515625" style="30" bestFit="1" customWidth="1"/>
    <col min="9994" max="9994" width="4.7109375" style="30" customWidth="1"/>
    <col min="9995" max="9996" width="7.7109375" style="30" customWidth="1"/>
    <col min="9997" max="9997" width="5.7109375" style="30" customWidth="1"/>
    <col min="9998" max="9998" width="1.7109375" style="30" customWidth="1"/>
    <col min="9999" max="10002" width="4.7109375" style="30" customWidth="1"/>
    <col min="10003" max="10003" width="5.28515625" style="30" customWidth="1"/>
    <col min="10004" max="10004" width="6.28515625" style="30" bestFit="1" customWidth="1"/>
    <col min="10005" max="10005" width="4.7109375" style="30" customWidth="1"/>
    <col min="10006" max="10007" width="7.7109375" style="30" customWidth="1"/>
    <col min="10008" max="10008" width="5.7109375" style="30" customWidth="1"/>
    <col min="10009" max="10009" width="1.7109375" style="30" customWidth="1"/>
    <col min="10010" max="10013" width="4.7109375" style="30" customWidth="1"/>
    <col min="10014" max="10014" width="5.42578125" style="30" customWidth="1"/>
    <col min="10015" max="10015" width="6.28515625" style="30" bestFit="1" customWidth="1"/>
    <col min="10016" max="10016" width="4.7109375" style="30" customWidth="1"/>
    <col min="10017" max="10018" width="7.7109375" style="30" customWidth="1"/>
    <col min="10019" max="10019" width="5.7109375" style="30" customWidth="1"/>
    <col min="10020" max="10243" width="9.140625" style="30"/>
    <col min="10244" max="10247" width="4.7109375" style="30" customWidth="1"/>
    <col min="10248" max="10248" width="5.28515625" style="30" customWidth="1"/>
    <col min="10249" max="10249" width="6.28515625" style="30" bestFit="1" customWidth="1"/>
    <col min="10250" max="10250" width="4.7109375" style="30" customWidth="1"/>
    <col min="10251" max="10252" width="7.7109375" style="30" customWidth="1"/>
    <col min="10253" max="10253" width="5.7109375" style="30" customWidth="1"/>
    <col min="10254" max="10254" width="1.7109375" style="30" customWidth="1"/>
    <col min="10255" max="10258" width="4.7109375" style="30" customWidth="1"/>
    <col min="10259" max="10259" width="5.28515625" style="30" customWidth="1"/>
    <col min="10260" max="10260" width="6.28515625" style="30" bestFit="1" customWidth="1"/>
    <col min="10261" max="10261" width="4.7109375" style="30" customWidth="1"/>
    <col min="10262" max="10263" width="7.7109375" style="30" customWidth="1"/>
    <col min="10264" max="10264" width="5.7109375" style="30" customWidth="1"/>
    <col min="10265" max="10265" width="1.7109375" style="30" customWidth="1"/>
    <col min="10266" max="10269" width="4.7109375" style="30" customWidth="1"/>
    <col min="10270" max="10270" width="5.42578125" style="30" customWidth="1"/>
    <col min="10271" max="10271" width="6.28515625" style="30" bestFit="1" customWidth="1"/>
    <col min="10272" max="10272" width="4.7109375" style="30" customWidth="1"/>
    <col min="10273" max="10274" width="7.7109375" style="30" customWidth="1"/>
    <col min="10275" max="10275" width="5.7109375" style="30" customWidth="1"/>
    <col min="10276" max="10499" width="9.140625" style="30"/>
    <col min="10500" max="10503" width="4.7109375" style="30" customWidth="1"/>
    <col min="10504" max="10504" width="5.28515625" style="30" customWidth="1"/>
    <col min="10505" max="10505" width="6.28515625" style="30" bestFit="1" customWidth="1"/>
    <col min="10506" max="10506" width="4.7109375" style="30" customWidth="1"/>
    <col min="10507" max="10508" width="7.7109375" style="30" customWidth="1"/>
    <col min="10509" max="10509" width="5.7109375" style="30" customWidth="1"/>
    <col min="10510" max="10510" width="1.7109375" style="30" customWidth="1"/>
    <col min="10511" max="10514" width="4.7109375" style="30" customWidth="1"/>
    <col min="10515" max="10515" width="5.28515625" style="30" customWidth="1"/>
    <col min="10516" max="10516" width="6.28515625" style="30" bestFit="1" customWidth="1"/>
    <col min="10517" max="10517" width="4.7109375" style="30" customWidth="1"/>
    <col min="10518" max="10519" width="7.7109375" style="30" customWidth="1"/>
    <col min="10520" max="10520" width="5.7109375" style="30" customWidth="1"/>
    <col min="10521" max="10521" width="1.7109375" style="30" customWidth="1"/>
    <col min="10522" max="10525" width="4.7109375" style="30" customWidth="1"/>
    <col min="10526" max="10526" width="5.42578125" style="30" customWidth="1"/>
    <col min="10527" max="10527" width="6.28515625" style="30" bestFit="1" customWidth="1"/>
    <col min="10528" max="10528" width="4.7109375" style="30" customWidth="1"/>
    <col min="10529" max="10530" width="7.7109375" style="30" customWidth="1"/>
    <col min="10531" max="10531" width="5.7109375" style="30" customWidth="1"/>
    <col min="10532" max="10755" width="9.140625" style="30"/>
    <col min="10756" max="10759" width="4.7109375" style="30" customWidth="1"/>
    <col min="10760" max="10760" width="5.28515625" style="30" customWidth="1"/>
    <col min="10761" max="10761" width="6.28515625" style="30" bestFit="1" customWidth="1"/>
    <col min="10762" max="10762" width="4.7109375" style="30" customWidth="1"/>
    <col min="10763" max="10764" width="7.7109375" style="30" customWidth="1"/>
    <col min="10765" max="10765" width="5.7109375" style="30" customWidth="1"/>
    <col min="10766" max="10766" width="1.7109375" style="30" customWidth="1"/>
    <col min="10767" max="10770" width="4.7109375" style="30" customWidth="1"/>
    <col min="10771" max="10771" width="5.28515625" style="30" customWidth="1"/>
    <col min="10772" max="10772" width="6.28515625" style="30" bestFit="1" customWidth="1"/>
    <col min="10773" max="10773" width="4.7109375" style="30" customWidth="1"/>
    <col min="10774" max="10775" width="7.7109375" style="30" customWidth="1"/>
    <col min="10776" max="10776" width="5.7109375" style="30" customWidth="1"/>
    <col min="10777" max="10777" width="1.7109375" style="30" customWidth="1"/>
    <col min="10778" max="10781" width="4.7109375" style="30" customWidth="1"/>
    <col min="10782" max="10782" width="5.42578125" style="30" customWidth="1"/>
    <col min="10783" max="10783" width="6.28515625" style="30" bestFit="1" customWidth="1"/>
    <col min="10784" max="10784" width="4.7109375" style="30" customWidth="1"/>
    <col min="10785" max="10786" width="7.7109375" style="30" customWidth="1"/>
    <col min="10787" max="10787" width="5.7109375" style="30" customWidth="1"/>
    <col min="10788" max="11011" width="9.140625" style="30"/>
    <col min="11012" max="11015" width="4.7109375" style="30" customWidth="1"/>
    <col min="11016" max="11016" width="5.28515625" style="30" customWidth="1"/>
    <col min="11017" max="11017" width="6.28515625" style="30" bestFit="1" customWidth="1"/>
    <col min="11018" max="11018" width="4.7109375" style="30" customWidth="1"/>
    <col min="11019" max="11020" width="7.7109375" style="30" customWidth="1"/>
    <col min="11021" max="11021" width="5.7109375" style="30" customWidth="1"/>
    <col min="11022" max="11022" width="1.7109375" style="30" customWidth="1"/>
    <col min="11023" max="11026" width="4.7109375" style="30" customWidth="1"/>
    <col min="11027" max="11027" width="5.28515625" style="30" customWidth="1"/>
    <col min="11028" max="11028" width="6.28515625" style="30" bestFit="1" customWidth="1"/>
    <col min="11029" max="11029" width="4.7109375" style="30" customWidth="1"/>
    <col min="11030" max="11031" width="7.7109375" style="30" customWidth="1"/>
    <col min="11032" max="11032" width="5.7109375" style="30" customWidth="1"/>
    <col min="11033" max="11033" width="1.7109375" style="30" customWidth="1"/>
    <col min="11034" max="11037" width="4.7109375" style="30" customWidth="1"/>
    <col min="11038" max="11038" width="5.42578125" style="30" customWidth="1"/>
    <col min="11039" max="11039" width="6.28515625" style="30" bestFit="1" customWidth="1"/>
    <col min="11040" max="11040" width="4.7109375" style="30" customWidth="1"/>
    <col min="11041" max="11042" width="7.7109375" style="30" customWidth="1"/>
    <col min="11043" max="11043" width="5.7109375" style="30" customWidth="1"/>
    <col min="11044" max="11267" width="9.140625" style="30"/>
    <col min="11268" max="11271" width="4.7109375" style="30" customWidth="1"/>
    <col min="11272" max="11272" width="5.28515625" style="30" customWidth="1"/>
    <col min="11273" max="11273" width="6.28515625" style="30" bestFit="1" customWidth="1"/>
    <col min="11274" max="11274" width="4.7109375" style="30" customWidth="1"/>
    <col min="11275" max="11276" width="7.7109375" style="30" customWidth="1"/>
    <col min="11277" max="11277" width="5.7109375" style="30" customWidth="1"/>
    <col min="11278" max="11278" width="1.7109375" style="30" customWidth="1"/>
    <col min="11279" max="11282" width="4.7109375" style="30" customWidth="1"/>
    <col min="11283" max="11283" width="5.28515625" style="30" customWidth="1"/>
    <col min="11284" max="11284" width="6.28515625" style="30" bestFit="1" customWidth="1"/>
    <col min="11285" max="11285" width="4.7109375" style="30" customWidth="1"/>
    <col min="11286" max="11287" width="7.7109375" style="30" customWidth="1"/>
    <col min="11288" max="11288" width="5.7109375" style="30" customWidth="1"/>
    <col min="11289" max="11289" width="1.7109375" style="30" customWidth="1"/>
    <col min="11290" max="11293" width="4.7109375" style="30" customWidth="1"/>
    <col min="11294" max="11294" width="5.42578125" style="30" customWidth="1"/>
    <col min="11295" max="11295" width="6.28515625" style="30" bestFit="1" customWidth="1"/>
    <col min="11296" max="11296" width="4.7109375" style="30" customWidth="1"/>
    <col min="11297" max="11298" width="7.7109375" style="30" customWidth="1"/>
    <col min="11299" max="11299" width="5.7109375" style="30" customWidth="1"/>
    <col min="11300" max="11523" width="9.140625" style="30"/>
    <col min="11524" max="11527" width="4.7109375" style="30" customWidth="1"/>
    <col min="11528" max="11528" width="5.28515625" style="30" customWidth="1"/>
    <col min="11529" max="11529" width="6.28515625" style="30" bestFit="1" customWidth="1"/>
    <col min="11530" max="11530" width="4.7109375" style="30" customWidth="1"/>
    <col min="11531" max="11532" width="7.7109375" style="30" customWidth="1"/>
    <col min="11533" max="11533" width="5.7109375" style="30" customWidth="1"/>
    <col min="11534" max="11534" width="1.7109375" style="30" customWidth="1"/>
    <col min="11535" max="11538" width="4.7109375" style="30" customWidth="1"/>
    <col min="11539" max="11539" width="5.28515625" style="30" customWidth="1"/>
    <col min="11540" max="11540" width="6.28515625" style="30" bestFit="1" customWidth="1"/>
    <col min="11541" max="11541" width="4.7109375" style="30" customWidth="1"/>
    <col min="11542" max="11543" width="7.7109375" style="30" customWidth="1"/>
    <col min="11544" max="11544" width="5.7109375" style="30" customWidth="1"/>
    <col min="11545" max="11545" width="1.7109375" style="30" customWidth="1"/>
    <col min="11546" max="11549" width="4.7109375" style="30" customWidth="1"/>
    <col min="11550" max="11550" width="5.42578125" style="30" customWidth="1"/>
    <col min="11551" max="11551" width="6.28515625" style="30" bestFit="1" customWidth="1"/>
    <col min="11552" max="11552" width="4.7109375" style="30" customWidth="1"/>
    <col min="11553" max="11554" width="7.7109375" style="30" customWidth="1"/>
    <col min="11555" max="11555" width="5.7109375" style="30" customWidth="1"/>
    <col min="11556" max="11779" width="9.140625" style="30"/>
    <col min="11780" max="11783" width="4.7109375" style="30" customWidth="1"/>
    <col min="11784" max="11784" width="5.28515625" style="30" customWidth="1"/>
    <col min="11785" max="11785" width="6.28515625" style="30" bestFit="1" customWidth="1"/>
    <col min="11786" max="11786" width="4.7109375" style="30" customWidth="1"/>
    <col min="11787" max="11788" width="7.7109375" style="30" customWidth="1"/>
    <col min="11789" max="11789" width="5.7109375" style="30" customWidth="1"/>
    <col min="11790" max="11790" width="1.7109375" style="30" customWidth="1"/>
    <col min="11791" max="11794" width="4.7109375" style="30" customWidth="1"/>
    <col min="11795" max="11795" width="5.28515625" style="30" customWidth="1"/>
    <col min="11796" max="11796" width="6.28515625" style="30" bestFit="1" customWidth="1"/>
    <col min="11797" max="11797" width="4.7109375" style="30" customWidth="1"/>
    <col min="11798" max="11799" width="7.7109375" style="30" customWidth="1"/>
    <col min="11800" max="11800" width="5.7109375" style="30" customWidth="1"/>
    <col min="11801" max="11801" width="1.7109375" style="30" customWidth="1"/>
    <col min="11802" max="11805" width="4.7109375" style="30" customWidth="1"/>
    <col min="11806" max="11806" width="5.42578125" style="30" customWidth="1"/>
    <col min="11807" max="11807" width="6.28515625" style="30" bestFit="1" customWidth="1"/>
    <col min="11808" max="11808" width="4.7109375" style="30" customWidth="1"/>
    <col min="11809" max="11810" width="7.7109375" style="30" customWidth="1"/>
    <col min="11811" max="11811" width="5.7109375" style="30" customWidth="1"/>
    <col min="11812" max="12035" width="9.140625" style="30"/>
    <col min="12036" max="12039" width="4.7109375" style="30" customWidth="1"/>
    <col min="12040" max="12040" width="5.28515625" style="30" customWidth="1"/>
    <col min="12041" max="12041" width="6.28515625" style="30" bestFit="1" customWidth="1"/>
    <col min="12042" max="12042" width="4.7109375" style="30" customWidth="1"/>
    <col min="12043" max="12044" width="7.7109375" style="30" customWidth="1"/>
    <col min="12045" max="12045" width="5.7109375" style="30" customWidth="1"/>
    <col min="12046" max="12046" width="1.7109375" style="30" customWidth="1"/>
    <col min="12047" max="12050" width="4.7109375" style="30" customWidth="1"/>
    <col min="12051" max="12051" width="5.28515625" style="30" customWidth="1"/>
    <col min="12052" max="12052" width="6.28515625" style="30" bestFit="1" customWidth="1"/>
    <col min="12053" max="12053" width="4.7109375" style="30" customWidth="1"/>
    <col min="12054" max="12055" width="7.7109375" style="30" customWidth="1"/>
    <col min="12056" max="12056" width="5.7109375" style="30" customWidth="1"/>
    <col min="12057" max="12057" width="1.7109375" style="30" customWidth="1"/>
    <col min="12058" max="12061" width="4.7109375" style="30" customWidth="1"/>
    <col min="12062" max="12062" width="5.42578125" style="30" customWidth="1"/>
    <col min="12063" max="12063" width="6.28515625" style="30" bestFit="1" customWidth="1"/>
    <col min="12064" max="12064" width="4.7109375" style="30" customWidth="1"/>
    <col min="12065" max="12066" width="7.7109375" style="30" customWidth="1"/>
    <col min="12067" max="12067" width="5.7109375" style="30" customWidth="1"/>
    <col min="12068" max="12291" width="9.140625" style="30"/>
    <col min="12292" max="12295" width="4.7109375" style="30" customWidth="1"/>
    <col min="12296" max="12296" width="5.28515625" style="30" customWidth="1"/>
    <col min="12297" max="12297" width="6.28515625" style="30" bestFit="1" customWidth="1"/>
    <col min="12298" max="12298" width="4.7109375" style="30" customWidth="1"/>
    <col min="12299" max="12300" width="7.7109375" style="30" customWidth="1"/>
    <col min="12301" max="12301" width="5.7109375" style="30" customWidth="1"/>
    <col min="12302" max="12302" width="1.7109375" style="30" customWidth="1"/>
    <col min="12303" max="12306" width="4.7109375" style="30" customWidth="1"/>
    <col min="12307" max="12307" width="5.28515625" style="30" customWidth="1"/>
    <col min="12308" max="12308" width="6.28515625" style="30" bestFit="1" customWidth="1"/>
    <col min="12309" max="12309" width="4.7109375" style="30" customWidth="1"/>
    <col min="12310" max="12311" width="7.7109375" style="30" customWidth="1"/>
    <col min="12312" max="12312" width="5.7109375" style="30" customWidth="1"/>
    <col min="12313" max="12313" width="1.7109375" style="30" customWidth="1"/>
    <col min="12314" max="12317" width="4.7109375" style="30" customWidth="1"/>
    <col min="12318" max="12318" width="5.42578125" style="30" customWidth="1"/>
    <col min="12319" max="12319" width="6.28515625" style="30" bestFit="1" customWidth="1"/>
    <col min="12320" max="12320" width="4.7109375" style="30" customWidth="1"/>
    <col min="12321" max="12322" width="7.7109375" style="30" customWidth="1"/>
    <col min="12323" max="12323" width="5.7109375" style="30" customWidth="1"/>
    <col min="12324" max="12547" width="9.140625" style="30"/>
    <col min="12548" max="12551" width="4.7109375" style="30" customWidth="1"/>
    <col min="12552" max="12552" width="5.28515625" style="30" customWidth="1"/>
    <col min="12553" max="12553" width="6.28515625" style="30" bestFit="1" customWidth="1"/>
    <col min="12554" max="12554" width="4.7109375" style="30" customWidth="1"/>
    <col min="12555" max="12556" width="7.7109375" style="30" customWidth="1"/>
    <col min="12557" max="12557" width="5.7109375" style="30" customWidth="1"/>
    <col min="12558" max="12558" width="1.7109375" style="30" customWidth="1"/>
    <col min="12559" max="12562" width="4.7109375" style="30" customWidth="1"/>
    <col min="12563" max="12563" width="5.28515625" style="30" customWidth="1"/>
    <col min="12564" max="12564" width="6.28515625" style="30" bestFit="1" customWidth="1"/>
    <col min="12565" max="12565" width="4.7109375" style="30" customWidth="1"/>
    <col min="12566" max="12567" width="7.7109375" style="30" customWidth="1"/>
    <col min="12568" max="12568" width="5.7109375" style="30" customWidth="1"/>
    <col min="12569" max="12569" width="1.7109375" style="30" customWidth="1"/>
    <col min="12570" max="12573" width="4.7109375" style="30" customWidth="1"/>
    <col min="12574" max="12574" width="5.42578125" style="30" customWidth="1"/>
    <col min="12575" max="12575" width="6.28515625" style="30" bestFit="1" customWidth="1"/>
    <col min="12576" max="12576" width="4.7109375" style="30" customWidth="1"/>
    <col min="12577" max="12578" width="7.7109375" style="30" customWidth="1"/>
    <col min="12579" max="12579" width="5.7109375" style="30" customWidth="1"/>
    <col min="12580" max="12803" width="9.140625" style="30"/>
    <col min="12804" max="12807" width="4.7109375" style="30" customWidth="1"/>
    <col min="12808" max="12808" width="5.28515625" style="30" customWidth="1"/>
    <col min="12809" max="12809" width="6.28515625" style="30" bestFit="1" customWidth="1"/>
    <col min="12810" max="12810" width="4.7109375" style="30" customWidth="1"/>
    <col min="12811" max="12812" width="7.7109375" style="30" customWidth="1"/>
    <col min="12813" max="12813" width="5.7109375" style="30" customWidth="1"/>
    <col min="12814" max="12814" width="1.7109375" style="30" customWidth="1"/>
    <col min="12815" max="12818" width="4.7109375" style="30" customWidth="1"/>
    <col min="12819" max="12819" width="5.28515625" style="30" customWidth="1"/>
    <col min="12820" max="12820" width="6.28515625" style="30" bestFit="1" customWidth="1"/>
    <col min="12821" max="12821" width="4.7109375" style="30" customWidth="1"/>
    <col min="12822" max="12823" width="7.7109375" style="30" customWidth="1"/>
    <col min="12824" max="12824" width="5.7109375" style="30" customWidth="1"/>
    <col min="12825" max="12825" width="1.7109375" style="30" customWidth="1"/>
    <col min="12826" max="12829" width="4.7109375" style="30" customWidth="1"/>
    <col min="12830" max="12830" width="5.42578125" style="30" customWidth="1"/>
    <col min="12831" max="12831" width="6.28515625" style="30" bestFit="1" customWidth="1"/>
    <col min="12832" max="12832" width="4.7109375" style="30" customWidth="1"/>
    <col min="12833" max="12834" width="7.7109375" style="30" customWidth="1"/>
    <col min="12835" max="12835" width="5.7109375" style="30" customWidth="1"/>
    <col min="12836" max="13059" width="9.140625" style="30"/>
    <col min="13060" max="13063" width="4.7109375" style="30" customWidth="1"/>
    <col min="13064" max="13064" width="5.28515625" style="30" customWidth="1"/>
    <col min="13065" max="13065" width="6.28515625" style="30" bestFit="1" customWidth="1"/>
    <col min="13066" max="13066" width="4.7109375" style="30" customWidth="1"/>
    <col min="13067" max="13068" width="7.7109375" style="30" customWidth="1"/>
    <col min="13069" max="13069" width="5.7109375" style="30" customWidth="1"/>
    <col min="13070" max="13070" width="1.7109375" style="30" customWidth="1"/>
    <col min="13071" max="13074" width="4.7109375" style="30" customWidth="1"/>
    <col min="13075" max="13075" width="5.28515625" style="30" customWidth="1"/>
    <col min="13076" max="13076" width="6.28515625" style="30" bestFit="1" customWidth="1"/>
    <col min="13077" max="13077" width="4.7109375" style="30" customWidth="1"/>
    <col min="13078" max="13079" width="7.7109375" style="30" customWidth="1"/>
    <col min="13080" max="13080" width="5.7109375" style="30" customWidth="1"/>
    <col min="13081" max="13081" width="1.7109375" style="30" customWidth="1"/>
    <col min="13082" max="13085" width="4.7109375" style="30" customWidth="1"/>
    <col min="13086" max="13086" width="5.42578125" style="30" customWidth="1"/>
    <col min="13087" max="13087" width="6.28515625" style="30" bestFit="1" customWidth="1"/>
    <col min="13088" max="13088" width="4.7109375" style="30" customWidth="1"/>
    <col min="13089" max="13090" width="7.7109375" style="30" customWidth="1"/>
    <col min="13091" max="13091" width="5.7109375" style="30" customWidth="1"/>
    <col min="13092" max="13315" width="9.140625" style="30"/>
    <col min="13316" max="13319" width="4.7109375" style="30" customWidth="1"/>
    <col min="13320" max="13320" width="5.28515625" style="30" customWidth="1"/>
    <col min="13321" max="13321" width="6.28515625" style="30" bestFit="1" customWidth="1"/>
    <col min="13322" max="13322" width="4.7109375" style="30" customWidth="1"/>
    <col min="13323" max="13324" width="7.7109375" style="30" customWidth="1"/>
    <col min="13325" max="13325" width="5.7109375" style="30" customWidth="1"/>
    <col min="13326" max="13326" width="1.7109375" style="30" customWidth="1"/>
    <col min="13327" max="13330" width="4.7109375" style="30" customWidth="1"/>
    <col min="13331" max="13331" width="5.28515625" style="30" customWidth="1"/>
    <col min="13332" max="13332" width="6.28515625" style="30" bestFit="1" customWidth="1"/>
    <col min="13333" max="13333" width="4.7109375" style="30" customWidth="1"/>
    <col min="13334" max="13335" width="7.7109375" style="30" customWidth="1"/>
    <col min="13336" max="13336" width="5.7109375" style="30" customWidth="1"/>
    <col min="13337" max="13337" width="1.7109375" style="30" customWidth="1"/>
    <col min="13338" max="13341" width="4.7109375" style="30" customWidth="1"/>
    <col min="13342" max="13342" width="5.42578125" style="30" customWidth="1"/>
    <col min="13343" max="13343" width="6.28515625" style="30" bestFit="1" customWidth="1"/>
    <col min="13344" max="13344" width="4.7109375" style="30" customWidth="1"/>
    <col min="13345" max="13346" width="7.7109375" style="30" customWidth="1"/>
    <col min="13347" max="13347" width="5.7109375" style="30" customWidth="1"/>
    <col min="13348" max="13571" width="9.140625" style="30"/>
    <col min="13572" max="13575" width="4.7109375" style="30" customWidth="1"/>
    <col min="13576" max="13576" width="5.28515625" style="30" customWidth="1"/>
    <col min="13577" max="13577" width="6.28515625" style="30" bestFit="1" customWidth="1"/>
    <col min="13578" max="13578" width="4.7109375" style="30" customWidth="1"/>
    <col min="13579" max="13580" width="7.7109375" style="30" customWidth="1"/>
    <col min="13581" max="13581" width="5.7109375" style="30" customWidth="1"/>
    <col min="13582" max="13582" width="1.7109375" style="30" customWidth="1"/>
    <col min="13583" max="13586" width="4.7109375" style="30" customWidth="1"/>
    <col min="13587" max="13587" width="5.28515625" style="30" customWidth="1"/>
    <col min="13588" max="13588" width="6.28515625" style="30" bestFit="1" customWidth="1"/>
    <col min="13589" max="13589" width="4.7109375" style="30" customWidth="1"/>
    <col min="13590" max="13591" width="7.7109375" style="30" customWidth="1"/>
    <col min="13592" max="13592" width="5.7109375" style="30" customWidth="1"/>
    <col min="13593" max="13593" width="1.7109375" style="30" customWidth="1"/>
    <col min="13594" max="13597" width="4.7109375" style="30" customWidth="1"/>
    <col min="13598" max="13598" width="5.42578125" style="30" customWidth="1"/>
    <col min="13599" max="13599" width="6.28515625" style="30" bestFit="1" customWidth="1"/>
    <col min="13600" max="13600" width="4.7109375" style="30" customWidth="1"/>
    <col min="13601" max="13602" width="7.7109375" style="30" customWidth="1"/>
    <col min="13603" max="13603" width="5.7109375" style="30" customWidth="1"/>
    <col min="13604" max="13827" width="9.140625" style="30"/>
    <col min="13828" max="13831" width="4.7109375" style="30" customWidth="1"/>
    <col min="13832" max="13832" width="5.28515625" style="30" customWidth="1"/>
    <col min="13833" max="13833" width="6.28515625" style="30" bestFit="1" customWidth="1"/>
    <col min="13834" max="13834" width="4.7109375" style="30" customWidth="1"/>
    <col min="13835" max="13836" width="7.7109375" style="30" customWidth="1"/>
    <col min="13837" max="13837" width="5.7109375" style="30" customWidth="1"/>
    <col min="13838" max="13838" width="1.7109375" style="30" customWidth="1"/>
    <col min="13839" max="13842" width="4.7109375" style="30" customWidth="1"/>
    <col min="13843" max="13843" width="5.28515625" style="30" customWidth="1"/>
    <col min="13844" max="13844" width="6.28515625" style="30" bestFit="1" customWidth="1"/>
    <col min="13845" max="13845" width="4.7109375" style="30" customWidth="1"/>
    <col min="13846" max="13847" width="7.7109375" style="30" customWidth="1"/>
    <col min="13848" max="13848" width="5.7109375" style="30" customWidth="1"/>
    <col min="13849" max="13849" width="1.7109375" style="30" customWidth="1"/>
    <col min="13850" max="13853" width="4.7109375" style="30" customWidth="1"/>
    <col min="13854" max="13854" width="5.42578125" style="30" customWidth="1"/>
    <col min="13855" max="13855" width="6.28515625" style="30" bestFit="1" customWidth="1"/>
    <col min="13856" max="13856" width="4.7109375" style="30" customWidth="1"/>
    <col min="13857" max="13858" width="7.7109375" style="30" customWidth="1"/>
    <col min="13859" max="13859" width="5.7109375" style="30" customWidth="1"/>
    <col min="13860" max="14083" width="9.140625" style="30"/>
    <col min="14084" max="14087" width="4.7109375" style="30" customWidth="1"/>
    <col min="14088" max="14088" width="5.28515625" style="30" customWidth="1"/>
    <col min="14089" max="14089" width="6.28515625" style="30" bestFit="1" customWidth="1"/>
    <col min="14090" max="14090" width="4.7109375" style="30" customWidth="1"/>
    <col min="14091" max="14092" width="7.7109375" style="30" customWidth="1"/>
    <col min="14093" max="14093" width="5.7109375" style="30" customWidth="1"/>
    <col min="14094" max="14094" width="1.7109375" style="30" customWidth="1"/>
    <col min="14095" max="14098" width="4.7109375" style="30" customWidth="1"/>
    <col min="14099" max="14099" width="5.28515625" style="30" customWidth="1"/>
    <col min="14100" max="14100" width="6.28515625" style="30" bestFit="1" customWidth="1"/>
    <col min="14101" max="14101" width="4.7109375" style="30" customWidth="1"/>
    <col min="14102" max="14103" width="7.7109375" style="30" customWidth="1"/>
    <col min="14104" max="14104" width="5.7109375" style="30" customWidth="1"/>
    <col min="14105" max="14105" width="1.7109375" style="30" customWidth="1"/>
    <col min="14106" max="14109" width="4.7109375" style="30" customWidth="1"/>
    <col min="14110" max="14110" width="5.42578125" style="30" customWidth="1"/>
    <col min="14111" max="14111" width="6.28515625" style="30" bestFit="1" customWidth="1"/>
    <col min="14112" max="14112" width="4.7109375" style="30" customWidth="1"/>
    <col min="14113" max="14114" width="7.7109375" style="30" customWidth="1"/>
    <col min="14115" max="14115" width="5.7109375" style="30" customWidth="1"/>
    <col min="14116" max="14339" width="9.140625" style="30"/>
    <col min="14340" max="14343" width="4.7109375" style="30" customWidth="1"/>
    <col min="14344" max="14344" width="5.28515625" style="30" customWidth="1"/>
    <col min="14345" max="14345" width="6.28515625" style="30" bestFit="1" customWidth="1"/>
    <col min="14346" max="14346" width="4.7109375" style="30" customWidth="1"/>
    <col min="14347" max="14348" width="7.7109375" style="30" customWidth="1"/>
    <col min="14349" max="14349" width="5.7109375" style="30" customWidth="1"/>
    <col min="14350" max="14350" width="1.7109375" style="30" customWidth="1"/>
    <col min="14351" max="14354" width="4.7109375" style="30" customWidth="1"/>
    <col min="14355" max="14355" width="5.28515625" style="30" customWidth="1"/>
    <col min="14356" max="14356" width="6.28515625" style="30" bestFit="1" customWidth="1"/>
    <col min="14357" max="14357" width="4.7109375" style="30" customWidth="1"/>
    <col min="14358" max="14359" width="7.7109375" style="30" customWidth="1"/>
    <col min="14360" max="14360" width="5.7109375" style="30" customWidth="1"/>
    <col min="14361" max="14361" width="1.7109375" style="30" customWidth="1"/>
    <col min="14362" max="14365" width="4.7109375" style="30" customWidth="1"/>
    <col min="14366" max="14366" width="5.42578125" style="30" customWidth="1"/>
    <col min="14367" max="14367" width="6.28515625" style="30" bestFit="1" customWidth="1"/>
    <col min="14368" max="14368" width="4.7109375" style="30" customWidth="1"/>
    <col min="14369" max="14370" width="7.7109375" style="30" customWidth="1"/>
    <col min="14371" max="14371" width="5.7109375" style="30" customWidth="1"/>
    <col min="14372" max="14595" width="9.140625" style="30"/>
    <col min="14596" max="14599" width="4.7109375" style="30" customWidth="1"/>
    <col min="14600" max="14600" width="5.28515625" style="30" customWidth="1"/>
    <col min="14601" max="14601" width="6.28515625" style="30" bestFit="1" customWidth="1"/>
    <col min="14602" max="14602" width="4.7109375" style="30" customWidth="1"/>
    <col min="14603" max="14604" width="7.7109375" style="30" customWidth="1"/>
    <col min="14605" max="14605" width="5.7109375" style="30" customWidth="1"/>
    <col min="14606" max="14606" width="1.7109375" style="30" customWidth="1"/>
    <col min="14607" max="14610" width="4.7109375" style="30" customWidth="1"/>
    <col min="14611" max="14611" width="5.28515625" style="30" customWidth="1"/>
    <col min="14612" max="14612" width="6.28515625" style="30" bestFit="1" customWidth="1"/>
    <col min="14613" max="14613" width="4.7109375" style="30" customWidth="1"/>
    <col min="14614" max="14615" width="7.7109375" style="30" customWidth="1"/>
    <col min="14616" max="14616" width="5.7109375" style="30" customWidth="1"/>
    <col min="14617" max="14617" width="1.7109375" style="30" customWidth="1"/>
    <col min="14618" max="14621" width="4.7109375" style="30" customWidth="1"/>
    <col min="14622" max="14622" width="5.42578125" style="30" customWidth="1"/>
    <col min="14623" max="14623" width="6.28515625" style="30" bestFit="1" customWidth="1"/>
    <col min="14624" max="14624" width="4.7109375" style="30" customWidth="1"/>
    <col min="14625" max="14626" width="7.7109375" style="30" customWidth="1"/>
    <col min="14627" max="14627" width="5.7109375" style="30" customWidth="1"/>
    <col min="14628" max="14851" width="9.140625" style="30"/>
    <col min="14852" max="14855" width="4.7109375" style="30" customWidth="1"/>
    <col min="14856" max="14856" width="5.28515625" style="30" customWidth="1"/>
    <col min="14857" max="14857" width="6.28515625" style="30" bestFit="1" customWidth="1"/>
    <col min="14858" max="14858" width="4.7109375" style="30" customWidth="1"/>
    <col min="14859" max="14860" width="7.7109375" style="30" customWidth="1"/>
    <col min="14861" max="14861" width="5.7109375" style="30" customWidth="1"/>
    <col min="14862" max="14862" width="1.7109375" style="30" customWidth="1"/>
    <col min="14863" max="14866" width="4.7109375" style="30" customWidth="1"/>
    <col min="14867" max="14867" width="5.28515625" style="30" customWidth="1"/>
    <col min="14868" max="14868" width="6.28515625" style="30" bestFit="1" customWidth="1"/>
    <col min="14869" max="14869" width="4.7109375" style="30" customWidth="1"/>
    <col min="14870" max="14871" width="7.7109375" style="30" customWidth="1"/>
    <col min="14872" max="14872" width="5.7109375" style="30" customWidth="1"/>
    <col min="14873" max="14873" width="1.7109375" style="30" customWidth="1"/>
    <col min="14874" max="14877" width="4.7109375" style="30" customWidth="1"/>
    <col min="14878" max="14878" width="5.42578125" style="30" customWidth="1"/>
    <col min="14879" max="14879" width="6.28515625" style="30" bestFit="1" customWidth="1"/>
    <col min="14880" max="14880" width="4.7109375" style="30" customWidth="1"/>
    <col min="14881" max="14882" width="7.7109375" style="30" customWidth="1"/>
    <col min="14883" max="14883" width="5.7109375" style="30" customWidth="1"/>
    <col min="14884" max="15107" width="9.140625" style="30"/>
    <col min="15108" max="15111" width="4.7109375" style="30" customWidth="1"/>
    <col min="15112" max="15112" width="5.28515625" style="30" customWidth="1"/>
    <col min="15113" max="15113" width="6.28515625" style="30" bestFit="1" customWidth="1"/>
    <col min="15114" max="15114" width="4.7109375" style="30" customWidth="1"/>
    <col min="15115" max="15116" width="7.7109375" style="30" customWidth="1"/>
    <col min="15117" max="15117" width="5.7109375" style="30" customWidth="1"/>
    <col min="15118" max="15118" width="1.7109375" style="30" customWidth="1"/>
    <col min="15119" max="15122" width="4.7109375" style="30" customWidth="1"/>
    <col min="15123" max="15123" width="5.28515625" style="30" customWidth="1"/>
    <col min="15124" max="15124" width="6.28515625" style="30" bestFit="1" customWidth="1"/>
    <col min="15125" max="15125" width="4.7109375" style="30" customWidth="1"/>
    <col min="15126" max="15127" width="7.7109375" style="30" customWidth="1"/>
    <col min="15128" max="15128" width="5.7109375" style="30" customWidth="1"/>
    <col min="15129" max="15129" width="1.7109375" style="30" customWidth="1"/>
    <col min="15130" max="15133" width="4.7109375" style="30" customWidth="1"/>
    <col min="15134" max="15134" width="5.42578125" style="30" customWidth="1"/>
    <col min="15135" max="15135" width="6.28515625" style="30" bestFit="1" customWidth="1"/>
    <col min="15136" max="15136" width="4.7109375" style="30" customWidth="1"/>
    <col min="15137" max="15138" width="7.7109375" style="30" customWidth="1"/>
    <col min="15139" max="15139" width="5.7109375" style="30" customWidth="1"/>
    <col min="15140" max="15363" width="9.140625" style="30"/>
    <col min="15364" max="15367" width="4.7109375" style="30" customWidth="1"/>
    <col min="15368" max="15368" width="5.28515625" style="30" customWidth="1"/>
    <col min="15369" max="15369" width="6.28515625" style="30" bestFit="1" customWidth="1"/>
    <col min="15370" max="15370" width="4.7109375" style="30" customWidth="1"/>
    <col min="15371" max="15372" width="7.7109375" style="30" customWidth="1"/>
    <col min="15373" max="15373" width="5.7109375" style="30" customWidth="1"/>
    <col min="15374" max="15374" width="1.7109375" style="30" customWidth="1"/>
    <col min="15375" max="15378" width="4.7109375" style="30" customWidth="1"/>
    <col min="15379" max="15379" width="5.28515625" style="30" customWidth="1"/>
    <col min="15380" max="15380" width="6.28515625" style="30" bestFit="1" customWidth="1"/>
    <col min="15381" max="15381" width="4.7109375" style="30" customWidth="1"/>
    <col min="15382" max="15383" width="7.7109375" style="30" customWidth="1"/>
    <col min="15384" max="15384" width="5.7109375" style="30" customWidth="1"/>
    <col min="15385" max="15385" width="1.7109375" style="30" customWidth="1"/>
    <col min="15386" max="15389" width="4.7109375" style="30" customWidth="1"/>
    <col min="15390" max="15390" width="5.42578125" style="30" customWidth="1"/>
    <col min="15391" max="15391" width="6.28515625" style="30" bestFit="1" customWidth="1"/>
    <col min="15392" max="15392" width="4.7109375" style="30" customWidth="1"/>
    <col min="15393" max="15394" width="7.7109375" style="30" customWidth="1"/>
    <col min="15395" max="15395" width="5.7109375" style="30" customWidth="1"/>
    <col min="15396" max="15619" width="9.140625" style="30"/>
    <col min="15620" max="15623" width="4.7109375" style="30" customWidth="1"/>
    <col min="15624" max="15624" width="5.28515625" style="30" customWidth="1"/>
    <col min="15625" max="15625" width="6.28515625" style="30" bestFit="1" customWidth="1"/>
    <col min="15626" max="15626" width="4.7109375" style="30" customWidth="1"/>
    <col min="15627" max="15628" width="7.7109375" style="30" customWidth="1"/>
    <col min="15629" max="15629" width="5.7109375" style="30" customWidth="1"/>
    <col min="15630" max="15630" width="1.7109375" style="30" customWidth="1"/>
    <col min="15631" max="15634" width="4.7109375" style="30" customWidth="1"/>
    <col min="15635" max="15635" width="5.28515625" style="30" customWidth="1"/>
    <col min="15636" max="15636" width="6.28515625" style="30" bestFit="1" customWidth="1"/>
    <col min="15637" max="15637" width="4.7109375" style="30" customWidth="1"/>
    <col min="15638" max="15639" width="7.7109375" style="30" customWidth="1"/>
    <col min="15640" max="15640" width="5.7109375" style="30" customWidth="1"/>
    <col min="15641" max="15641" width="1.7109375" style="30" customWidth="1"/>
    <col min="15642" max="15645" width="4.7109375" style="30" customWidth="1"/>
    <col min="15646" max="15646" width="5.42578125" style="30" customWidth="1"/>
    <col min="15647" max="15647" width="6.28515625" style="30" bestFit="1" customWidth="1"/>
    <col min="15648" max="15648" width="4.7109375" style="30" customWidth="1"/>
    <col min="15649" max="15650" width="7.7109375" style="30" customWidth="1"/>
    <col min="15651" max="15651" width="5.7109375" style="30" customWidth="1"/>
    <col min="15652" max="15875" width="9.140625" style="30"/>
    <col min="15876" max="15879" width="4.7109375" style="30" customWidth="1"/>
    <col min="15880" max="15880" width="5.28515625" style="30" customWidth="1"/>
    <col min="15881" max="15881" width="6.28515625" style="30" bestFit="1" customWidth="1"/>
    <col min="15882" max="15882" width="4.7109375" style="30" customWidth="1"/>
    <col min="15883" max="15884" width="7.7109375" style="30" customWidth="1"/>
    <col min="15885" max="15885" width="5.7109375" style="30" customWidth="1"/>
    <col min="15886" max="15886" width="1.7109375" style="30" customWidth="1"/>
    <col min="15887" max="15890" width="4.7109375" style="30" customWidth="1"/>
    <col min="15891" max="15891" width="5.28515625" style="30" customWidth="1"/>
    <col min="15892" max="15892" width="6.28515625" style="30" bestFit="1" customWidth="1"/>
    <col min="15893" max="15893" width="4.7109375" style="30" customWidth="1"/>
    <col min="15894" max="15895" width="7.7109375" style="30" customWidth="1"/>
    <col min="15896" max="15896" width="5.7109375" style="30" customWidth="1"/>
    <col min="15897" max="15897" width="1.7109375" style="30" customWidth="1"/>
    <col min="15898" max="15901" width="4.7109375" style="30" customWidth="1"/>
    <col min="15902" max="15902" width="5.42578125" style="30" customWidth="1"/>
    <col min="15903" max="15903" width="6.28515625" style="30" bestFit="1" customWidth="1"/>
    <col min="15904" max="15904" width="4.7109375" style="30" customWidth="1"/>
    <col min="15905" max="15906" width="7.7109375" style="30" customWidth="1"/>
    <col min="15907" max="15907" width="5.7109375" style="30" customWidth="1"/>
    <col min="15908" max="16131" width="9.140625" style="30"/>
    <col min="16132" max="16135" width="4.7109375" style="30" customWidth="1"/>
    <col min="16136" max="16136" width="5.28515625" style="30" customWidth="1"/>
    <col min="16137" max="16137" width="6.28515625" style="30" bestFit="1" customWidth="1"/>
    <col min="16138" max="16138" width="4.7109375" style="30" customWidth="1"/>
    <col min="16139" max="16140" width="7.7109375" style="30" customWidth="1"/>
    <col min="16141" max="16141" width="5.7109375" style="30" customWidth="1"/>
    <col min="16142" max="16142" width="1.7109375" style="30" customWidth="1"/>
    <col min="16143" max="16146" width="4.7109375" style="30" customWidth="1"/>
    <col min="16147" max="16147" width="5.28515625" style="30" customWidth="1"/>
    <col min="16148" max="16148" width="6.28515625" style="30" bestFit="1" customWidth="1"/>
    <col min="16149" max="16149" width="4.7109375" style="30" customWidth="1"/>
    <col min="16150" max="16151" width="7.7109375" style="30" customWidth="1"/>
    <col min="16152" max="16152" width="5.7109375" style="30" customWidth="1"/>
    <col min="16153" max="16153" width="1.7109375" style="30" customWidth="1"/>
    <col min="16154" max="16157" width="4.7109375" style="30" customWidth="1"/>
    <col min="16158" max="16158" width="5.42578125" style="30" customWidth="1"/>
    <col min="16159" max="16159" width="6.28515625" style="30" bestFit="1" customWidth="1"/>
    <col min="16160" max="16160" width="4.7109375" style="30" customWidth="1"/>
    <col min="16161" max="16162" width="7.7109375" style="30" customWidth="1"/>
    <col min="16163" max="16163" width="5.7109375" style="30" customWidth="1"/>
    <col min="16164" max="16384" width="9.140625" style="30"/>
  </cols>
  <sheetData>
    <row r="1" spans="1:35" ht="21.95" customHeight="1" x14ac:dyDescent="0.35">
      <c r="A1" s="31"/>
      <c r="B1" s="32"/>
      <c r="C1" s="32"/>
      <c r="D1" s="32"/>
      <c r="E1" s="32"/>
      <c r="F1" s="32"/>
      <c r="G1" s="32"/>
      <c r="H1" s="32"/>
      <c r="I1" s="32"/>
      <c r="J1" s="32"/>
      <c r="K1" s="32"/>
      <c r="L1" s="513"/>
      <c r="M1" s="514"/>
      <c r="N1" s="514"/>
      <c r="O1" s="514"/>
      <c r="P1" s="514"/>
      <c r="Q1" s="514"/>
      <c r="R1" s="514"/>
      <c r="S1" s="514"/>
      <c r="T1" s="514"/>
      <c r="U1" s="514"/>
      <c r="V1" s="514"/>
      <c r="W1" s="514"/>
      <c r="X1" s="514"/>
      <c r="Y1" s="32"/>
      <c r="Z1" s="32"/>
      <c r="AA1" s="33"/>
      <c r="AB1" s="515"/>
      <c r="AC1" s="515"/>
      <c r="AD1" s="515"/>
      <c r="AE1" s="515"/>
      <c r="AF1" s="515"/>
      <c r="AG1" s="515"/>
      <c r="AH1" s="515"/>
      <c r="AI1" s="516"/>
    </row>
    <row r="2" spans="1:35" ht="21.95" customHeight="1" x14ac:dyDescent="0.3">
      <c r="A2" s="533" t="str">
        <f>'PG1'!$A$2</f>
        <v>DATABASE: 12 DEC</v>
      </c>
      <c r="B2" s="534"/>
      <c r="C2" s="534"/>
      <c r="D2" s="534"/>
      <c r="E2" s="117"/>
      <c r="F2" s="34"/>
      <c r="G2" s="34"/>
      <c r="H2" s="34"/>
      <c r="I2" s="34"/>
      <c r="J2" s="34"/>
      <c r="K2" s="34"/>
      <c r="L2" s="517" t="s">
        <v>6</v>
      </c>
      <c r="M2" s="518"/>
      <c r="N2" s="518"/>
      <c r="O2" s="518"/>
      <c r="P2" s="518"/>
      <c r="Q2" s="518"/>
      <c r="R2" s="518"/>
      <c r="S2" s="518"/>
      <c r="T2" s="518"/>
      <c r="U2" s="518"/>
      <c r="V2" s="518"/>
      <c r="W2" s="518"/>
      <c r="X2" s="518"/>
      <c r="Y2" s="34"/>
      <c r="Z2" s="34"/>
      <c r="AA2" s="35" t="s">
        <v>7</v>
      </c>
      <c r="AB2" s="519">
        <f>TS!W74</f>
        <v>0</v>
      </c>
      <c r="AC2" s="519"/>
      <c r="AD2" s="519"/>
      <c r="AE2" s="519"/>
      <c r="AF2" s="519"/>
      <c r="AG2" s="519"/>
      <c r="AH2" s="519"/>
      <c r="AI2" s="520"/>
    </row>
    <row r="3" spans="1:35" ht="21.95" customHeight="1" x14ac:dyDescent="0.3">
      <c r="A3" s="36"/>
      <c r="B3" s="37"/>
      <c r="C3" s="37"/>
      <c r="D3" s="37"/>
      <c r="E3" s="37"/>
      <c r="F3" s="37"/>
      <c r="G3" s="37"/>
      <c r="H3" s="531" t="s">
        <v>24</v>
      </c>
      <c r="I3" s="531"/>
      <c r="J3" s="531"/>
      <c r="K3" s="531"/>
      <c r="L3" s="532" t="s">
        <v>21</v>
      </c>
      <c r="M3" s="532"/>
      <c r="N3" s="532"/>
      <c r="O3" s="532"/>
      <c r="P3" s="532"/>
      <c r="Q3" s="532"/>
      <c r="R3" s="532"/>
      <c r="S3" s="532"/>
      <c r="T3" s="532"/>
      <c r="U3" s="532"/>
      <c r="V3" s="532"/>
      <c r="W3" s="532"/>
      <c r="X3" s="532"/>
      <c r="Y3" s="37"/>
      <c r="Z3" s="37"/>
      <c r="AA3" s="37"/>
      <c r="AB3" s="37"/>
      <c r="AC3" s="37"/>
      <c r="AD3" s="37"/>
      <c r="AE3" s="37"/>
      <c r="AF3" s="37"/>
      <c r="AG3" s="521" t="s">
        <v>25</v>
      </c>
      <c r="AH3" s="521"/>
      <c r="AI3" s="38"/>
    </row>
    <row r="4" spans="1:35" ht="21.95" customHeight="1" x14ac:dyDescent="0.3">
      <c r="A4" s="50" t="s">
        <v>8</v>
      </c>
      <c r="B4" s="50" t="s">
        <v>9</v>
      </c>
      <c r="C4" s="50" t="s">
        <v>9</v>
      </c>
      <c r="D4" s="50" t="s">
        <v>10</v>
      </c>
      <c r="E4" s="50" t="s">
        <v>70</v>
      </c>
      <c r="F4" s="50" t="s">
        <v>11</v>
      </c>
      <c r="G4" s="50" t="s">
        <v>12</v>
      </c>
      <c r="H4" s="50" t="s">
        <v>13</v>
      </c>
      <c r="I4" s="50" t="s">
        <v>14</v>
      </c>
      <c r="J4" s="50" t="s">
        <v>15</v>
      </c>
      <c r="K4" s="50" t="s">
        <v>16</v>
      </c>
      <c r="L4" s="51"/>
      <c r="M4" s="50" t="s">
        <v>8</v>
      </c>
      <c r="N4" s="50" t="s">
        <v>9</v>
      </c>
      <c r="O4" s="50" t="s">
        <v>9</v>
      </c>
      <c r="P4" s="50" t="s">
        <v>10</v>
      </c>
      <c r="Q4" s="50" t="s">
        <v>70</v>
      </c>
      <c r="R4" s="50" t="s">
        <v>11</v>
      </c>
      <c r="S4" s="50" t="s">
        <v>12</v>
      </c>
      <c r="T4" s="50" t="s">
        <v>13</v>
      </c>
      <c r="U4" s="50" t="s">
        <v>14</v>
      </c>
      <c r="V4" s="50" t="s">
        <v>15</v>
      </c>
      <c r="W4" s="50" t="s">
        <v>16</v>
      </c>
      <c r="X4" s="51"/>
      <c r="Y4" s="50" t="s">
        <v>8</v>
      </c>
      <c r="Z4" s="50" t="s">
        <v>9</v>
      </c>
      <c r="AA4" s="50" t="s">
        <v>9</v>
      </c>
      <c r="AB4" s="50" t="s">
        <v>10</v>
      </c>
      <c r="AC4" s="50" t="s">
        <v>70</v>
      </c>
      <c r="AD4" s="50" t="s">
        <v>11</v>
      </c>
      <c r="AE4" s="50" t="s">
        <v>12</v>
      </c>
      <c r="AF4" s="50" t="s">
        <v>13</v>
      </c>
      <c r="AG4" s="50" t="s">
        <v>14</v>
      </c>
      <c r="AH4" s="50" t="s">
        <v>15</v>
      </c>
      <c r="AI4" s="50" t="s">
        <v>16</v>
      </c>
    </row>
    <row r="5" spans="1:35" ht="21.95" customHeight="1" x14ac:dyDescent="0.3">
      <c r="A5" s="52"/>
      <c r="B5" s="52" t="s">
        <v>17</v>
      </c>
      <c r="C5" s="52" t="s">
        <v>18</v>
      </c>
      <c r="D5" s="52" t="s">
        <v>19</v>
      </c>
      <c r="E5" s="52"/>
      <c r="F5" s="52"/>
      <c r="G5" s="52"/>
      <c r="H5" s="52" t="s">
        <v>0</v>
      </c>
      <c r="I5" s="52" t="s">
        <v>0</v>
      </c>
      <c r="J5" s="52" t="s">
        <v>20</v>
      </c>
      <c r="K5" s="52"/>
      <c r="L5" s="51"/>
      <c r="M5" s="52"/>
      <c r="N5" s="52" t="s">
        <v>17</v>
      </c>
      <c r="O5" s="52" t="s">
        <v>18</v>
      </c>
      <c r="P5" s="52" t="s">
        <v>19</v>
      </c>
      <c r="Q5" s="52"/>
      <c r="R5" s="52"/>
      <c r="S5" s="52"/>
      <c r="T5" s="52" t="s">
        <v>0</v>
      </c>
      <c r="U5" s="52" t="s">
        <v>0</v>
      </c>
      <c r="V5" s="52" t="s">
        <v>20</v>
      </c>
      <c r="W5" s="52"/>
      <c r="X5" s="51"/>
      <c r="Y5" s="52"/>
      <c r="Z5" s="52" t="s">
        <v>17</v>
      </c>
      <c r="AA5" s="52" t="s">
        <v>18</v>
      </c>
      <c r="AB5" s="52" t="s">
        <v>19</v>
      </c>
      <c r="AC5" s="52"/>
      <c r="AD5" s="52"/>
      <c r="AE5" s="52"/>
      <c r="AF5" s="52" t="s">
        <v>0</v>
      </c>
      <c r="AG5" s="52" t="s">
        <v>0</v>
      </c>
      <c r="AH5" s="52" t="s">
        <v>20</v>
      </c>
      <c r="AI5" s="52"/>
    </row>
    <row r="6" spans="1:35" ht="21.95" customHeight="1" x14ac:dyDescent="0.25">
      <c r="A6" s="511" t="s">
        <v>35</v>
      </c>
      <c r="B6" s="511"/>
      <c r="C6" s="511"/>
      <c r="D6" s="511"/>
      <c r="E6" s="511"/>
      <c r="F6" s="511"/>
      <c r="G6" s="511"/>
      <c r="H6" s="511"/>
      <c r="I6" s="511"/>
      <c r="J6" s="511"/>
      <c r="K6" s="511"/>
      <c r="L6" s="53"/>
      <c r="M6" s="511" t="s">
        <v>34</v>
      </c>
      <c r="N6" s="511"/>
      <c r="O6" s="511"/>
      <c r="P6" s="511"/>
      <c r="Q6" s="511"/>
      <c r="R6" s="511"/>
      <c r="S6" s="511"/>
      <c r="T6" s="511"/>
      <c r="U6" s="511"/>
      <c r="V6" s="511"/>
      <c r="W6" s="511"/>
      <c r="X6" s="53"/>
      <c r="Y6" s="511" t="s">
        <v>34</v>
      </c>
      <c r="Z6" s="511"/>
      <c r="AA6" s="511"/>
      <c r="AB6" s="511"/>
      <c r="AC6" s="511"/>
      <c r="AD6" s="511"/>
      <c r="AE6" s="511"/>
      <c r="AF6" s="511"/>
      <c r="AG6" s="511"/>
      <c r="AH6" s="511"/>
      <c r="AI6" s="511"/>
    </row>
    <row r="7" spans="1:35" ht="21.95" customHeight="1" x14ac:dyDescent="0.25">
      <c r="A7" s="512"/>
      <c r="B7" s="512"/>
      <c r="C7" s="512"/>
      <c r="D7" s="512"/>
      <c r="E7" s="512"/>
      <c r="F7" s="512"/>
      <c r="G7" s="512"/>
      <c r="H7" s="512"/>
      <c r="I7" s="512"/>
      <c r="J7" s="512"/>
      <c r="K7" s="512"/>
      <c r="L7" s="54"/>
      <c r="M7" s="512"/>
      <c r="N7" s="512"/>
      <c r="O7" s="512"/>
      <c r="P7" s="512"/>
      <c r="Q7" s="512"/>
      <c r="R7" s="512"/>
      <c r="S7" s="512"/>
      <c r="T7" s="512"/>
      <c r="U7" s="512"/>
      <c r="V7" s="512"/>
      <c r="W7" s="512"/>
      <c r="X7" s="54"/>
      <c r="Y7" s="512"/>
      <c r="Z7" s="512"/>
      <c r="AA7" s="512"/>
      <c r="AB7" s="512"/>
      <c r="AC7" s="512"/>
      <c r="AD7" s="512"/>
      <c r="AE7" s="512"/>
      <c r="AF7" s="512"/>
      <c r="AG7" s="512"/>
      <c r="AH7" s="512"/>
      <c r="AI7" s="512"/>
    </row>
    <row r="8" spans="1:35" ht="21.95" customHeight="1" x14ac:dyDescent="0.3">
      <c r="A8" s="80"/>
      <c r="B8" s="81" t="s">
        <v>41</v>
      </c>
      <c r="C8" s="80" t="s">
        <v>40</v>
      </c>
      <c r="D8" s="81">
        <v>21</v>
      </c>
      <c r="E8" s="80">
        <v>403</v>
      </c>
      <c r="F8" s="80">
        <v>539</v>
      </c>
      <c r="G8" s="81">
        <v>1921</v>
      </c>
      <c r="H8" s="80"/>
      <c r="I8" s="80"/>
      <c r="J8" s="80"/>
      <c r="K8" s="83">
        <v>239</v>
      </c>
      <c r="L8" s="54"/>
      <c r="M8" s="80"/>
      <c r="N8" s="81" t="s">
        <v>42</v>
      </c>
      <c r="O8" s="80" t="s">
        <v>40</v>
      </c>
      <c r="P8" s="81">
        <v>10</v>
      </c>
      <c r="Q8" s="80">
        <v>480</v>
      </c>
      <c r="R8" s="80">
        <v>444</v>
      </c>
      <c r="S8" s="81">
        <v>1148</v>
      </c>
      <c r="T8" s="80"/>
      <c r="U8" s="80"/>
      <c r="V8" s="80"/>
      <c r="W8" s="83">
        <v>175</v>
      </c>
      <c r="X8" s="54"/>
      <c r="Y8" s="80"/>
      <c r="Z8" s="83" t="s">
        <v>41</v>
      </c>
      <c r="AA8" s="80" t="s">
        <v>40</v>
      </c>
      <c r="AB8" s="82">
        <v>39</v>
      </c>
      <c r="AC8" s="80">
        <v>480</v>
      </c>
      <c r="AD8" s="81">
        <v>646</v>
      </c>
      <c r="AE8" s="80">
        <v>1830</v>
      </c>
      <c r="AF8" s="83"/>
      <c r="AG8" s="82"/>
      <c r="AH8" s="80"/>
      <c r="AI8" s="83">
        <v>224</v>
      </c>
    </row>
    <row r="9" spans="1:35" ht="21.95" customHeight="1" x14ac:dyDescent="0.3">
      <c r="A9" s="52"/>
      <c r="B9" s="103" t="s">
        <v>41</v>
      </c>
      <c r="C9" s="52" t="s">
        <v>40</v>
      </c>
      <c r="D9" s="103">
        <v>20</v>
      </c>
      <c r="E9" s="52">
        <v>403</v>
      </c>
      <c r="F9" s="52">
        <v>553</v>
      </c>
      <c r="G9" s="103">
        <v>1834</v>
      </c>
      <c r="H9" s="52"/>
      <c r="I9" s="52"/>
      <c r="J9" s="52"/>
      <c r="K9" s="104">
        <v>204</v>
      </c>
      <c r="L9" s="54"/>
      <c r="M9" s="52"/>
      <c r="N9" s="103" t="s">
        <v>42</v>
      </c>
      <c r="O9" s="52" t="s">
        <v>40</v>
      </c>
      <c r="P9" s="103">
        <v>11</v>
      </c>
      <c r="Q9" s="52">
        <v>480</v>
      </c>
      <c r="R9" s="52">
        <v>447</v>
      </c>
      <c r="S9" s="103">
        <v>1128</v>
      </c>
      <c r="T9" s="52"/>
      <c r="U9" s="52"/>
      <c r="V9" s="52"/>
      <c r="W9" s="104">
        <v>159</v>
      </c>
      <c r="X9" s="54"/>
      <c r="Y9" s="52"/>
      <c r="Z9" s="104" t="s">
        <v>41</v>
      </c>
      <c r="AA9" s="52" t="s">
        <v>40</v>
      </c>
      <c r="AB9" s="102">
        <v>55</v>
      </c>
      <c r="AC9" s="52">
        <v>480</v>
      </c>
      <c r="AD9" s="103">
        <v>647</v>
      </c>
      <c r="AE9" s="52">
        <v>956</v>
      </c>
      <c r="AF9" s="104"/>
      <c r="AG9" s="102"/>
      <c r="AH9" s="52"/>
      <c r="AI9" s="104">
        <v>79</v>
      </c>
    </row>
    <row r="10" spans="1:35" ht="21.95" customHeight="1" x14ac:dyDescent="0.3">
      <c r="A10" s="80"/>
      <c r="B10" s="81" t="s">
        <v>41</v>
      </c>
      <c r="C10" s="80" t="s">
        <v>40</v>
      </c>
      <c r="D10" s="81">
        <v>23</v>
      </c>
      <c r="E10" s="80">
        <v>403</v>
      </c>
      <c r="F10" s="80">
        <v>623</v>
      </c>
      <c r="G10" s="81">
        <v>1819</v>
      </c>
      <c r="H10" s="80"/>
      <c r="I10" s="80"/>
      <c r="J10" s="80"/>
      <c r="K10" s="83">
        <v>215</v>
      </c>
      <c r="L10" s="54"/>
      <c r="M10" s="80"/>
      <c r="N10" s="81" t="s">
        <v>41</v>
      </c>
      <c r="O10" s="80" t="s">
        <v>40</v>
      </c>
      <c r="P10" s="81">
        <v>30</v>
      </c>
      <c r="Q10" s="80">
        <v>480</v>
      </c>
      <c r="R10" s="80">
        <v>502</v>
      </c>
      <c r="S10" s="81">
        <v>2219</v>
      </c>
      <c r="T10" s="82"/>
      <c r="U10" s="80"/>
      <c r="V10" s="83"/>
      <c r="W10" s="83">
        <v>357</v>
      </c>
      <c r="X10" s="54"/>
      <c r="Y10" s="80" t="s">
        <v>45</v>
      </c>
      <c r="Z10" s="80" t="s">
        <v>42</v>
      </c>
      <c r="AA10" s="80" t="s">
        <v>40</v>
      </c>
      <c r="AB10" s="82">
        <v>52</v>
      </c>
      <c r="AC10" s="80">
        <v>480</v>
      </c>
      <c r="AD10" s="81">
        <v>650</v>
      </c>
      <c r="AE10" s="80">
        <v>1032</v>
      </c>
      <c r="AF10" s="83"/>
      <c r="AG10" s="82"/>
      <c r="AH10" s="80"/>
      <c r="AI10" s="83">
        <v>112</v>
      </c>
    </row>
    <row r="11" spans="1:35" ht="21.95" customHeight="1" x14ac:dyDescent="0.3">
      <c r="A11" s="52"/>
      <c r="B11" s="103" t="s">
        <v>41</v>
      </c>
      <c r="C11" s="52" t="s">
        <v>40</v>
      </c>
      <c r="D11" s="103">
        <v>24</v>
      </c>
      <c r="E11" s="52">
        <v>403</v>
      </c>
      <c r="F11" s="52">
        <v>705</v>
      </c>
      <c r="G11" s="103">
        <v>1848</v>
      </c>
      <c r="H11" s="52"/>
      <c r="I11" s="52"/>
      <c r="J11" s="52"/>
      <c r="K11" s="104">
        <v>185</v>
      </c>
      <c r="L11" s="54"/>
      <c r="M11" s="52"/>
      <c r="N11" s="103" t="s">
        <v>41</v>
      </c>
      <c r="O11" s="52" t="s">
        <v>40</v>
      </c>
      <c r="P11" s="103">
        <v>31</v>
      </c>
      <c r="Q11" s="52">
        <v>480</v>
      </c>
      <c r="R11" s="52">
        <v>502</v>
      </c>
      <c r="S11" s="103">
        <v>2012</v>
      </c>
      <c r="T11" s="102"/>
      <c r="U11" s="52"/>
      <c r="V11" s="104"/>
      <c r="W11" s="104">
        <v>283</v>
      </c>
      <c r="X11" s="54"/>
      <c r="Y11" s="60"/>
      <c r="Z11" s="52" t="s">
        <v>42</v>
      </c>
      <c r="AA11" s="52" t="s">
        <v>40</v>
      </c>
      <c r="AB11" s="102">
        <v>1</v>
      </c>
      <c r="AC11" s="52">
        <v>480</v>
      </c>
      <c r="AD11" s="103">
        <v>655</v>
      </c>
      <c r="AE11" s="52">
        <v>2615</v>
      </c>
      <c r="AF11" s="104"/>
      <c r="AG11" s="52"/>
      <c r="AH11" s="52"/>
      <c r="AI11" s="104">
        <v>392</v>
      </c>
    </row>
    <row r="12" spans="1:35" ht="21.95" customHeight="1" x14ac:dyDescent="0.3">
      <c r="A12" s="80"/>
      <c r="B12" s="81" t="s">
        <v>41</v>
      </c>
      <c r="C12" s="80" t="s">
        <v>40</v>
      </c>
      <c r="D12" s="81">
        <v>22</v>
      </c>
      <c r="E12" s="80">
        <v>403</v>
      </c>
      <c r="F12" s="80">
        <v>725</v>
      </c>
      <c r="G12" s="81">
        <v>1909</v>
      </c>
      <c r="H12" s="80"/>
      <c r="I12" s="80"/>
      <c r="J12" s="80"/>
      <c r="K12" s="83">
        <v>198</v>
      </c>
      <c r="L12" s="54"/>
      <c r="M12" s="80"/>
      <c r="N12" s="81" t="s">
        <v>41</v>
      </c>
      <c r="O12" s="80" t="s">
        <v>40</v>
      </c>
      <c r="P12" s="81">
        <v>32</v>
      </c>
      <c r="Q12" s="80">
        <v>480</v>
      </c>
      <c r="R12" s="80">
        <v>515</v>
      </c>
      <c r="S12" s="81">
        <v>2534</v>
      </c>
      <c r="T12" s="80"/>
      <c r="U12" s="81"/>
      <c r="V12" s="80"/>
      <c r="W12" s="83">
        <v>397</v>
      </c>
      <c r="X12" s="54"/>
      <c r="Y12" s="80" t="s">
        <v>43</v>
      </c>
      <c r="Z12" s="83" t="s">
        <v>42</v>
      </c>
      <c r="AA12" s="80" t="s">
        <v>40</v>
      </c>
      <c r="AB12" s="82">
        <v>84</v>
      </c>
      <c r="AC12" s="80">
        <v>480</v>
      </c>
      <c r="AD12" s="81">
        <v>702</v>
      </c>
      <c r="AE12" s="80">
        <v>1122</v>
      </c>
      <c r="AF12" s="83"/>
      <c r="AG12" s="82"/>
      <c r="AH12" s="80"/>
      <c r="AI12" s="83">
        <v>102</v>
      </c>
    </row>
    <row r="13" spans="1:35" ht="21.95" customHeight="1" x14ac:dyDescent="0.3">
      <c r="A13" s="52"/>
      <c r="B13" s="103" t="s">
        <v>41</v>
      </c>
      <c r="C13" s="52" t="s">
        <v>40</v>
      </c>
      <c r="D13" s="103">
        <v>30</v>
      </c>
      <c r="E13" s="52">
        <v>403</v>
      </c>
      <c r="F13" s="52">
        <v>739</v>
      </c>
      <c r="G13" s="103">
        <v>1008</v>
      </c>
      <c r="H13" s="52"/>
      <c r="I13" s="52"/>
      <c r="J13" s="52"/>
      <c r="K13" s="104">
        <v>51</v>
      </c>
      <c r="L13" s="54"/>
      <c r="M13" s="52"/>
      <c r="N13" s="103" t="s">
        <v>42</v>
      </c>
      <c r="O13" s="52" t="s">
        <v>40</v>
      </c>
      <c r="P13" s="103">
        <v>2</v>
      </c>
      <c r="Q13" s="52">
        <v>480</v>
      </c>
      <c r="R13" s="52">
        <v>517</v>
      </c>
      <c r="S13" s="103">
        <v>1807</v>
      </c>
      <c r="T13" s="52"/>
      <c r="U13" s="52"/>
      <c r="V13" s="52"/>
      <c r="W13" s="104">
        <v>294</v>
      </c>
      <c r="X13" s="54"/>
      <c r="Y13" s="52"/>
      <c r="Z13" s="62" t="s">
        <v>42</v>
      </c>
      <c r="AA13" s="52" t="s">
        <v>40</v>
      </c>
      <c r="AB13" s="60">
        <v>15</v>
      </c>
      <c r="AC13" s="50">
        <v>480</v>
      </c>
      <c r="AD13" s="61">
        <v>707</v>
      </c>
      <c r="AE13" s="50">
        <v>1016</v>
      </c>
      <c r="AF13" s="62"/>
      <c r="AG13" s="61"/>
      <c r="AH13" s="50"/>
      <c r="AI13" s="62">
        <v>90</v>
      </c>
    </row>
    <row r="14" spans="1:35" ht="21.95" customHeight="1" x14ac:dyDescent="0.3">
      <c r="A14" s="511" t="s">
        <v>36</v>
      </c>
      <c r="B14" s="511"/>
      <c r="C14" s="511"/>
      <c r="D14" s="511"/>
      <c r="E14" s="511"/>
      <c r="F14" s="511"/>
      <c r="G14" s="511"/>
      <c r="H14" s="511"/>
      <c r="I14" s="511"/>
      <c r="J14" s="511"/>
      <c r="K14" s="511"/>
      <c r="L14" s="54"/>
      <c r="M14" s="80"/>
      <c r="N14" s="81" t="s">
        <v>42</v>
      </c>
      <c r="O14" s="80" t="s">
        <v>40</v>
      </c>
      <c r="P14" s="81">
        <v>34</v>
      </c>
      <c r="Q14" s="80">
        <v>480</v>
      </c>
      <c r="R14" s="80">
        <v>517</v>
      </c>
      <c r="S14" s="81">
        <v>1938</v>
      </c>
      <c r="T14" s="80"/>
      <c r="U14" s="81"/>
      <c r="V14" s="80"/>
      <c r="W14" s="83">
        <v>287</v>
      </c>
      <c r="X14" s="54"/>
      <c r="Y14" s="86"/>
      <c r="Z14" s="80" t="s">
        <v>42</v>
      </c>
      <c r="AA14" s="80" t="s">
        <v>40</v>
      </c>
      <c r="AB14" s="82">
        <v>5</v>
      </c>
      <c r="AC14" s="80">
        <v>480</v>
      </c>
      <c r="AD14" s="81">
        <v>710</v>
      </c>
      <c r="AE14" s="80">
        <v>2123</v>
      </c>
      <c r="AF14" s="80"/>
      <c r="AG14" s="81"/>
      <c r="AH14" s="80"/>
      <c r="AI14" s="83">
        <v>330</v>
      </c>
    </row>
    <row r="15" spans="1:35" ht="21.95" customHeight="1" x14ac:dyDescent="0.3">
      <c r="A15" s="512"/>
      <c r="B15" s="512"/>
      <c r="C15" s="512"/>
      <c r="D15" s="512"/>
      <c r="E15" s="512"/>
      <c r="F15" s="512"/>
      <c r="G15" s="512"/>
      <c r="H15" s="512"/>
      <c r="I15" s="512"/>
      <c r="J15" s="512"/>
      <c r="K15" s="512"/>
      <c r="L15" s="54"/>
      <c r="M15" s="52"/>
      <c r="N15" s="103" t="s">
        <v>41</v>
      </c>
      <c r="O15" s="52" t="s">
        <v>40</v>
      </c>
      <c r="P15" s="103">
        <v>40</v>
      </c>
      <c r="Q15" s="52">
        <v>480</v>
      </c>
      <c r="R15" s="52">
        <v>539</v>
      </c>
      <c r="S15" s="103">
        <v>1915</v>
      </c>
      <c r="T15" s="52"/>
      <c r="U15" s="52"/>
      <c r="V15" s="52"/>
      <c r="W15" s="104">
        <v>272</v>
      </c>
      <c r="X15" s="54"/>
      <c r="Y15" s="102" t="s">
        <v>46</v>
      </c>
      <c r="Z15" s="52" t="s">
        <v>42</v>
      </c>
      <c r="AA15" s="52" t="s">
        <v>40</v>
      </c>
      <c r="AB15" s="102">
        <v>92</v>
      </c>
      <c r="AC15" s="52">
        <v>480</v>
      </c>
      <c r="AD15" s="103">
        <v>719</v>
      </c>
      <c r="AE15" s="52">
        <v>925</v>
      </c>
      <c r="AF15" s="52"/>
      <c r="AG15" s="61"/>
      <c r="AH15" s="52"/>
      <c r="AI15" s="104">
        <v>61</v>
      </c>
    </row>
    <row r="16" spans="1:35" ht="21.95" customHeight="1" x14ac:dyDescent="0.3">
      <c r="A16" s="80"/>
      <c r="B16" s="81" t="s">
        <v>41</v>
      </c>
      <c r="C16" s="80" t="s">
        <v>40</v>
      </c>
      <c r="D16" s="80">
        <v>3</v>
      </c>
      <c r="E16" s="80">
        <v>404</v>
      </c>
      <c r="F16" s="80">
        <v>432</v>
      </c>
      <c r="G16" s="80">
        <v>2614</v>
      </c>
      <c r="H16" s="80"/>
      <c r="I16" s="80"/>
      <c r="J16" s="80"/>
      <c r="K16" s="83">
        <v>420</v>
      </c>
      <c r="L16" s="54"/>
      <c r="M16" s="80"/>
      <c r="N16" s="81" t="s">
        <v>41</v>
      </c>
      <c r="O16" s="80" t="s">
        <v>40</v>
      </c>
      <c r="P16" s="81">
        <v>35</v>
      </c>
      <c r="Q16" s="80">
        <v>480</v>
      </c>
      <c r="R16" s="80">
        <v>541</v>
      </c>
      <c r="S16" s="81">
        <v>2246</v>
      </c>
      <c r="T16" s="80"/>
      <c r="U16" s="80"/>
      <c r="V16" s="80"/>
      <c r="W16" s="83">
        <v>335</v>
      </c>
      <c r="X16" s="54"/>
      <c r="Y16" s="80"/>
      <c r="Z16" s="81" t="s">
        <v>41</v>
      </c>
      <c r="AA16" s="80" t="s">
        <v>40</v>
      </c>
      <c r="AB16" s="81">
        <v>38</v>
      </c>
      <c r="AC16" s="80">
        <v>480</v>
      </c>
      <c r="AD16" s="83">
        <v>720</v>
      </c>
      <c r="AE16" s="81">
        <v>1944</v>
      </c>
      <c r="AF16" s="82"/>
      <c r="AG16" s="80"/>
      <c r="AH16" s="83"/>
      <c r="AI16" s="83">
        <v>255</v>
      </c>
    </row>
    <row r="17" spans="1:35" ht="21.95" customHeight="1" x14ac:dyDescent="0.3">
      <c r="A17" s="52"/>
      <c r="B17" s="103" t="s">
        <v>41</v>
      </c>
      <c r="C17" s="52" t="s">
        <v>40</v>
      </c>
      <c r="D17" s="52">
        <v>5</v>
      </c>
      <c r="E17" s="52">
        <v>404</v>
      </c>
      <c r="F17" s="52">
        <v>517</v>
      </c>
      <c r="G17" s="52">
        <v>2234</v>
      </c>
      <c r="H17" s="52"/>
      <c r="I17" s="52"/>
      <c r="J17" s="52"/>
      <c r="K17" s="104">
        <v>355</v>
      </c>
      <c r="L17" s="54"/>
      <c r="M17" s="52"/>
      <c r="N17" s="103" t="s">
        <v>41</v>
      </c>
      <c r="O17" s="52" t="s">
        <v>40</v>
      </c>
      <c r="P17" s="103">
        <v>37</v>
      </c>
      <c r="Q17" s="52">
        <v>480</v>
      </c>
      <c r="R17" s="52">
        <v>547</v>
      </c>
      <c r="S17" s="103">
        <v>1955</v>
      </c>
      <c r="T17" s="52"/>
      <c r="U17" s="52"/>
      <c r="V17" s="52"/>
      <c r="W17" s="104">
        <v>275</v>
      </c>
      <c r="X17" s="54"/>
      <c r="Y17" s="52"/>
      <c r="Z17" s="103" t="s">
        <v>42</v>
      </c>
      <c r="AA17" s="52" t="s">
        <v>40</v>
      </c>
      <c r="AB17" s="103">
        <v>12</v>
      </c>
      <c r="AC17" s="52">
        <v>480</v>
      </c>
      <c r="AD17" s="104">
        <v>727</v>
      </c>
      <c r="AE17" s="103">
        <v>943</v>
      </c>
      <c r="AF17" s="102"/>
      <c r="AG17" s="52"/>
      <c r="AH17" s="104"/>
      <c r="AI17" s="104">
        <v>57</v>
      </c>
    </row>
    <row r="18" spans="1:35" ht="21.95" customHeight="1" x14ac:dyDescent="0.3">
      <c r="A18" s="80"/>
      <c r="B18" s="81" t="s">
        <v>41</v>
      </c>
      <c r="C18" s="80" t="s">
        <v>40</v>
      </c>
      <c r="D18" s="80">
        <v>2</v>
      </c>
      <c r="E18" s="80">
        <v>404</v>
      </c>
      <c r="F18" s="80">
        <v>523</v>
      </c>
      <c r="G18" s="80">
        <v>2634</v>
      </c>
      <c r="H18" s="80"/>
      <c r="I18" s="80"/>
      <c r="J18" s="80"/>
      <c r="K18" s="83">
        <v>434</v>
      </c>
      <c r="L18" s="54"/>
      <c r="M18" s="80"/>
      <c r="N18" s="81" t="s">
        <v>41</v>
      </c>
      <c r="O18" s="80" t="s">
        <v>40</v>
      </c>
      <c r="P18" s="81">
        <v>58</v>
      </c>
      <c r="Q18" s="80">
        <v>480</v>
      </c>
      <c r="R18" s="80">
        <v>552</v>
      </c>
      <c r="S18" s="81">
        <v>919</v>
      </c>
      <c r="T18" s="80"/>
      <c r="U18" s="80"/>
      <c r="V18" s="80"/>
      <c r="W18" s="83">
        <v>78</v>
      </c>
      <c r="X18" s="54"/>
      <c r="Y18" s="80"/>
      <c r="Z18" s="81" t="s">
        <v>42</v>
      </c>
      <c r="AA18" s="80" t="s">
        <v>40</v>
      </c>
      <c r="AB18" s="81">
        <v>7</v>
      </c>
      <c r="AC18" s="80">
        <v>480</v>
      </c>
      <c r="AD18" s="83">
        <v>730</v>
      </c>
      <c r="AE18" s="81">
        <v>2033</v>
      </c>
      <c r="AF18" s="80"/>
      <c r="AG18" s="84"/>
      <c r="AH18" s="80"/>
      <c r="AI18" s="83">
        <v>316</v>
      </c>
    </row>
    <row r="19" spans="1:35" ht="21.95" customHeight="1" x14ac:dyDescent="0.3">
      <c r="A19" s="52"/>
      <c r="B19" s="103" t="s">
        <v>41</v>
      </c>
      <c r="C19" s="52" t="s">
        <v>40</v>
      </c>
      <c r="D19" s="52">
        <v>6</v>
      </c>
      <c r="E19" s="52">
        <v>404</v>
      </c>
      <c r="F19" s="52">
        <v>537</v>
      </c>
      <c r="G19" s="52">
        <v>2212</v>
      </c>
      <c r="H19" s="52"/>
      <c r="I19" s="52"/>
      <c r="J19" s="52"/>
      <c r="K19" s="104">
        <v>337</v>
      </c>
      <c r="L19" s="54"/>
      <c r="M19" s="52"/>
      <c r="N19" s="103" t="s">
        <v>42</v>
      </c>
      <c r="O19" s="52" t="s">
        <v>40</v>
      </c>
      <c r="P19" s="103">
        <v>56</v>
      </c>
      <c r="Q19" s="52">
        <v>480</v>
      </c>
      <c r="R19" s="52">
        <v>553</v>
      </c>
      <c r="S19" s="103">
        <v>1101</v>
      </c>
      <c r="T19" s="52"/>
      <c r="U19" s="52"/>
      <c r="V19" s="52"/>
      <c r="W19" s="104">
        <v>115</v>
      </c>
      <c r="X19" s="54"/>
      <c r="Y19" s="52"/>
      <c r="Z19" s="103" t="s">
        <v>41</v>
      </c>
      <c r="AA19" s="52" t="s">
        <v>40</v>
      </c>
      <c r="AB19" s="103">
        <v>57</v>
      </c>
      <c r="AC19" s="52">
        <v>480</v>
      </c>
      <c r="AD19" s="104">
        <v>734</v>
      </c>
      <c r="AE19" s="103">
        <v>946</v>
      </c>
      <c r="AF19" s="52"/>
      <c r="AG19" s="52"/>
      <c r="AH19" s="52"/>
      <c r="AI19" s="104">
        <v>54</v>
      </c>
    </row>
    <row r="20" spans="1:35" ht="21.95" customHeight="1" x14ac:dyDescent="0.3">
      <c r="A20" s="80"/>
      <c r="B20" s="81" t="s">
        <v>41</v>
      </c>
      <c r="C20" s="80" t="s">
        <v>40</v>
      </c>
      <c r="D20" s="80">
        <v>23</v>
      </c>
      <c r="E20" s="80">
        <v>404</v>
      </c>
      <c r="F20" s="80">
        <v>540</v>
      </c>
      <c r="G20" s="80">
        <v>926</v>
      </c>
      <c r="H20" s="80"/>
      <c r="I20" s="80"/>
      <c r="J20" s="80"/>
      <c r="K20" s="83">
        <v>97</v>
      </c>
      <c r="L20" s="54"/>
      <c r="M20" s="80"/>
      <c r="N20" s="81" t="s">
        <v>42</v>
      </c>
      <c r="O20" s="80" t="s">
        <v>40</v>
      </c>
      <c r="P20" s="81">
        <v>51</v>
      </c>
      <c r="Q20" s="80">
        <v>480</v>
      </c>
      <c r="R20" s="80">
        <v>601</v>
      </c>
      <c r="S20" s="81">
        <v>1108</v>
      </c>
      <c r="T20" s="80"/>
      <c r="U20" s="80"/>
      <c r="V20" s="80"/>
      <c r="W20" s="83">
        <v>115</v>
      </c>
      <c r="X20" s="54"/>
      <c r="Y20" s="80"/>
      <c r="Z20" s="81" t="s">
        <v>42</v>
      </c>
      <c r="AA20" s="80" t="s">
        <v>40</v>
      </c>
      <c r="AB20" s="81">
        <v>13</v>
      </c>
      <c r="AC20" s="80">
        <v>480</v>
      </c>
      <c r="AD20" s="83">
        <v>745</v>
      </c>
      <c r="AE20" s="81">
        <v>919</v>
      </c>
      <c r="AF20" s="80"/>
      <c r="AG20" s="80"/>
      <c r="AH20" s="80"/>
      <c r="AI20" s="83">
        <v>52</v>
      </c>
    </row>
    <row r="21" spans="1:35" ht="21.95" customHeight="1" x14ac:dyDescent="0.3">
      <c r="A21" s="52"/>
      <c r="B21" s="103" t="s">
        <v>41</v>
      </c>
      <c r="C21" s="52" t="s">
        <v>40</v>
      </c>
      <c r="D21" s="52">
        <v>7</v>
      </c>
      <c r="E21" s="52">
        <v>404</v>
      </c>
      <c r="F21" s="52">
        <v>605</v>
      </c>
      <c r="G21" s="52">
        <v>1936</v>
      </c>
      <c r="H21" s="52"/>
      <c r="I21" s="52"/>
      <c r="J21" s="52"/>
      <c r="K21" s="104">
        <v>270</v>
      </c>
      <c r="L21" s="54"/>
      <c r="M21" s="52"/>
      <c r="N21" s="103" t="s">
        <v>41</v>
      </c>
      <c r="O21" s="52" t="s">
        <v>40</v>
      </c>
      <c r="P21" s="103">
        <v>42</v>
      </c>
      <c r="Q21" s="52">
        <v>480</v>
      </c>
      <c r="R21" s="52">
        <v>605</v>
      </c>
      <c r="S21" s="103">
        <v>2214</v>
      </c>
      <c r="T21" s="52"/>
      <c r="U21" s="52"/>
      <c r="V21" s="52"/>
      <c r="W21" s="104">
        <v>336</v>
      </c>
      <c r="X21" s="54"/>
      <c r="Y21" s="52" t="s">
        <v>59</v>
      </c>
      <c r="Z21" s="103" t="s">
        <v>42</v>
      </c>
      <c r="AA21" s="52" t="s">
        <v>40</v>
      </c>
      <c r="AB21" s="103">
        <v>14</v>
      </c>
      <c r="AC21" s="52">
        <v>480</v>
      </c>
      <c r="AD21" s="104">
        <v>746</v>
      </c>
      <c r="AE21" s="103">
        <v>1002</v>
      </c>
      <c r="AF21" s="52"/>
      <c r="AG21" s="52"/>
      <c r="AH21" s="52"/>
      <c r="AI21" s="104">
        <v>66</v>
      </c>
    </row>
    <row r="22" spans="1:35" ht="21.95" customHeight="1" x14ac:dyDescent="0.3">
      <c r="A22" s="80"/>
      <c r="B22" s="81" t="s">
        <v>41</v>
      </c>
      <c r="C22" s="80" t="s">
        <v>40</v>
      </c>
      <c r="D22" s="80">
        <v>4</v>
      </c>
      <c r="E22" s="80">
        <v>404</v>
      </c>
      <c r="F22" s="80">
        <v>616</v>
      </c>
      <c r="G22" s="80">
        <v>2157</v>
      </c>
      <c r="H22" s="80"/>
      <c r="I22" s="80"/>
      <c r="J22" s="80"/>
      <c r="K22" s="83">
        <v>312</v>
      </c>
      <c r="L22" s="54"/>
      <c r="M22" s="80"/>
      <c r="N22" s="81" t="s">
        <v>41</v>
      </c>
      <c r="O22" s="80" t="s">
        <v>40</v>
      </c>
      <c r="P22" s="81">
        <v>54</v>
      </c>
      <c r="Q22" s="80">
        <v>480</v>
      </c>
      <c r="R22" s="80">
        <v>613</v>
      </c>
      <c r="S22" s="81">
        <v>1101</v>
      </c>
      <c r="T22" s="80"/>
      <c r="U22" s="80"/>
      <c r="V22" s="80"/>
      <c r="W22" s="83">
        <v>109</v>
      </c>
      <c r="X22" s="54"/>
      <c r="Y22" s="80"/>
      <c r="Z22" s="81" t="s">
        <v>42</v>
      </c>
      <c r="AA22" s="80" t="s">
        <v>40</v>
      </c>
      <c r="AB22" s="81">
        <v>3</v>
      </c>
      <c r="AC22" s="80">
        <v>480</v>
      </c>
      <c r="AD22" s="83">
        <v>816</v>
      </c>
      <c r="AE22" s="81">
        <v>1841</v>
      </c>
      <c r="AF22" s="80"/>
      <c r="AG22" s="80"/>
      <c r="AH22" s="80"/>
      <c r="AI22" s="83">
        <v>221</v>
      </c>
    </row>
    <row r="23" spans="1:35" ht="21.95" customHeight="1" x14ac:dyDescent="0.3">
      <c r="A23" s="52"/>
      <c r="B23" s="103" t="s">
        <v>41</v>
      </c>
      <c r="C23" s="52" t="s">
        <v>40</v>
      </c>
      <c r="D23" s="52">
        <v>1</v>
      </c>
      <c r="E23" s="52">
        <v>404</v>
      </c>
      <c r="F23" s="52">
        <v>636</v>
      </c>
      <c r="G23" s="52">
        <v>2202</v>
      </c>
      <c r="H23" s="52"/>
      <c r="I23" s="52"/>
      <c r="J23" s="52"/>
      <c r="K23" s="104">
        <v>312</v>
      </c>
      <c r="L23" s="54"/>
      <c r="M23" s="52"/>
      <c r="N23" s="103" t="s">
        <v>41</v>
      </c>
      <c r="O23" s="52" t="s">
        <v>40</v>
      </c>
      <c r="P23" s="103">
        <v>41</v>
      </c>
      <c r="Q23" s="52">
        <v>480</v>
      </c>
      <c r="R23" s="52">
        <v>615</v>
      </c>
      <c r="S23" s="103">
        <v>2452</v>
      </c>
      <c r="T23" s="52"/>
      <c r="U23" s="78"/>
      <c r="V23" s="52"/>
      <c r="W23" s="104">
        <v>368</v>
      </c>
      <c r="X23" s="54"/>
      <c r="Y23" s="52"/>
      <c r="Z23" s="103"/>
      <c r="AA23" s="52"/>
      <c r="AB23" s="103"/>
      <c r="AC23" s="52"/>
      <c r="AD23" s="104"/>
      <c r="AE23" s="103"/>
      <c r="AF23" s="52"/>
      <c r="AG23" s="52"/>
      <c r="AH23" s="52"/>
      <c r="AI23" s="104"/>
    </row>
    <row r="24" spans="1:35" ht="21.95" customHeight="1" x14ac:dyDescent="0.3">
      <c r="A24" s="80"/>
      <c r="B24" s="81" t="s">
        <v>41</v>
      </c>
      <c r="C24" s="80" t="s">
        <v>40</v>
      </c>
      <c r="D24" s="80">
        <v>22</v>
      </c>
      <c r="E24" s="80">
        <v>404</v>
      </c>
      <c r="F24" s="80">
        <v>731</v>
      </c>
      <c r="G24" s="80">
        <v>1035</v>
      </c>
      <c r="H24" s="80"/>
      <c r="I24" s="80"/>
      <c r="J24" s="80"/>
      <c r="K24" s="83">
        <v>73</v>
      </c>
      <c r="L24" s="54"/>
      <c r="M24" s="80"/>
      <c r="N24" s="81" t="s">
        <v>42</v>
      </c>
      <c r="O24" s="80" t="s">
        <v>40</v>
      </c>
      <c r="P24" s="81">
        <v>4</v>
      </c>
      <c r="Q24" s="80">
        <v>480</v>
      </c>
      <c r="R24" s="80">
        <v>617</v>
      </c>
      <c r="S24" s="81">
        <v>1732</v>
      </c>
      <c r="T24" s="80"/>
      <c r="U24" s="80"/>
      <c r="V24" s="80"/>
      <c r="W24" s="83">
        <v>253</v>
      </c>
      <c r="X24" s="54"/>
      <c r="Y24" s="511" t="s">
        <v>37</v>
      </c>
      <c r="Z24" s="511"/>
      <c r="AA24" s="511"/>
      <c r="AB24" s="511"/>
      <c r="AC24" s="511"/>
      <c r="AD24" s="511"/>
      <c r="AE24" s="511"/>
      <c r="AF24" s="511"/>
      <c r="AG24" s="511"/>
      <c r="AH24" s="511"/>
      <c r="AI24" s="511"/>
    </row>
    <row r="25" spans="1:35" ht="21.95" customHeight="1" x14ac:dyDescent="0.3">
      <c r="A25" s="52"/>
      <c r="B25" s="103"/>
      <c r="C25" s="52"/>
      <c r="D25" s="52"/>
      <c r="E25" s="52"/>
      <c r="F25" s="52"/>
      <c r="G25" s="52"/>
      <c r="H25" s="52"/>
      <c r="I25" s="52"/>
      <c r="J25" s="52"/>
      <c r="K25" s="104"/>
      <c r="L25" s="54"/>
      <c r="M25" s="52"/>
      <c r="N25" s="103" t="s">
        <v>42</v>
      </c>
      <c r="O25" s="52" t="s">
        <v>40</v>
      </c>
      <c r="P25" s="103">
        <v>6</v>
      </c>
      <c r="Q25" s="52">
        <v>480</v>
      </c>
      <c r="R25" s="52">
        <v>624</v>
      </c>
      <c r="S25" s="103">
        <v>2200</v>
      </c>
      <c r="T25" s="52"/>
      <c r="U25" s="52"/>
      <c r="V25" s="52"/>
      <c r="W25" s="104">
        <v>330</v>
      </c>
      <c r="X25" s="54"/>
      <c r="Y25" s="512"/>
      <c r="Z25" s="512"/>
      <c r="AA25" s="512"/>
      <c r="AB25" s="512"/>
      <c r="AC25" s="512"/>
      <c r="AD25" s="512"/>
      <c r="AE25" s="512"/>
      <c r="AF25" s="512"/>
      <c r="AG25" s="512"/>
      <c r="AH25" s="512"/>
      <c r="AI25" s="512"/>
    </row>
    <row r="26" spans="1:35" ht="21.95" customHeight="1" x14ac:dyDescent="0.3">
      <c r="A26" s="511" t="s">
        <v>33</v>
      </c>
      <c r="B26" s="511"/>
      <c r="C26" s="511"/>
      <c r="D26" s="511"/>
      <c r="E26" s="511"/>
      <c r="F26" s="511"/>
      <c r="G26" s="511"/>
      <c r="H26" s="511"/>
      <c r="I26" s="511"/>
      <c r="J26" s="511"/>
      <c r="K26" s="511"/>
      <c r="L26" s="54"/>
      <c r="M26" s="80" t="s">
        <v>43</v>
      </c>
      <c r="N26" s="81" t="s">
        <v>42</v>
      </c>
      <c r="O26" s="80" t="s">
        <v>40</v>
      </c>
      <c r="P26" s="81">
        <v>81</v>
      </c>
      <c r="Q26" s="80">
        <v>480</v>
      </c>
      <c r="R26" s="80">
        <v>626</v>
      </c>
      <c r="S26" s="81">
        <v>1035</v>
      </c>
      <c r="T26" s="80"/>
      <c r="U26" s="80"/>
      <c r="V26" s="80"/>
      <c r="W26" s="83">
        <v>107</v>
      </c>
      <c r="X26" s="54"/>
      <c r="Y26" s="80"/>
      <c r="Z26" s="81" t="s">
        <v>39</v>
      </c>
      <c r="AA26" s="80" t="s">
        <v>40</v>
      </c>
      <c r="AB26" s="81">
        <v>10</v>
      </c>
      <c r="AC26" s="80">
        <v>601</v>
      </c>
      <c r="AD26" s="80">
        <v>352</v>
      </c>
      <c r="AE26" s="81">
        <v>2003</v>
      </c>
      <c r="AF26" s="80"/>
      <c r="AG26" s="116"/>
      <c r="AH26" s="80"/>
      <c r="AI26" s="83">
        <v>598</v>
      </c>
    </row>
    <row r="27" spans="1:35" ht="21.95" customHeight="1" x14ac:dyDescent="0.3">
      <c r="A27" s="512"/>
      <c r="B27" s="512"/>
      <c r="C27" s="512"/>
      <c r="D27" s="512"/>
      <c r="E27" s="512"/>
      <c r="F27" s="512"/>
      <c r="G27" s="512"/>
      <c r="H27" s="512"/>
      <c r="I27" s="512"/>
      <c r="J27" s="512"/>
      <c r="K27" s="512"/>
      <c r="L27" s="54"/>
      <c r="M27" s="52"/>
      <c r="N27" s="103" t="s">
        <v>42</v>
      </c>
      <c r="O27" s="52" t="s">
        <v>40</v>
      </c>
      <c r="P27" s="103">
        <v>53</v>
      </c>
      <c r="Q27" s="52">
        <v>480</v>
      </c>
      <c r="R27" s="52">
        <v>627</v>
      </c>
      <c r="S27" s="103">
        <v>936</v>
      </c>
      <c r="T27" s="52"/>
      <c r="U27" s="52"/>
      <c r="V27" s="52"/>
      <c r="W27" s="104">
        <v>79</v>
      </c>
      <c r="X27" s="54"/>
      <c r="Y27" s="52"/>
      <c r="Z27" s="103" t="s">
        <v>39</v>
      </c>
      <c r="AA27" s="52" t="s">
        <v>40</v>
      </c>
      <c r="AB27" s="103">
        <v>8</v>
      </c>
      <c r="AC27" s="52">
        <v>601</v>
      </c>
      <c r="AD27" s="52">
        <v>352</v>
      </c>
      <c r="AE27" s="103">
        <v>1935</v>
      </c>
      <c r="AF27" s="52"/>
      <c r="AG27" s="52"/>
      <c r="AH27" s="52"/>
      <c r="AI27" s="104">
        <v>564</v>
      </c>
    </row>
    <row r="28" spans="1:35" ht="21.95" customHeight="1" x14ac:dyDescent="0.3">
      <c r="A28" s="80"/>
      <c r="B28" s="81" t="s">
        <v>41</v>
      </c>
      <c r="C28" s="80" t="s">
        <v>40</v>
      </c>
      <c r="D28" s="80">
        <v>81</v>
      </c>
      <c r="E28" s="80">
        <v>405</v>
      </c>
      <c r="F28" s="80">
        <v>525</v>
      </c>
      <c r="G28" s="80">
        <v>2519</v>
      </c>
      <c r="H28" s="80"/>
      <c r="I28" s="80"/>
      <c r="J28" s="80"/>
      <c r="K28" s="83">
        <v>430</v>
      </c>
      <c r="L28" s="54"/>
      <c r="M28" s="80"/>
      <c r="N28" s="81" t="s">
        <v>41</v>
      </c>
      <c r="O28" s="80" t="s">
        <v>40</v>
      </c>
      <c r="P28" s="81">
        <v>36</v>
      </c>
      <c r="Q28" s="80">
        <v>480</v>
      </c>
      <c r="R28" s="80">
        <v>628</v>
      </c>
      <c r="S28" s="81">
        <v>2155</v>
      </c>
      <c r="T28" s="80"/>
      <c r="U28" s="80"/>
      <c r="V28" s="80"/>
      <c r="W28" s="83">
        <v>329</v>
      </c>
      <c r="X28" s="54"/>
      <c r="Y28" s="80"/>
      <c r="Z28" s="81" t="s">
        <v>39</v>
      </c>
      <c r="AA28" s="80" t="s">
        <v>40</v>
      </c>
      <c r="AB28" s="81">
        <v>11</v>
      </c>
      <c r="AC28" s="80">
        <v>601</v>
      </c>
      <c r="AD28" s="80">
        <v>412</v>
      </c>
      <c r="AE28" s="81">
        <v>1926</v>
      </c>
      <c r="AF28" s="80"/>
      <c r="AG28" s="80"/>
      <c r="AH28" s="80"/>
      <c r="AI28" s="83">
        <v>594</v>
      </c>
    </row>
    <row r="29" spans="1:35" ht="21.95" customHeight="1" x14ac:dyDescent="0.3">
      <c r="A29" s="52"/>
      <c r="B29" s="103" t="s">
        <v>41</v>
      </c>
      <c r="C29" s="52" t="s">
        <v>40</v>
      </c>
      <c r="D29" s="52">
        <v>84</v>
      </c>
      <c r="E29" s="52">
        <v>405</v>
      </c>
      <c r="F29" s="52">
        <v>530</v>
      </c>
      <c r="G29" s="52">
        <v>2013</v>
      </c>
      <c r="H29" s="52"/>
      <c r="I29" s="52"/>
      <c r="J29" s="52"/>
      <c r="K29" s="104">
        <v>326</v>
      </c>
      <c r="L29" s="54"/>
      <c r="M29" s="52" t="s">
        <v>44</v>
      </c>
      <c r="N29" s="103" t="s">
        <v>42</v>
      </c>
      <c r="O29" s="52" t="s">
        <v>40</v>
      </c>
      <c r="P29" s="103">
        <v>50</v>
      </c>
      <c r="Q29" s="52">
        <v>480</v>
      </c>
      <c r="R29" s="52">
        <v>638</v>
      </c>
      <c r="S29" s="103">
        <v>915</v>
      </c>
      <c r="T29" s="52"/>
      <c r="U29" s="52"/>
      <c r="V29" s="52"/>
      <c r="W29" s="104">
        <v>114</v>
      </c>
      <c r="X29" s="54"/>
      <c r="Y29" s="52"/>
      <c r="Z29" s="103" t="s">
        <v>39</v>
      </c>
      <c r="AA29" s="52" t="s">
        <v>40</v>
      </c>
      <c r="AB29" s="103">
        <v>5</v>
      </c>
      <c r="AC29" s="52">
        <v>601</v>
      </c>
      <c r="AD29" s="52">
        <v>413</v>
      </c>
      <c r="AE29" s="103">
        <v>1941</v>
      </c>
      <c r="AF29" s="52"/>
      <c r="AG29" s="52"/>
      <c r="AH29" s="52"/>
      <c r="AI29" s="104">
        <v>570</v>
      </c>
    </row>
    <row r="30" spans="1:35" ht="21.95" customHeight="1" x14ac:dyDescent="0.3">
      <c r="A30" s="80"/>
      <c r="B30" s="81" t="s">
        <v>41</v>
      </c>
      <c r="C30" s="80" t="s">
        <v>40</v>
      </c>
      <c r="D30" s="80">
        <v>83</v>
      </c>
      <c r="E30" s="80">
        <v>405</v>
      </c>
      <c r="F30" s="80">
        <v>549</v>
      </c>
      <c r="G30" s="80">
        <v>2015</v>
      </c>
      <c r="H30" s="80"/>
      <c r="I30" s="80"/>
      <c r="J30" s="80"/>
      <c r="K30" s="83">
        <v>324</v>
      </c>
      <c r="L30" s="54"/>
      <c r="M30" s="80"/>
      <c r="N30" s="81" t="s">
        <v>41</v>
      </c>
      <c r="O30" s="80" t="s">
        <v>40</v>
      </c>
      <c r="P30" s="81">
        <v>33</v>
      </c>
      <c r="Q30" s="80">
        <v>480</v>
      </c>
      <c r="R30" s="80">
        <v>641</v>
      </c>
      <c r="S30" s="81">
        <v>2451</v>
      </c>
      <c r="T30" s="80"/>
      <c r="U30" s="80"/>
      <c r="V30" s="80"/>
      <c r="W30" s="83">
        <v>355</v>
      </c>
      <c r="X30" s="54"/>
      <c r="Y30" s="80"/>
      <c r="Z30" s="81" t="s">
        <v>39</v>
      </c>
      <c r="AA30" s="80" t="s">
        <v>40</v>
      </c>
      <c r="AB30" s="81">
        <v>2</v>
      </c>
      <c r="AC30" s="80">
        <v>601</v>
      </c>
      <c r="AD30" s="80">
        <v>421</v>
      </c>
      <c r="AE30" s="81">
        <v>2000</v>
      </c>
      <c r="AF30" s="80"/>
      <c r="AG30" s="116"/>
      <c r="AH30" s="80"/>
      <c r="AI30" s="83">
        <v>604</v>
      </c>
    </row>
    <row r="31" spans="1:35" ht="21.95" customHeight="1" x14ac:dyDescent="0.3">
      <c r="A31" s="52"/>
      <c r="B31" s="103" t="s">
        <v>41</v>
      </c>
      <c r="C31" s="52" t="s">
        <v>40</v>
      </c>
      <c r="D31" s="52">
        <v>82</v>
      </c>
      <c r="E31" s="52">
        <v>405</v>
      </c>
      <c r="F31" s="52">
        <v>555</v>
      </c>
      <c r="G31" s="52">
        <v>2040</v>
      </c>
      <c r="H31" s="52"/>
      <c r="I31" s="52"/>
      <c r="J31" s="52"/>
      <c r="K31" s="104">
        <v>301</v>
      </c>
      <c r="L31" s="54"/>
      <c r="M31" s="52" t="s">
        <v>43</v>
      </c>
      <c r="N31" s="103" t="s">
        <v>42</v>
      </c>
      <c r="O31" s="52" t="s">
        <v>40</v>
      </c>
      <c r="P31" s="103">
        <v>82</v>
      </c>
      <c r="Q31" s="52">
        <v>480</v>
      </c>
      <c r="R31" s="52">
        <v>642</v>
      </c>
      <c r="S31" s="103">
        <v>1110</v>
      </c>
      <c r="T31" s="52"/>
      <c r="U31" s="52"/>
      <c r="V31" s="52"/>
      <c r="W31" s="104">
        <v>107</v>
      </c>
      <c r="X31" s="54"/>
      <c r="Y31" s="52"/>
      <c r="Z31" s="103" t="s">
        <v>39</v>
      </c>
      <c r="AA31" s="52" t="s">
        <v>40</v>
      </c>
      <c r="AB31" s="103">
        <v>12</v>
      </c>
      <c r="AC31" s="52">
        <v>601</v>
      </c>
      <c r="AD31" s="52">
        <v>425</v>
      </c>
      <c r="AE31" s="103">
        <v>2246</v>
      </c>
      <c r="AF31" s="52"/>
      <c r="AG31" s="52"/>
      <c r="AH31" s="52"/>
      <c r="AI31" s="104">
        <v>657</v>
      </c>
    </row>
    <row r="32" spans="1:35" ht="21.95" customHeight="1" x14ac:dyDescent="0.2">
      <c r="L32" s="29"/>
      <c r="M32" s="29"/>
      <c r="N32" s="29"/>
      <c r="O32" s="29"/>
      <c r="P32" s="29"/>
      <c r="Q32" s="29"/>
      <c r="R32" s="29"/>
      <c r="S32" s="29"/>
      <c r="T32" s="29"/>
      <c r="U32" s="29"/>
      <c r="V32" s="29"/>
      <c r="W32" s="29"/>
      <c r="X32" s="29"/>
      <c r="Y32" s="29"/>
      <c r="Z32" s="29"/>
      <c r="AA32" s="29"/>
      <c r="AB32" s="29"/>
      <c r="AC32" s="29"/>
      <c r="AD32" s="29"/>
      <c r="AE32" s="29"/>
      <c r="AF32" s="29"/>
      <c r="AG32" s="29"/>
      <c r="AH32" s="29"/>
      <c r="AI32" s="29"/>
    </row>
  </sheetData>
  <mergeCells count="14">
    <mergeCell ref="L1:X1"/>
    <mergeCell ref="AB1:AI1"/>
    <mergeCell ref="L2:X2"/>
    <mergeCell ref="AB2:AI2"/>
    <mergeCell ref="AG3:AH3"/>
    <mergeCell ref="L3:X3"/>
    <mergeCell ref="Y6:AI7"/>
    <mergeCell ref="A14:K15"/>
    <mergeCell ref="Y24:AI25"/>
    <mergeCell ref="A26:K27"/>
    <mergeCell ref="A2:D2"/>
    <mergeCell ref="H3:K3"/>
    <mergeCell ref="A6:K7"/>
    <mergeCell ref="M6:W7"/>
  </mergeCells>
  <phoneticPr fontId="0" type="noConversion"/>
  <printOptions horizontalCentered="1" verticalCentered="1"/>
  <pageMargins left="0" right="0" top="0" bottom="0" header="0" footer="0"/>
  <pageSetup paperSize="5" scale="82"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pageSetUpPr fitToPage="1"/>
  </sheetPr>
  <dimension ref="A1:AH32"/>
  <sheetViews>
    <sheetView zoomScaleNormal="100" workbookViewId="0">
      <selection activeCell="N20" sqref="N20:W20"/>
    </sheetView>
  </sheetViews>
  <sheetFormatPr defaultRowHeight="21.95" customHeight="1" x14ac:dyDescent="0.2"/>
  <cols>
    <col min="1" max="4" width="6.7109375" style="30" customWidth="1"/>
    <col min="5" max="5" width="8.85546875" style="30" bestFit="1" customWidth="1"/>
    <col min="6" max="16" width="6.7109375" style="30" customWidth="1"/>
    <col min="17" max="17" width="8.85546875" style="30" bestFit="1" customWidth="1"/>
    <col min="18" max="34" width="6.7109375" style="30" customWidth="1"/>
    <col min="35" max="258" width="9.140625" style="30"/>
    <col min="259" max="262" width="4.7109375" style="30" customWidth="1"/>
    <col min="263" max="263" width="5.28515625" style="30" customWidth="1"/>
    <col min="264" max="264" width="6.28515625" style="30" bestFit="1" customWidth="1"/>
    <col min="265" max="265" width="4.7109375" style="30" customWidth="1"/>
    <col min="266" max="267" width="7.7109375" style="30" customWidth="1"/>
    <col min="268" max="268" width="5.7109375" style="30" customWidth="1"/>
    <col min="269" max="269" width="1.7109375" style="30" customWidth="1"/>
    <col min="270" max="273" width="4.7109375" style="30" customWidth="1"/>
    <col min="274" max="274" width="5.28515625" style="30" customWidth="1"/>
    <col min="275" max="275" width="6.28515625" style="30" bestFit="1" customWidth="1"/>
    <col min="276" max="276" width="4.7109375" style="30" customWidth="1"/>
    <col min="277" max="278" width="7.7109375" style="30" customWidth="1"/>
    <col min="279" max="279" width="5.7109375" style="30" customWidth="1"/>
    <col min="280" max="280" width="1.7109375" style="30" customWidth="1"/>
    <col min="281" max="284" width="4.7109375" style="30" customWidth="1"/>
    <col min="285" max="285" width="5.42578125" style="30" customWidth="1"/>
    <col min="286" max="286" width="6.28515625" style="30" bestFit="1" customWidth="1"/>
    <col min="287" max="287" width="4.7109375" style="30" customWidth="1"/>
    <col min="288" max="289" width="7.7109375" style="30" customWidth="1"/>
    <col min="290" max="290" width="5.7109375" style="30" customWidth="1"/>
    <col min="291" max="514" width="9.140625" style="30"/>
    <col min="515" max="518" width="4.7109375" style="30" customWidth="1"/>
    <col min="519" max="519" width="5.28515625" style="30" customWidth="1"/>
    <col min="520" max="520" width="6.28515625" style="30" bestFit="1" customWidth="1"/>
    <col min="521" max="521" width="4.7109375" style="30" customWidth="1"/>
    <col min="522" max="523" width="7.7109375" style="30" customWidth="1"/>
    <col min="524" max="524" width="5.7109375" style="30" customWidth="1"/>
    <col min="525" max="525" width="1.7109375" style="30" customWidth="1"/>
    <col min="526" max="529" width="4.7109375" style="30" customWidth="1"/>
    <col min="530" max="530" width="5.28515625" style="30" customWidth="1"/>
    <col min="531" max="531" width="6.28515625" style="30" bestFit="1" customWidth="1"/>
    <col min="532" max="532" width="4.7109375" style="30" customWidth="1"/>
    <col min="533" max="534" width="7.7109375" style="30" customWidth="1"/>
    <col min="535" max="535" width="5.7109375" style="30" customWidth="1"/>
    <col min="536" max="536" width="1.7109375" style="30" customWidth="1"/>
    <col min="537" max="540" width="4.7109375" style="30" customWidth="1"/>
    <col min="541" max="541" width="5.42578125" style="30" customWidth="1"/>
    <col min="542" max="542" width="6.28515625" style="30" bestFit="1" customWidth="1"/>
    <col min="543" max="543" width="4.7109375" style="30" customWidth="1"/>
    <col min="544" max="545" width="7.7109375" style="30" customWidth="1"/>
    <col min="546" max="546" width="5.7109375" style="30" customWidth="1"/>
    <col min="547" max="770" width="9.140625" style="30"/>
    <col min="771" max="774" width="4.7109375" style="30" customWidth="1"/>
    <col min="775" max="775" width="5.28515625" style="30" customWidth="1"/>
    <col min="776" max="776" width="6.28515625" style="30" bestFit="1" customWidth="1"/>
    <col min="777" max="777" width="4.7109375" style="30" customWidth="1"/>
    <col min="778" max="779" width="7.7109375" style="30" customWidth="1"/>
    <col min="780" max="780" width="5.7109375" style="30" customWidth="1"/>
    <col min="781" max="781" width="1.7109375" style="30" customWidth="1"/>
    <col min="782" max="785" width="4.7109375" style="30" customWidth="1"/>
    <col min="786" max="786" width="5.28515625" style="30" customWidth="1"/>
    <col min="787" max="787" width="6.28515625" style="30" bestFit="1" customWidth="1"/>
    <col min="788" max="788" width="4.7109375" style="30" customWidth="1"/>
    <col min="789" max="790" width="7.7109375" style="30" customWidth="1"/>
    <col min="791" max="791" width="5.7109375" style="30" customWidth="1"/>
    <col min="792" max="792" width="1.7109375" style="30" customWidth="1"/>
    <col min="793" max="796" width="4.7109375" style="30" customWidth="1"/>
    <col min="797" max="797" width="5.42578125" style="30" customWidth="1"/>
    <col min="798" max="798" width="6.28515625" style="30" bestFit="1" customWidth="1"/>
    <col min="799" max="799" width="4.7109375" style="30" customWidth="1"/>
    <col min="800" max="801" width="7.7109375" style="30" customWidth="1"/>
    <col min="802" max="802" width="5.7109375" style="30" customWidth="1"/>
    <col min="803" max="1026" width="9.140625" style="30"/>
    <col min="1027" max="1030" width="4.7109375" style="30" customWidth="1"/>
    <col min="1031" max="1031" width="5.28515625" style="30" customWidth="1"/>
    <col min="1032" max="1032" width="6.28515625" style="30" bestFit="1" customWidth="1"/>
    <col min="1033" max="1033" width="4.7109375" style="30" customWidth="1"/>
    <col min="1034" max="1035" width="7.7109375" style="30" customWidth="1"/>
    <col min="1036" max="1036" width="5.7109375" style="30" customWidth="1"/>
    <col min="1037" max="1037" width="1.7109375" style="30" customWidth="1"/>
    <col min="1038" max="1041" width="4.7109375" style="30" customWidth="1"/>
    <col min="1042" max="1042" width="5.28515625" style="30" customWidth="1"/>
    <col min="1043" max="1043" width="6.28515625" style="30" bestFit="1" customWidth="1"/>
    <col min="1044" max="1044" width="4.7109375" style="30" customWidth="1"/>
    <col min="1045" max="1046" width="7.7109375" style="30" customWidth="1"/>
    <col min="1047" max="1047" width="5.7109375" style="30" customWidth="1"/>
    <col min="1048" max="1048" width="1.7109375" style="30" customWidth="1"/>
    <col min="1049" max="1052" width="4.7109375" style="30" customWidth="1"/>
    <col min="1053" max="1053" width="5.42578125" style="30" customWidth="1"/>
    <col min="1054" max="1054" width="6.28515625" style="30" bestFit="1" customWidth="1"/>
    <col min="1055" max="1055" width="4.7109375" style="30" customWidth="1"/>
    <col min="1056" max="1057" width="7.7109375" style="30" customWidth="1"/>
    <col min="1058" max="1058" width="5.7109375" style="30" customWidth="1"/>
    <col min="1059" max="1282" width="9.140625" style="30"/>
    <col min="1283" max="1286" width="4.7109375" style="30" customWidth="1"/>
    <col min="1287" max="1287" width="5.28515625" style="30" customWidth="1"/>
    <col min="1288" max="1288" width="6.28515625" style="30" bestFit="1" customWidth="1"/>
    <col min="1289" max="1289" width="4.7109375" style="30" customWidth="1"/>
    <col min="1290" max="1291" width="7.7109375" style="30" customWidth="1"/>
    <col min="1292" max="1292" width="5.7109375" style="30" customWidth="1"/>
    <col min="1293" max="1293" width="1.7109375" style="30" customWidth="1"/>
    <col min="1294" max="1297" width="4.7109375" style="30" customWidth="1"/>
    <col min="1298" max="1298" width="5.28515625" style="30" customWidth="1"/>
    <col min="1299" max="1299" width="6.28515625" style="30" bestFit="1" customWidth="1"/>
    <col min="1300" max="1300" width="4.7109375" style="30" customWidth="1"/>
    <col min="1301" max="1302" width="7.7109375" style="30" customWidth="1"/>
    <col min="1303" max="1303" width="5.7109375" style="30" customWidth="1"/>
    <col min="1304" max="1304" width="1.7109375" style="30" customWidth="1"/>
    <col min="1305" max="1308" width="4.7109375" style="30" customWidth="1"/>
    <col min="1309" max="1309" width="5.42578125" style="30" customWidth="1"/>
    <col min="1310" max="1310" width="6.28515625" style="30" bestFit="1" customWidth="1"/>
    <col min="1311" max="1311" width="4.7109375" style="30" customWidth="1"/>
    <col min="1312" max="1313" width="7.7109375" style="30" customWidth="1"/>
    <col min="1314" max="1314" width="5.7109375" style="30" customWidth="1"/>
    <col min="1315" max="1538" width="9.140625" style="30"/>
    <col min="1539" max="1542" width="4.7109375" style="30" customWidth="1"/>
    <col min="1543" max="1543" width="5.28515625" style="30" customWidth="1"/>
    <col min="1544" max="1544" width="6.28515625" style="30" bestFit="1" customWidth="1"/>
    <col min="1545" max="1545" width="4.7109375" style="30" customWidth="1"/>
    <col min="1546" max="1547" width="7.7109375" style="30" customWidth="1"/>
    <col min="1548" max="1548" width="5.7109375" style="30" customWidth="1"/>
    <col min="1549" max="1549" width="1.7109375" style="30" customWidth="1"/>
    <col min="1550" max="1553" width="4.7109375" style="30" customWidth="1"/>
    <col min="1554" max="1554" width="5.28515625" style="30" customWidth="1"/>
    <col min="1555" max="1555" width="6.28515625" style="30" bestFit="1" customWidth="1"/>
    <col min="1556" max="1556" width="4.7109375" style="30" customWidth="1"/>
    <col min="1557" max="1558" width="7.7109375" style="30" customWidth="1"/>
    <col min="1559" max="1559" width="5.7109375" style="30" customWidth="1"/>
    <col min="1560" max="1560" width="1.7109375" style="30" customWidth="1"/>
    <col min="1561" max="1564" width="4.7109375" style="30" customWidth="1"/>
    <col min="1565" max="1565" width="5.42578125" style="30" customWidth="1"/>
    <col min="1566" max="1566" width="6.28515625" style="30" bestFit="1" customWidth="1"/>
    <col min="1567" max="1567" width="4.7109375" style="30" customWidth="1"/>
    <col min="1568" max="1569" width="7.7109375" style="30" customWidth="1"/>
    <col min="1570" max="1570" width="5.7109375" style="30" customWidth="1"/>
    <col min="1571" max="1794" width="9.140625" style="30"/>
    <col min="1795" max="1798" width="4.7109375" style="30" customWidth="1"/>
    <col min="1799" max="1799" width="5.28515625" style="30" customWidth="1"/>
    <col min="1800" max="1800" width="6.28515625" style="30" bestFit="1" customWidth="1"/>
    <col min="1801" max="1801" width="4.7109375" style="30" customWidth="1"/>
    <col min="1802" max="1803" width="7.7109375" style="30" customWidth="1"/>
    <col min="1804" max="1804" width="5.7109375" style="30" customWidth="1"/>
    <col min="1805" max="1805" width="1.7109375" style="30" customWidth="1"/>
    <col min="1806" max="1809" width="4.7109375" style="30" customWidth="1"/>
    <col min="1810" max="1810" width="5.28515625" style="30" customWidth="1"/>
    <col min="1811" max="1811" width="6.28515625" style="30" bestFit="1" customWidth="1"/>
    <col min="1812" max="1812" width="4.7109375" style="30" customWidth="1"/>
    <col min="1813" max="1814" width="7.7109375" style="30" customWidth="1"/>
    <col min="1815" max="1815" width="5.7109375" style="30" customWidth="1"/>
    <col min="1816" max="1816" width="1.7109375" style="30" customWidth="1"/>
    <col min="1817" max="1820" width="4.7109375" style="30" customWidth="1"/>
    <col min="1821" max="1821" width="5.42578125" style="30" customWidth="1"/>
    <col min="1822" max="1822" width="6.28515625" style="30" bestFit="1" customWidth="1"/>
    <col min="1823" max="1823" width="4.7109375" style="30" customWidth="1"/>
    <col min="1824" max="1825" width="7.7109375" style="30" customWidth="1"/>
    <col min="1826" max="1826" width="5.7109375" style="30" customWidth="1"/>
    <col min="1827" max="2050" width="9.140625" style="30"/>
    <col min="2051" max="2054" width="4.7109375" style="30" customWidth="1"/>
    <col min="2055" max="2055" width="5.28515625" style="30" customWidth="1"/>
    <col min="2056" max="2056" width="6.28515625" style="30" bestFit="1" customWidth="1"/>
    <col min="2057" max="2057" width="4.7109375" style="30" customWidth="1"/>
    <col min="2058" max="2059" width="7.7109375" style="30" customWidth="1"/>
    <col min="2060" max="2060" width="5.7109375" style="30" customWidth="1"/>
    <col min="2061" max="2061" width="1.7109375" style="30" customWidth="1"/>
    <col min="2062" max="2065" width="4.7109375" style="30" customWidth="1"/>
    <col min="2066" max="2066" width="5.28515625" style="30" customWidth="1"/>
    <col min="2067" max="2067" width="6.28515625" style="30" bestFit="1" customWidth="1"/>
    <col min="2068" max="2068" width="4.7109375" style="30" customWidth="1"/>
    <col min="2069" max="2070" width="7.7109375" style="30" customWidth="1"/>
    <col min="2071" max="2071" width="5.7109375" style="30" customWidth="1"/>
    <col min="2072" max="2072" width="1.7109375" style="30" customWidth="1"/>
    <col min="2073" max="2076" width="4.7109375" style="30" customWidth="1"/>
    <col min="2077" max="2077" width="5.42578125" style="30" customWidth="1"/>
    <col min="2078" max="2078" width="6.28515625" style="30" bestFit="1" customWidth="1"/>
    <col min="2079" max="2079" width="4.7109375" style="30" customWidth="1"/>
    <col min="2080" max="2081" width="7.7109375" style="30" customWidth="1"/>
    <col min="2082" max="2082" width="5.7109375" style="30" customWidth="1"/>
    <col min="2083" max="2306" width="9.140625" style="30"/>
    <col min="2307" max="2310" width="4.7109375" style="30" customWidth="1"/>
    <col min="2311" max="2311" width="5.28515625" style="30" customWidth="1"/>
    <col min="2312" max="2312" width="6.28515625" style="30" bestFit="1" customWidth="1"/>
    <col min="2313" max="2313" width="4.7109375" style="30" customWidth="1"/>
    <col min="2314" max="2315" width="7.7109375" style="30" customWidth="1"/>
    <col min="2316" max="2316" width="5.7109375" style="30" customWidth="1"/>
    <col min="2317" max="2317" width="1.7109375" style="30" customWidth="1"/>
    <col min="2318" max="2321" width="4.7109375" style="30" customWidth="1"/>
    <col min="2322" max="2322" width="5.28515625" style="30" customWidth="1"/>
    <col min="2323" max="2323" width="6.28515625" style="30" bestFit="1" customWidth="1"/>
    <col min="2324" max="2324" width="4.7109375" style="30" customWidth="1"/>
    <col min="2325" max="2326" width="7.7109375" style="30" customWidth="1"/>
    <col min="2327" max="2327" width="5.7109375" style="30" customWidth="1"/>
    <col min="2328" max="2328" width="1.7109375" style="30" customWidth="1"/>
    <col min="2329" max="2332" width="4.7109375" style="30" customWidth="1"/>
    <col min="2333" max="2333" width="5.42578125" style="30" customWidth="1"/>
    <col min="2334" max="2334" width="6.28515625" style="30" bestFit="1" customWidth="1"/>
    <col min="2335" max="2335" width="4.7109375" style="30" customWidth="1"/>
    <col min="2336" max="2337" width="7.7109375" style="30" customWidth="1"/>
    <col min="2338" max="2338" width="5.7109375" style="30" customWidth="1"/>
    <col min="2339" max="2562" width="9.140625" style="30"/>
    <col min="2563" max="2566" width="4.7109375" style="30" customWidth="1"/>
    <col min="2567" max="2567" width="5.28515625" style="30" customWidth="1"/>
    <col min="2568" max="2568" width="6.28515625" style="30" bestFit="1" customWidth="1"/>
    <col min="2569" max="2569" width="4.7109375" style="30" customWidth="1"/>
    <col min="2570" max="2571" width="7.7109375" style="30" customWidth="1"/>
    <col min="2572" max="2572" width="5.7109375" style="30" customWidth="1"/>
    <col min="2573" max="2573" width="1.7109375" style="30" customWidth="1"/>
    <col min="2574" max="2577" width="4.7109375" style="30" customWidth="1"/>
    <col min="2578" max="2578" width="5.28515625" style="30" customWidth="1"/>
    <col min="2579" max="2579" width="6.28515625" style="30" bestFit="1" customWidth="1"/>
    <col min="2580" max="2580" width="4.7109375" style="30" customWidth="1"/>
    <col min="2581" max="2582" width="7.7109375" style="30" customWidth="1"/>
    <col min="2583" max="2583" width="5.7109375" style="30" customWidth="1"/>
    <col min="2584" max="2584" width="1.7109375" style="30" customWidth="1"/>
    <col min="2585" max="2588" width="4.7109375" style="30" customWidth="1"/>
    <col min="2589" max="2589" width="5.42578125" style="30" customWidth="1"/>
    <col min="2590" max="2590" width="6.28515625" style="30" bestFit="1" customWidth="1"/>
    <col min="2591" max="2591" width="4.7109375" style="30" customWidth="1"/>
    <col min="2592" max="2593" width="7.7109375" style="30" customWidth="1"/>
    <col min="2594" max="2594" width="5.7109375" style="30" customWidth="1"/>
    <col min="2595" max="2818" width="9.140625" style="30"/>
    <col min="2819" max="2822" width="4.7109375" style="30" customWidth="1"/>
    <col min="2823" max="2823" width="5.28515625" style="30" customWidth="1"/>
    <col min="2824" max="2824" width="6.28515625" style="30" bestFit="1" customWidth="1"/>
    <col min="2825" max="2825" width="4.7109375" style="30" customWidth="1"/>
    <col min="2826" max="2827" width="7.7109375" style="30" customWidth="1"/>
    <col min="2828" max="2828" width="5.7109375" style="30" customWidth="1"/>
    <col min="2829" max="2829" width="1.7109375" style="30" customWidth="1"/>
    <col min="2830" max="2833" width="4.7109375" style="30" customWidth="1"/>
    <col min="2834" max="2834" width="5.28515625" style="30" customWidth="1"/>
    <col min="2835" max="2835" width="6.28515625" style="30" bestFit="1" customWidth="1"/>
    <col min="2836" max="2836" width="4.7109375" style="30" customWidth="1"/>
    <col min="2837" max="2838" width="7.7109375" style="30" customWidth="1"/>
    <col min="2839" max="2839" width="5.7109375" style="30" customWidth="1"/>
    <col min="2840" max="2840" width="1.7109375" style="30" customWidth="1"/>
    <col min="2841" max="2844" width="4.7109375" style="30" customWidth="1"/>
    <col min="2845" max="2845" width="5.42578125" style="30" customWidth="1"/>
    <col min="2846" max="2846" width="6.28515625" style="30" bestFit="1" customWidth="1"/>
    <col min="2847" max="2847" width="4.7109375" style="30" customWidth="1"/>
    <col min="2848" max="2849" width="7.7109375" style="30" customWidth="1"/>
    <col min="2850" max="2850" width="5.7109375" style="30" customWidth="1"/>
    <col min="2851" max="3074" width="9.140625" style="30"/>
    <col min="3075" max="3078" width="4.7109375" style="30" customWidth="1"/>
    <col min="3079" max="3079" width="5.28515625" style="30" customWidth="1"/>
    <col min="3080" max="3080" width="6.28515625" style="30" bestFit="1" customWidth="1"/>
    <col min="3081" max="3081" width="4.7109375" style="30" customWidth="1"/>
    <col min="3082" max="3083" width="7.7109375" style="30" customWidth="1"/>
    <col min="3084" max="3084" width="5.7109375" style="30" customWidth="1"/>
    <col min="3085" max="3085" width="1.7109375" style="30" customWidth="1"/>
    <col min="3086" max="3089" width="4.7109375" style="30" customWidth="1"/>
    <col min="3090" max="3090" width="5.28515625" style="30" customWidth="1"/>
    <col min="3091" max="3091" width="6.28515625" style="30" bestFit="1" customWidth="1"/>
    <col min="3092" max="3092" width="4.7109375" style="30" customWidth="1"/>
    <col min="3093" max="3094" width="7.7109375" style="30" customWidth="1"/>
    <col min="3095" max="3095" width="5.7109375" style="30" customWidth="1"/>
    <col min="3096" max="3096" width="1.7109375" style="30" customWidth="1"/>
    <col min="3097" max="3100" width="4.7109375" style="30" customWidth="1"/>
    <col min="3101" max="3101" width="5.42578125" style="30" customWidth="1"/>
    <col min="3102" max="3102" width="6.28515625" style="30" bestFit="1" customWidth="1"/>
    <col min="3103" max="3103" width="4.7109375" style="30" customWidth="1"/>
    <col min="3104" max="3105" width="7.7109375" style="30" customWidth="1"/>
    <col min="3106" max="3106" width="5.7109375" style="30" customWidth="1"/>
    <col min="3107" max="3330" width="9.140625" style="30"/>
    <col min="3331" max="3334" width="4.7109375" style="30" customWidth="1"/>
    <col min="3335" max="3335" width="5.28515625" style="30" customWidth="1"/>
    <col min="3336" max="3336" width="6.28515625" style="30" bestFit="1" customWidth="1"/>
    <col min="3337" max="3337" width="4.7109375" style="30" customWidth="1"/>
    <col min="3338" max="3339" width="7.7109375" style="30" customWidth="1"/>
    <col min="3340" max="3340" width="5.7109375" style="30" customWidth="1"/>
    <col min="3341" max="3341" width="1.7109375" style="30" customWidth="1"/>
    <col min="3342" max="3345" width="4.7109375" style="30" customWidth="1"/>
    <col min="3346" max="3346" width="5.28515625" style="30" customWidth="1"/>
    <col min="3347" max="3347" width="6.28515625" style="30" bestFit="1" customWidth="1"/>
    <col min="3348" max="3348" width="4.7109375" style="30" customWidth="1"/>
    <col min="3349" max="3350" width="7.7109375" style="30" customWidth="1"/>
    <col min="3351" max="3351" width="5.7109375" style="30" customWidth="1"/>
    <col min="3352" max="3352" width="1.7109375" style="30" customWidth="1"/>
    <col min="3353" max="3356" width="4.7109375" style="30" customWidth="1"/>
    <col min="3357" max="3357" width="5.42578125" style="30" customWidth="1"/>
    <col min="3358" max="3358" width="6.28515625" style="30" bestFit="1" customWidth="1"/>
    <col min="3359" max="3359" width="4.7109375" style="30" customWidth="1"/>
    <col min="3360" max="3361" width="7.7109375" style="30" customWidth="1"/>
    <col min="3362" max="3362" width="5.7109375" style="30" customWidth="1"/>
    <col min="3363" max="3586" width="9.140625" style="30"/>
    <col min="3587" max="3590" width="4.7109375" style="30" customWidth="1"/>
    <col min="3591" max="3591" width="5.28515625" style="30" customWidth="1"/>
    <col min="3592" max="3592" width="6.28515625" style="30" bestFit="1" customWidth="1"/>
    <col min="3593" max="3593" width="4.7109375" style="30" customWidth="1"/>
    <col min="3594" max="3595" width="7.7109375" style="30" customWidth="1"/>
    <col min="3596" max="3596" width="5.7109375" style="30" customWidth="1"/>
    <col min="3597" max="3597" width="1.7109375" style="30" customWidth="1"/>
    <col min="3598" max="3601" width="4.7109375" style="30" customWidth="1"/>
    <col min="3602" max="3602" width="5.28515625" style="30" customWidth="1"/>
    <col min="3603" max="3603" width="6.28515625" style="30" bestFit="1" customWidth="1"/>
    <col min="3604" max="3604" width="4.7109375" style="30" customWidth="1"/>
    <col min="3605" max="3606" width="7.7109375" style="30" customWidth="1"/>
    <col min="3607" max="3607" width="5.7109375" style="30" customWidth="1"/>
    <col min="3608" max="3608" width="1.7109375" style="30" customWidth="1"/>
    <col min="3609" max="3612" width="4.7109375" style="30" customWidth="1"/>
    <col min="3613" max="3613" width="5.42578125" style="30" customWidth="1"/>
    <col min="3614" max="3614" width="6.28515625" style="30" bestFit="1" customWidth="1"/>
    <col min="3615" max="3615" width="4.7109375" style="30" customWidth="1"/>
    <col min="3616" max="3617" width="7.7109375" style="30" customWidth="1"/>
    <col min="3618" max="3618" width="5.7109375" style="30" customWidth="1"/>
    <col min="3619" max="3842" width="9.140625" style="30"/>
    <col min="3843" max="3846" width="4.7109375" style="30" customWidth="1"/>
    <col min="3847" max="3847" width="5.28515625" style="30" customWidth="1"/>
    <col min="3848" max="3848" width="6.28515625" style="30" bestFit="1" customWidth="1"/>
    <col min="3849" max="3849" width="4.7109375" style="30" customWidth="1"/>
    <col min="3850" max="3851" width="7.7109375" style="30" customWidth="1"/>
    <col min="3852" max="3852" width="5.7109375" style="30" customWidth="1"/>
    <col min="3853" max="3853" width="1.7109375" style="30" customWidth="1"/>
    <col min="3854" max="3857" width="4.7109375" style="30" customWidth="1"/>
    <col min="3858" max="3858" width="5.28515625" style="30" customWidth="1"/>
    <col min="3859" max="3859" width="6.28515625" style="30" bestFit="1" customWidth="1"/>
    <col min="3860" max="3860" width="4.7109375" style="30" customWidth="1"/>
    <col min="3861" max="3862" width="7.7109375" style="30" customWidth="1"/>
    <col min="3863" max="3863" width="5.7109375" style="30" customWidth="1"/>
    <col min="3864" max="3864" width="1.7109375" style="30" customWidth="1"/>
    <col min="3865" max="3868" width="4.7109375" style="30" customWidth="1"/>
    <col min="3869" max="3869" width="5.42578125" style="30" customWidth="1"/>
    <col min="3870" max="3870" width="6.28515625" style="30" bestFit="1" customWidth="1"/>
    <col min="3871" max="3871" width="4.7109375" style="30" customWidth="1"/>
    <col min="3872" max="3873" width="7.7109375" style="30" customWidth="1"/>
    <col min="3874" max="3874" width="5.7109375" style="30" customWidth="1"/>
    <col min="3875" max="4098" width="9.140625" style="30"/>
    <col min="4099" max="4102" width="4.7109375" style="30" customWidth="1"/>
    <col min="4103" max="4103" width="5.28515625" style="30" customWidth="1"/>
    <col min="4104" max="4104" width="6.28515625" style="30" bestFit="1" customWidth="1"/>
    <col min="4105" max="4105" width="4.7109375" style="30" customWidth="1"/>
    <col min="4106" max="4107" width="7.7109375" style="30" customWidth="1"/>
    <col min="4108" max="4108" width="5.7109375" style="30" customWidth="1"/>
    <col min="4109" max="4109" width="1.7109375" style="30" customWidth="1"/>
    <col min="4110" max="4113" width="4.7109375" style="30" customWidth="1"/>
    <col min="4114" max="4114" width="5.28515625" style="30" customWidth="1"/>
    <col min="4115" max="4115" width="6.28515625" style="30" bestFit="1" customWidth="1"/>
    <col min="4116" max="4116" width="4.7109375" style="30" customWidth="1"/>
    <col min="4117" max="4118" width="7.7109375" style="30" customWidth="1"/>
    <col min="4119" max="4119" width="5.7109375" style="30" customWidth="1"/>
    <col min="4120" max="4120" width="1.7109375" style="30" customWidth="1"/>
    <col min="4121" max="4124" width="4.7109375" style="30" customWidth="1"/>
    <col min="4125" max="4125" width="5.42578125" style="30" customWidth="1"/>
    <col min="4126" max="4126" width="6.28515625" style="30" bestFit="1" customWidth="1"/>
    <col min="4127" max="4127" width="4.7109375" style="30" customWidth="1"/>
    <col min="4128" max="4129" width="7.7109375" style="30" customWidth="1"/>
    <col min="4130" max="4130" width="5.7109375" style="30" customWidth="1"/>
    <col min="4131" max="4354" width="9.140625" style="30"/>
    <col min="4355" max="4358" width="4.7109375" style="30" customWidth="1"/>
    <col min="4359" max="4359" width="5.28515625" style="30" customWidth="1"/>
    <col min="4360" max="4360" width="6.28515625" style="30" bestFit="1" customWidth="1"/>
    <col min="4361" max="4361" width="4.7109375" style="30" customWidth="1"/>
    <col min="4362" max="4363" width="7.7109375" style="30" customWidth="1"/>
    <col min="4364" max="4364" width="5.7109375" style="30" customWidth="1"/>
    <col min="4365" max="4365" width="1.7109375" style="30" customWidth="1"/>
    <col min="4366" max="4369" width="4.7109375" style="30" customWidth="1"/>
    <col min="4370" max="4370" width="5.28515625" style="30" customWidth="1"/>
    <col min="4371" max="4371" width="6.28515625" style="30" bestFit="1" customWidth="1"/>
    <col min="4372" max="4372" width="4.7109375" style="30" customWidth="1"/>
    <col min="4373" max="4374" width="7.7109375" style="30" customWidth="1"/>
    <col min="4375" max="4375" width="5.7109375" style="30" customWidth="1"/>
    <col min="4376" max="4376" width="1.7109375" style="30" customWidth="1"/>
    <col min="4377" max="4380" width="4.7109375" style="30" customWidth="1"/>
    <col min="4381" max="4381" width="5.42578125" style="30" customWidth="1"/>
    <col min="4382" max="4382" width="6.28515625" style="30" bestFit="1" customWidth="1"/>
    <col min="4383" max="4383" width="4.7109375" style="30" customWidth="1"/>
    <col min="4384" max="4385" width="7.7109375" style="30" customWidth="1"/>
    <col min="4386" max="4386" width="5.7109375" style="30" customWidth="1"/>
    <col min="4387" max="4610" width="9.140625" style="30"/>
    <col min="4611" max="4614" width="4.7109375" style="30" customWidth="1"/>
    <col min="4615" max="4615" width="5.28515625" style="30" customWidth="1"/>
    <col min="4616" max="4616" width="6.28515625" style="30" bestFit="1" customWidth="1"/>
    <col min="4617" max="4617" width="4.7109375" style="30" customWidth="1"/>
    <col min="4618" max="4619" width="7.7109375" style="30" customWidth="1"/>
    <col min="4620" max="4620" width="5.7109375" style="30" customWidth="1"/>
    <col min="4621" max="4621" width="1.7109375" style="30" customWidth="1"/>
    <col min="4622" max="4625" width="4.7109375" style="30" customWidth="1"/>
    <col min="4626" max="4626" width="5.28515625" style="30" customWidth="1"/>
    <col min="4627" max="4627" width="6.28515625" style="30" bestFit="1" customWidth="1"/>
    <col min="4628" max="4628" width="4.7109375" style="30" customWidth="1"/>
    <col min="4629" max="4630" width="7.7109375" style="30" customWidth="1"/>
    <col min="4631" max="4631" width="5.7109375" style="30" customWidth="1"/>
    <col min="4632" max="4632" width="1.7109375" style="30" customWidth="1"/>
    <col min="4633" max="4636" width="4.7109375" style="30" customWidth="1"/>
    <col min="4637" max="4637" width="5.42578125" style="30" customWidth="1"/>
    <col min="4638" max="4638" width="6.28515625" style="30" bestFit="1" customWidth="1"/>
    <col min="4639" max="4639" width="4.7109375" style="30" customWidth="1"/>
    <col min="4640" max="4641" width="7.7109375" style="30" customWidth="1"/>
    <col min="4642" max="4642" width="5.7109375" style="30" customWidth="1"/>
    <col min="4643" max="4866" width="9.140625" style="30"/>
    <col min="4867" max="4870" width="4.7109375" style="30" customWidth="1"/>
    <col min="4871" max="4871" width="5.28515625" style="30" customWidth="1"/>
    <col min="4872" max="4872" width="6.28515625" style="30" bestFit="1" customWidth="1"/>
    <col min="4873" max="4873" width="4.7109375" style="30" customWidth="1"/>
    <col min="4874" max="4875" width="7.7109375" style="30" customWidth="1"/>
    <col min="4876" max="4876" width="5.7109375" style="30" customWidth="1"/>
    <col min="4877" max="4877" width="1.7109375" style="30" customWidth="1"/>
    <col min="4878" max="4881" width="4.7109375" style="30" customWidth="1"/>
    <col min="4882" max="4882" width="5.28515625" style="30" customWidth="1"/>
    <col min="4883" max="4883" width="6.28515625" style="30" bestFit="1" customWidth="1"/>
    <col min="4884" max="4884" width="4.7109375" style="30" customWidth="1"/>
    <col min="4885" max="4886" width="7.7109375" style="30" customWidth="1"/>
    <col min="4887" max="4887" width="5.7109375" style="30" customWidth="1"/>
    <col min="4888" max="4888" width="1.7109375" style="30" customWidth="1"/>
    <col min="4889" max="4892" width="4.7109375" style="30" customWidth="1"/>
    <col min="4893" max="4893" width="5.42578125" style="30" customWidth="1"/>
    <col min="4894" max="4894" width="6.28515625" style="30" bestFit="1" customWidth="1"/>
    <col min="4895" max="4895" width="4.7109375" style="30" customWidth="1"/>
    <col min="4896" max="4897" width="7.7109375" style="30" customWidth="1"/>
    <col min="4898" max="4898" width="5.7109375" style="30" customWidth="1"/>
    <col min="4899" max="5122" width="9.140625" style="30"/>
    <col min="5123" max="5126" width="4.7109375" style="30" customWidth="1"/>
    <col min="5127" max="5127" width="5.28515625" style="30" customWidth="1"/>
    <col min="5128" max="5128" width="6.28515625" style="30" bestFit="1" customWidth="1"/>
    <col min="5129" max="5129" width="4.7109375" style="30" customWidth="1"/>
    <col min="5130" max="5131" width="7.7109375" style="30" customWidth="1"/>
    <col min="5132" max="5132" width="5.7109375" style="30" customWidth="1"/>
    <col min="5133" max="5133" width="1.7109375" style="30" customWidth="1"/>
    <col min="5134" max="5137" width="4.7109375" style="30" customWidth="1"/>
    <col min="5138" max="5138" width="5.28515625" style="30" customWidth="1"/>
    <col min="5139" max="5139" width="6.28515625" style="30" bestFit="1" customWidth="1"/>
    <col min="5140" max="5140" width="4.7109375" style="30" customWidth="1"/>
    <col min="5141" max="5142" width="7.7109375" style="30" customWidth="1"/>
    <col min="5143" max="5143" width="5.7109375" style="30" customWidth="1"/>
    <col min="5144" max="5144" width="1.7109375" style="30" customWidth="1"/>
    <col min="5145" max="5148" width="4.7109375" style="30" customWidth="1"/>
    <col min="5149" max="5149" width="5.42578125" style="30" customWidth="1"/>
    <col min="5150" max="5150" width="6.28515625" style="30" bestFit="1" customWidth="1"/>
    <col min="5151" max="5151" width="4.7109375" style="30" customWidth="1"/>
    <col min="5152" max="5153" width="7.7109375" style="30" customWidth="1"/>
    <col min="5154" max="5154" width="5.7109375" style="30" customWidth="1"/>
    <col min="5155" max="5378" width="9.140625" style="30"/>
    <col min="5379" max="5382" width="4.7109375" style="30" customWidth="1"/>
    <col min="5383" max="5383" width="5.28515625" style="30" customWidth="1"/>
    <col min="5384" max="5384" width="6.28515625" style="30" bestFit="1" customWidth="1"/>
    <col min="5385" max="5385" width="4.7109375" style="30" customWidth="1"/>
    <col min="5386" max="5387" width="7.7109375" style="30" customWidth="1"/>
    <col min="5388" max="5388" width="5.7109375" style="30" customWidth="1"/>
    <col min="5389" max="5389" width="1.7109375" style="30" customWidth="1"/>
    <col min="5390" max="5393" width="4.7109375" style="30" customWidth="1"/>
    <col min="5394" max="5394" width="5.28515625" style="30" customWidth="1"/>
    <col min="5395" max="5395" width="6.28515625" style="30" bestFit="1" customWidth="1"/>
    <col min="5396" max="5396" width="4.7109375" style="30" customWidth="1"/>
    <col min="5397" max="5398" width="7.7109375" style="30" customWidth="1"/>
    <col min="5399" max="5399" width="5.7109375" style="30" customWidth="1"/>
    <col min="5400" max="5400" width="1.7109375" style="30" customWidth="1"/>
    <col min="5401" max="5404" width="4.7109375" style="30" customWidth="1"/>
    <col min="5405" max="5405" width="5.42578125" style="30" customWidth="1"/>
    <col min="5406" max="5406" width="6.28515625" style="30" bestFit="1" customWidth="1"/>
    <col min="5407" max="5407" width="4.7109375" style="30" customWidth="1"/>
    <col min="5408" max="5409" width="7.7109375" style="30" customWidth="1"/>
    <col min="5410" max="5410" width="5.7109375" style="30" customWidth="1"/>
    <col min="5411" max="5634" width="9.140625" style="30"/>
    <col min="5635" max="5638" width="4.7109375" style="30" customWidth="1"/>
    <col min="5639" max="5639" width="5.28515625" style="30" customWidth="1"/>
    <col min="5640" max="5640" width="6.28515625" style="30" bestFit="1" customWidth="1"/>
    <col min="5641" max="5641" width="4.7109375" style="30" customWidth="1"/>
    <col min="5642" max="5643" width="7.7109375" style="30" customWidth="1"/>
    <col min="5644" max="5644" width="5.7109375" style="30" customWidth="1"/>
    <col min="5645" max="5645" width="1.7109375" style="30" customWidth="1"/>
    <col min="5646" max="5649" width="4.7109375" style="30" customWidth="1"/>
    <col min="5650" max="5650" width="5.28515625" style="30" customWidth="1"/>
    <col min="5651" max="5651" width="6.28515625" style="30" bestFit="1" customWidth="1"/>
    <col min="5652" max="5652" width="4.7109375" style="30" customWidth="1"/>
    <col min="5653" max="5654" width="7.7109375" style="30" customWidth="1"/>
    <col min="5655" max="5655" width="5.7109375" style="30" customWidth="1"/>
    <col min="5656" max="5656" width="1.7109375" style="30" customWidth="1"/>
    <col min="5657" max="5660" width="4.7109375" style="30" customWidth="1"/>
    <col min="5661" max="5661" width="5.42578125" style="30" customWidth="1"/>
    <col min="5662" max="5662" width="6.28515625" style="30" bestFit="1" customWidth="1"/>
    <col min="5663" max="5663" width="4.7109375" style="30" customWidth="1"/>
    <col min="5664" max="5665" width="7.7109375" style="30" customWidth="1"/>
    <col min="5666" max="5666" width="5.7109375" style="30" customWidth="1"/>
    <col min="5667" max="5890" width="9.140625" style="30"/>
    <col min="5891" max="5894" width="4.7109375" style="30" customWidth="1"/>
    <col min="5895" max="5895" width="5.28515625" style="30" customWidth="1"/>
    <col min="5896" max="5896" width="6.28515625" style="30" bestFit="1" customWidth="1"/>
    <col min="5897" max="5897" width="4.7109375" style="30" customWidth="1"/>
    <col min="5898" max="5899" width="7.7109375" style="30" customWidth="1"/>
    <col min="5900" max="5900" width="5.7109375" style="30" customWidth="1"/>
    <col min="5901" max="5901" width="1.7109375" style="30" customWidth="1"/>
    <col min="5902" max="5905" width="4.7109375" style="30" customWidth="1"/>
    <col min="5906" max="5906" width="5.28515625" style="30" customWidth="1"/>
    <col min="5907" max="5907" width="6.28515625" style="30" bestFit="1" customWidth="1"/>
    <col min="5908" max="5908" width="4.7109375" style="30" customWidth="1"/>
    <col min="5909" max="5910" width="7.7109375" style="30" customWidth="1"/>
    <col min="5911" max="5911" width="5.7109375" style="30" customWidth="1"/>
    <col min="5912" max="5912" width="1.7109375" style="30" customWidth="1"/>
    <col min="5913" max="5916" width="4.7109375" style="30" customWidth="1"/>
    <col min="5917" max="5917" width="5.42578125" style="30" customWidth="1"/>
    <col min="5918" max="5918" width="6.28515625" style="30" bestFit="1" customWidth="1"/>
    <col min="5919" max="5919" width="4.7109375" style="30" customWidth="1"/>
    <col min="5920" max="5921" width="7.7109375" style="30" customWidth="1"/>
    <col min="5922" max="5922" width="5.7109375" style="30" customWidth="1"/>
    <col min="5923" max="6146" width="9.140625" style="30"/>
    <col min="6147" max="6150" width="4.7109375" style="30" customWidth="1"/>
    <col min="6151" max="6151" width="5.28515625" style="30" customWidth="1"/>
    <col min="6152" max="6152" width="6.28515625" style="30" bestFit="1" customWidth="1"/>
    <col min="6153" max="6153" width="4.7109375" style="30" customWidth="1"/>
    <col min="6154" max="6155" width="7.7109375" style="30" customWidth="1"/>
    <col min="6156" max="6156" width="5.7109375" style="30" customWidth="1"/>
    <col min="6157" max="6157" width="1.7109375" style="30" customWidth="1"/>
    <col min="6158" max="6161" width="4.7109375" style="30" customWidth="1"/>
    <col min="6162" max="6162" width="5.28515625" style="30" customWidth="1"/>
    <col min="6163" max="6163" width="6.28515625" style="30" bestFit="1" customWidth="1"/>
    <col min="6164" max="6164" width="4.7109375" style="30" customWidth="1"/>
    <col min="6165" max="6166" width="7.7109375" style="30" customWidth="1"/>
    <col min="6167" max="6167" width="5.7109375" style="30" customWidth="1"/>
    <col min="6168" max="6168" width="1.7109375" style="30" customWidth="1"/>
    <col min="6169" max="6172" width="4.7109375" style="30" customWidth="1"/>
    <col min="6173" max="6173" width="5.42578125" style="30" customWidth="1"/>
    <col min="6174" max="6174" width="6.28515625" style="30" bestFit="1" customWidth="1"/>
    <col min="6175" max="6175" width="4.7109375" style="30" customWidth="1"/>
    <col min="6176" max="6177" width="7.7109375" style="30" customWidth="1"/>
    <col min="6178" max="6178" width="5.7109375" style="30" customWidth="1"/>
    <col min="6179" max="6402" width="9.140625" style="30"/>
    <col min="6403" max="6406" width="4.7109375" style="30" customWidth="1"/>
    <col min="6407" max="6407" width="5.28515625" style="30" customWidth="1"/>
    <col min="6408" max="6408" width="6.28515625" style="30" bestFit="1" customWidth="1"/>
    <col min="6409" max="6409" width="4.7109375" style="30" customWidth="1"/>
    <col min="6410" max="6411" width="7.7109375" style="30" customWidth="1"/>
    <col min="6412" max="6412" width="5.7109375" style="30" customWidth="1"/>
    <col min="6413" max="6413" width="1.7109375" style="30" customWidth="1"/>
    <col min="6414" max="6417" width="4.7109375" style="30" customWidth="1"/>
    <col min="6418" max="6418" width="5.28515625" style="30" customWidth="1"/>
    <col min="6419" max="6419" width="6.28515625" style="30" bestFit="1" customWidth="1"/>
    <col min="6420" max="6420" width="4.7109375" style="30" customWidth="1"/>
    <col min="6421" max="6422" width="7.7109375" style="30" customWidth="1"/>
    <col min="6423" max="6423" width="5.7109375" style="30" customWidth="1"/>
    <col min="6424" max="6424" width="1.7109375" style="30" customWidth="1"/>
    <col min="6425" max="6428" width="4.7109375" style="30" customWidth="1"/>
    <col min="6429" max="6429" width="5.42578125" style="30" customWidth="1"/>
    <col min="6430" max="6430" width="6.28515625" style="30" bestFit="1" customWidth="1"/>
    <col min="6431" max="6431" width="4.7109375" style="30" customWidth="1"/>
    <col min="6432" max="6433" width="7.7109375" style="30" customWidth="1"/>
    <col min="6434" max="6434" width="5.7109375" style="30" customWidth="1"/>
    <col min="6435" max="6658" width="9.140625" style="30"/>
    <col min="6659" max="6662" width="4.7109375" style="30" customWidth="1"/>
    <col min="6663" max="6663" width="5.28515625" style="30" customWidth="1"/>
    <col min="6664" max="6664" width="6.28515625" style="30" bestFit="1" customWidth="1"/>
    <col min="6665" max="6665" width="4.7109375" style="30" customWidth="1"/>
    <col min="6666" max="6667" width="7.7109375" style="30" customWidth="1"/>
    <col min="6668" max="6668" width="5.7109375" style="30" customWidth="1"/>
    <col min="6669" max="6669" width="1.7109375" style="30" customWidth="1"/>
    <col min="6670" max="6673" width="4.7109375" style="30" customWidth="1"/>
    <col min="6674" max="6674" width="5.28515625" style="30" customWidth="1"/>
    <col min="6675" max="6675" width="6.28515625" style="30" bestFit="1" customWidth="1"/>
    <col min="6676" max="6676" width="4.7109375" style="30" customWidth="1"/>
    <col min="6677" max="6678" width="7.7109375" style="30" customWidth="1"/>
    <col min="6679" max="6679" width="5.7109375" style="30" customWidth="1"/>
    <col min="6680" max="6680" width="1.7109375" style="30" customWidth="1"/>
    <col min="6681" max="6684" width="4.7109375" style="30" customWidth="1"/>
    <col min="6685" max="6685" width="5.42578125" style="30" customWidth="1"/>
    <col min="6686" max="6686" width="6.28515625" style="30" bestFit="1" customWidth="1"/>
    <col min="6687" max="6687" width="4.7109375" style="30" customWidth="1"/>
    <col min="6688" max="6689" width="7.7109375" style="30" customWidth="1"/>
    <col min="6690" max="6690" width="5.7109375" style="30" customWidth="1"/>
    <col min="6691" max="6914" width="9.140625" style="30"/>
    <col min="6915" max="6918" width="4.7109375" style="30" customWidth="1"/>
    <col min="6919" max="6919" width="5.28515625" style="30" customWidth="1"/>
    <col min="6920" max="6920" width="6.28515625" style="30" bestFit="1" customWidth="1"/>
    <col min="6921" max="6921" width="4.7109375" style="30" customWidth="1"/>
    <col min="6922" max="6923" width="7.7109375" style="30" customWidth="1"/>
    <col min="6924" max="6924" width="5.7109375" style="30" customWidth="1"/>
    <col min="6925" max="6925" width="1.7109375" style="30" customWidth="1"/>
    <col min="6926" max="6929" width="4.7109375" style="30" customWidth="1"/>
    <col min="6930" max="6930" width="5.28515625" style="30" customWidth="1"/>
    <col min="6931" max="6931" width="6.28515625" style="30" bestFit="1" customWidth="1"/>
    <col min="6932" max="6932" width="4.7109375" style="30" customWidth="1"/>
    <col min="6933" max="6934" width="7.7109375" style="30" customWidth="1"/>
    <col min="6935" max="6935" width="5.7109375" style="30" customWidth="1"/>
    <col min="6936" max="6936" width="1.7109375" style="30" customWidth="1"/>
    <col min="6937" max="6940" width="4.7109375" style="30" customWidth="1"/>
    <col min="6941" max="6941" width="5.42578125" style="30" customWidth="1"/>
    <col min="6942" max="6942" width="6.28515625" style="30" bestFit="1" customWidth="1"/>
    <col min="6943" max="6943" width="4.7109375" style="30" customWidth="1"/>
    <col min="6944" max="6945" width="7.7109375" style="30" customWidth="1"/>
    <col min="6946" max="6946" width="5.7109375" style="30" customWidth="1"/>
    <col min="6947" max="7170" width="9.140625" style="30"/>
    <col min="7171" max="7174" width="4.7109375" style="30" customWidth="1"/>
    <col min="7175" max="7175" width="5.28515625" style="30" customWidth="1"/>
    <col min="7176" max="7176" width="6.28515625" style="30" bestFit="1" customWidth="1"/>
    <col min="7177" max="7177" width="4.7109375" style="30" customWidth="1"/>
    <col min="7178" max="7179" width="7.7109375" style="30" customWidth="1"/>
    <col min="7180" max="7180" width="5.7109375" style="30" customWidth="1"/>
    <col min="7181" max="7181" width="1.7109375" style="30" customWidth="1"/>
    <col min="7182" max="7185" width="4.7109375" style="30" customWidth="1"/>
    <col min="7186" max="7186" width="5.28515625" style="30" customWidth="1"/>
    <col min="7187" max="7187" width="6.28515625" style="30" bestFit="1" customWidth="1"/>
    <col min="7188" max="7188" width="4.7109375" style="30" customWidth="1"/>
    <col min="7189" max="7190" width="7.7109375" style="30" customWidth="1"/>
    <col min="7191" max="7191" width="5.7109375" style="30" customWidth="1"/>
    <col min="7192" max="7192" width="1.7109375" style="30" customWidth="1"/>
    <col min="7193" max="7196" width="4.7109375" style="30" customWidth="1"/>
    <col min="7197" max="7197" width="5.42578125" style="30" customWidth="1"/>
    <col min="7198" max="7198" width="6.28515625" style="30" bestFit="1" customWidth="1"/>
    <col min="7199" max="7199" width="4.7109375" style="30" customWidth="1"/>
    <col min="7200" max="7201" width="7.7109375" style="30" customWidth="1"/>
    <col min="7202" max="7202" width="5.7109375" style="30" customWidth="1"/>
    <col min="7203" max="7426" width="9.140625" style="30"/>
    <col min="7427" max="7430" width="4.7109375" style="30" customWidth="1"/>
    <col min="7431" max="7431" width="5.28515625" style="30" customWidth="1"/>
    <col min="7432" max="7432" width="6.28515625" style="30" bestFit="1" customWidth="1"/>
    <col min="7433" max="7433" width="4.7109375" style="30" customWidth="1"/>
    <col min="7434" max="7435" width="7.7109375" style="30" customWidth="1"/>
    <col min="7436" max="7436" width="5.7109375" style="30" customWidth="1"/>
    <col min="7437" max="7437" width="1.7109375" style="30" customWidth="1"/>
    <col min="7438" max="7441" width="4.7109375" style="30" customWidth="1"/>
    <col min="7442" max="7442" width="5.28515625" style="30" customWidth="1"/>
    <col min="7443" max="7443" width="6.28515625" style="30" bestFit="1" customWidth="1"/>
    <col min="7444" max="7444" width="4.7109375" style="30" customWidth="1"/>
    <col min="7445" max="7446" width="7.7109375" style="30" customWidth="1"/>
    <col min="7447" max="7447" width="5.7109375" style="30" customWidth="1"/>
    <col min="7448" max="7448" width="1.7109375" style="30" customWidth="1"/>
    <col min="7449" max="7452" width="4.7109375" style="30" customWidth="1"/>
    <col min="7453" max="7453" width="5.42578125" style="30" customWidth="1"/>
    <col min="7454" max="7454" width="6.28515625" style="30" bestFit="1" customWidth="1"/>
    <col min="7455" max="7455" width="4.7109375" style="30" customWidth="1"/>
    <col min="7456" max="7457" width="7.7109375" style="30" customWidth="1"/>
    <col min="7458" max="7458" width="5.7109375" style="30" customWidth="1"/>
    <col min="7459" max="7682" width="9.140625" style="30"/>
    <col min="7683" max="7686" width="4.7109375" style="30" customWidth="1"/>
    <col min="7687" max="7687" width="5.28515625" style="30" customWidth="1"/>
    <col min="7688" max="7688" width="6.28515625" style="30" bestFit="1" customWidth="1"/>
    <col min="7689" max="7689" width="4.7109375" style="30" customWidth="1"/>
    <col min="7690" max="7691" width="7.7109375" style="30" customWidth="1"/>
    <col min="7692" max="7692" width="5.7109375" style="30" customWidth="1"/>
    <col min="7693" max="7693" width="1.7109375" style="30" customWidth="1"/>
    <col min="7694" max="7697" width="4.7109375" style="30" customWidth="1"/>
    <col min="7698" max="7698" width="5.28515625" style="30" customWidth="1"/>
    <col min="7699" max="7699" width="6.28515625" style="30" bestFit="1" customWidth="1"/>
    <col min="7700" max="7700" width="4.7109375" style="30" customWidth="1"/>
    <col min="7701" max="7702" width="7.7109375" style="30" customWidth="1"/>
    <col min="7703" max="7703" width="5.7109375" style="30" customWidth="1"/>
    <col min="7704" max="7704" width="1.7109375" style="30" customWidth="1"/>
    <col min="7705" max="7708" width="4.7109375" style="30" customWidth="1"/>
    <col min="7709" max="7709" width="5.42578125" style="30" customWidth="1"/>
    <col min="7710" max="7710" width="6.28515625" style="30" bestFit="1" customWidth="1"/>
    <col min="7711" max="7711" width="4.7109375" style="30" customWidth="1"/>
    <col min="7712" max="7713" width="7.7109375" style="30" customWidth="1"/>
    <col min="7714" max="7714" width="5.7109375" style="30" customWidth="1"/>
    <col min="7715" max="7938" width="9.140625" style="30"/>
    <col min="7939" max="7942" width="4.7109375" style="30" customWidth="1"/>
    <col min="7943" max="7943" width="5.28515625" style="30" customWidth="1"/>
    <col min="7944" max="7944" width="6.28515625" style="30" bestFit="1" customWidth="1"/>
    <col min="7945" max="7945" width="4.7109375" style="30" customWidth="1"/>
    <col min="7946" max="7947" width="7.7109375" style="30" customWidth="1"/>
    <col min="7948" max="7948" width="5.7109375" style="30" customWidth="1"/>
    <col min="7949" max="7949" width="1.7109375" style="30" customWidth="1"/>
    <col min="7950" max="7953" width="4.7109375" style="30" customWidth="1"/>
    <col min="7954" max="7954" width="5.28515625" style="30" customWidth="1"/>
    <col min="7955" max="7955" width="6.28515625" style="30" bestFit="1" customWidth="1"/>
    <col min="7956" max="7956" width="4.7109375" style="30" customWidth="1"/>
    <col min="7957" max="7958" width="7.7109375" style="30" customWidth="1"/>
    <col min="7959" max="7959" width="5.7109375" style="30" customWidth="1"/>
    <col min="7960" max="7960" width="1.7109375" style="30" customWidth="1"/>
    <col min="7961" max="7964" width="4.7109375" style="30" customWidth="1"/>
    <col min="7965" max="7965" width="5.42578125" style="30" customWidth="1"/>
    <col min="7966" max="7966" width="6.28515625" style="30" bestFit="1" customWidth="1"/>
    <col min="7967" max="7967" width="4.7109375" style="30" customWidth="1"/>
    <col min="7968" max="7969" width="7.7109375" style="30" customWidth="1"/>
    <col min="7970" max="7970" width="5.7109375" style="30" customWidth="1"/>
    <col min="7971" max="8194" width="9.140625" style="30"/>
    <col min="8195" max="8198" width="4.7109375" style="30" customWidth="1"/>
    <col min="8199" max="8199" width="5.28515625" style="30" customWidth="1"/>
    <col min="8200" max="8200" width="6.28515625" style="30" bestFit="1" customWidth="1"/>
    <col min="8201" max="8201" width="4.7109375" style="30" customWidth="1"/>
    <col min="8202" max="8203" width="7.7109375" style="30" customWidth="1"/>
    <col min="8204" max="8204" width="5.7109375" style="30" customWidth="1"/>
    <col min="8205" max="8205" width="1.7109375" style="30" customWidth="1"/>
    <col min="8206" max="8209" width="4.7109375" style="30" customWidth="1"/>
    <col min="8210" max="8210" width="5.28515625" style="30" customWidth="1"/>
    <col min="8211" max="8211" width="6.28515625" style="30" bestFit="1" customWidth="1"/>
    <col min="8212" max="8212" width="4.7109375" style="30" customWidth="1"/>
    <col min="8213" max="8214" width="7.7109375" style="30" customWidth="1"/>
    <col min="8215" max="8215" width="5.7109375" style="30" customWidth="1"/>
    <col min="8216" max="8216" width="1.7109375" style="30" customWidth="1"/>
    <col min="8217" max="8220" width="4.7109375" style="30" customWidth="1"/>
    <col min="8221" max="8221" width="5.42578125" style="30" customWidth="1"/>
    <col min="8222" max="8222" width="6.28515625" style="30" bestFit="1" customWidth="1"/>
    <col min="8223" max="8223" width="4.7109375" style="30" customWidth="1"/>
    <col min="8224" max="8225" width="7.7109375" style="30" customWidth="1"/>
    <col min="8226" max="8226" width="5.7109375" style="30" customWidth="1"/>
    <col min="8227" max="8450" width="9.140625" style="30"/>
    <col min="8451" max="8454" width="4.7109375" style="30" customWidth="1"/>
    <col min="8455" max="8455" width="5.28515625" style="30" customWidth="1"/>
    <col min="8456" max="8456" width="6.28515625" style="30" bestFit="1" customWidth="1"/>
    <col min="8457" max="8457" width="4.7109375" style="30" customWidth="1"/>
    <col min="8458" max="8459" width="7.7109375" style="30" customWidth="1"/>
    <col min="8460" max="8460" width="5.7109375" style="30" customWidth="1"/>
    <col min="8461" max="8461" width="1.7109375" style="30" customWidth="1"/>
    <col min="8462" max="8465" width="4.7109375" style="30" customWidth="1"/>
    <col min="8466" max="8466" width="5.28515625" style="30" customWidth="1"/>
    <col min="8467" max="8467" width="6.28515625" style="30" bestFit="1" customWidth="1"/>
    <col min="8468" max="8468" width="4.7109375" style="30" customWidth="1"/>
    <col min="8469" max="8470" width="7.7109375" style="30" customWidth="1"/>
    <col min="8471" max="8471" width="5.7109375" style="30" customWidth="1"/>
    <col min="8472" max="8472" width="1.7109375" style="30" customWidth="1"/>
    <col min="8473" max="8476" width="4.7109375" style="30" customWidth="1"/>
    <col min="8477" max="8477" width="5.42578125" style="30" customWidth="1"/>
    <col min="8478" max="8478" width="6.28515625" style="30" bestFit="1" customWidth="1"/>
    <col min="8479" max="8479" width="4.7109375" style="30" customWidth="1"/>
    <col min="8480" max="8481" width="7.7109375" style="30" customWidth="1"/>
    <col min="8482" max="8482" width="5.7109375" style="30" customWidth="1"/>
    <col min="8483" max="8706" width="9.140625" style="30"/>
    <col min="8707" max="8710" width="4.7109375" style="30" customWidth="1"/>
    <col min="8711" max="8711" width="5.28515625" style="30" customWidth="1"/>
    <col min="8712" max="8712" width="6.28515625" style="30" bestFit="1" customWidth="1"/>
    <col min="8713" max="8713" width="4.7109375" style="30" customWidth="1"/>
    <col min="8714" max="8715" width="7.7109375" style="30" customWidth="1"/>
    <col min="8716" max="8716" width="5.7109375" style="30" customWidth="1"/>
    <col min="8717" max="8717" width="1.7109375" style="30" customWidth="1"/>
    <col min="8718" max="8721" width="4.7109375" style="30" customWidth="1"/>
    <col min="8722" max="8722" width="5.28515625" style="30" customWidth="1"/>
    <col min="8723" max="8723" width="6.28515625" style="30" bestFit="1" customWidth="1"/>
    <col min="8724" max="8724" width="4.7109375" style="30" customWidth="1"/>
    <col min="8725" max="8726" width="7.7109375" style="30" customWidth="1"/>
    <col min="8727" max="8727" width="5.7109375" style="30" customWidth="1"/>
    <col min="8728" max="8728" width="1.7109375" style="30" customWidth="1"/>
    <col min="8729" max="8732" width="4.7109375" style="30" customWidth="1"/>
    <col min="8733" max="8733" width="5.42578125" style="30" customWidth="1"/>
    <col min="8734" max="8734" width="6.28515625" style="30" bestFit="1" customWidth="1"/>
    <col min="8735" max="8735" width="4.7109375" style="30" customWidth="1"/>
    <col min="8736" max="8737" width="7.7109375" style="30" customWidth="1"/>
    <col min="8738" max="8738" width="5.7109375" style="30" customWidth="1"/>
    <col min="8739" max="8962" width="9.140625" style="30"/>
    <col min="8963" max="8966" width="4.7109375" style="30" customWidth="1"/>
    <col min="8967" max="8967" width="5.28515625" style="30" customWidth="1"/>
    <col min="8968" max="8968" width="6.28515625" style="30" bestFit="1" customWidth="1"/>
    <col min="8969" max="8969" width="4.7109375" style="30" customWidth="1"/>
    <col min="8970" max="8971" width="7.7109375" style="30" customWidth="1"/>
    <col min="8972" max="8972" width="5.7109375" style="30" customWidth="1"/>
    <col min="8973" max="8973" width="1.7109375" style="30" customWidth="1"/>
    <col min="8974" max="8977" width="4.7109375" style="30" customWidth="1"/>
    <col min="8978" max="8978" width="5.28515625" style="30" customWidth="1"/>
    <col min="8979" max="8979" width="6.28515625" style="30" bestFit="1" customWidth="1"/>
    <col min="8980" max="8980" width="4.7109375" style="30" customWidth="1"/>
    <col min="8981" max="8982" width="7.7109375" style="30" customWidth="1"/>
    <col min="8983" max="8983" width="5.7109375" style="30" customWidth="1"/>
    <col min="8984" max="8984" width="1.7109375" style="30" customWidth="1"/>
    <col min="8985" max="8988" width="4.7109375" style="30" customWidth="1"/>
    <col min="8989" max="8989" width="5.42578125" style="30" customWidth="1"/>
    <col min="8990" max="8990" width="6.28515625" style="30" bestFit="1" customWidth="1"/>
    <col min="8991" max="8991" width="4.7109375" style="30" customWidth="1"/>
    <col min="8992" max="8993" width="7.7109375" style="30" customWidth="1"/>
    <col min="8994" max="8994" width="5.7109375" style="30" customWidth="1"/>
    <col min="8995" max="9218" width="9.140625" style="30"/>
    <col min="9219" max="9222" width="4.7109375" style="30" customWidth="1"/>
    <col min="9223" max="9223" width="5.28515625" style="30" customWidth="1"/>
    <col min="9224" max="9224" width="6.28515625" style="30" bestFit="1" customWidth="1"/>
    <col min="9225" max="9225" width="4.7109375" style="30" customWidth="1"/>
    <col min="9226" max="9227" width="7.7109375" style="30" customWidth="1"/>
    <col min="9228" max="9228" width="5.7109375" style="30" customWidth="1"/>
    <col min="9229" max="9229" width="1.7109375" style="30" customWidth="1"/>
    <col min="9230" max="9233" width="4.7109375" style="30" customWidth="1"/>
    <col min="9234" max="9234" width="5.28515625" style="30" customWidth="1"/>
    <col min="9235" max="9235" width="6.28515625" style="30" bestFit="1" customWidth="1"/>
    <col min="9236" max="9236" width="4.7109375" style="30" customWidth="1"/>
    <col min="9237" max="9238" width="7.7109375" style="30" customWidth="1"/>
    <col min="9239" max="9239" width="5.7109375" style="30" customWidth="1"/>
    <col min="9240" max="9240" width="1.7109375" style="30" customWidth="1"/>
    <col min="9241" max="9244" width="4.7109375" style="30" customWidth="1"/>
    <col min="9245" max="9245" width="5.42578125" style="30" customWidth="1"/>
    <col min="9246" max="9246" width="6.28515625" style="30" bestFit="1" customWidth="1"/>
    <col min="9247" max="9247" width="4.7109375" style="30" customWidth="1"/>
    <col min="9248" max="9249" width="7.7109375" style="30" customWidth="1"/>
    <col min="9250" max="9250" width="5.7109375" style="30" customWidth="1"/>
    <col min="9251" max="9474" width="9.140625" style="30"/>
    <col min="9475" max="9478" width="4.7109375" style="30" customWidth="1"/>
    <col min="9479" max="9479" width="5.28515625" style="30" customWidth="1"/>
    <col min="9480" max="9480" width="6.28515625" style="30" bestFit="1" customWidth="1"/>
    <col min="9481" max="9481" width="4.7109375" style="30" customWidth="1"/>
    <col min="9482" max="9483" width="7.7109375" style="30" customWidth="1"/>
    <col min="9484" max="9484" width="5.7109375" style="30" customWidth="1"/>
    <col min="9485" max="9485" width="1.7109375" style="30" customWidth="1"/>
    <col min="9486" max="9489" width="4.7109375" style="30" customWidth="1"/>
    <col min="9490" max="9490" width="5.28515625" style="30" customWidth="1"/>
    <col min="9491" max="9491" width="6.28515625" style="30" bestFit="1" customWidth="1"/>
    <col min="9492" max="9492" width="4.7109375" style="30" customWidth="1"/>
    <col min="9493" max="9494" width="7.7109375" style="30" customWidth="1"/>
    <col min="9495" max="9495" width="5.7109375" style="30" customWidth="1"/>
    <col min="9496" max="9496" width="1.7109375" style="30" customWidth="1"/>
    <col min="9497" max="9500" width="4.7109375" style="30" customWidth="1"/>
    <col min="9501" max="9501" width="5.42578125" style="30" customWidth="1"/>
    <col min="9502" max="9502" width="6.28515625" style="30" bestFit="1" customWidth="1"/>
    <col min="9503" max="9503" width="4.7109375" style="30" customWidth="1"/>
    <col min="9504" max="9505" width="7.7109375" style="30" customWidth="1"/>
    <col min="9506" max="9506" width="5.7109375" style="30" customWidth="1"/>
    <col min="9507" max="9730" width="9.140625" style="30"/>
    <col min="9731" max="9734" width="4.7109375" style="30" customWidth="1"/>
    <col min="9735" max="9735" width="5.28515625" style="30" customWidth="1"/>
    <col min="9736" max="9736" width="6.28515625" style="30" bestFit="1" customWidth="1"/>
    <col min="9737" max="9737" width="4.7109375" style="30" customWidth="1"/>
    <col min="9738" max="9739" width="7.7109375" style="30" customWidth="1"/>
    <col min="9740" max="9740" width="5.7109375" style="30" customWidth="1"/>
    <col min="9741" max="9741" width="1.7109375" style="30" customWidth="1"/>
    <col min="9742" max="9745" width="4.7109375" style="30" customWidth="1"/>
    <col min="9746" max="9746" width="5.28515625" style="30" customWidth="1"/>
    <col min="9747" max="9747" width="6.28515625" style="30" bestFit="1" customWidth="1"/>
    <col min="9748" max="9748" width="4.7109375" style="30" customWidth="1"/>
    <col min="9749" max="9750" width="7.7109375" style="30" customWidth="1"/>
    <col min="9751" max="9751" width="5.7109375" style="30" customWidth="1"/>
    <col min="9752" max="9752" width="1.7109375" style="30" customWidth="1"/>
    <col min="9753" max="9756" width="4.7109375" style="30" customWidth="1"/>
    <col min="9757" max="9757" width="5.42578125" style="30" customWidth="1"/>
    <col min="9758" max="9758" width="6.28515625" style="30" bestFit="1" customWidth="1"/>
    <col min="9759" max="9759" width="4.7109375" style="30" customWidth="1"/>
    <col min="9760" max="9761" width="7.7109375" style="30" customWidth="1"/>
    <col min="9762" max="9762" width="5.7109375" style="30" customWidth="1"/>
    <col min="9763" max="9986" width="9.140625" style="30"/>
    <col min="9987" max="9990" width="4.7109375" style="30" customWidth="1"/>
    <col min="9991" max="9991" width="5.28515625" style="30" customWidth="1"/>
    <col min="9992" max="9992" width="6.28515625" style="30" bestFit="1" customWidth="1"/>
    <col min="9993" max="9993" width="4.7109375" style="30" customWidth="1"/>
    <col min="9994" max="9995" width="7.7109375" style="30" customWidth="1"/>
    <col min="9996" max="9996" width="5.7109375" style="30" customWidth="1"/>
    <col min="9997" max="9997" width="1.7109375" style="30" customWidth="1"/>
    <col min="9998" max="10001" width="4.7109375" style="30" customWidth="1"/>
    <col min="10002" max="10002" width="5.28515625" style="30" customWidth="1"/>
    <col min="10003" max="10003" width="6.28515625" style="30" bestFit="1" customWidth="1"/>
    <col min="10004" max="10004" width="4.7109375" style="30" customWidth="1"/>
    <col min="10005" max="10006" width="7.7109375" style="30" customWidth="1"/>
    <col min="10007" max="10007" width="5.7109375" style="30" customWidth="1"/>
    <col min="10008" max="10008" width="1.7109375" style="30" customWidth="1"/>
    <col min="10009" max="10012" width="4.7109375" style="30" customWidth="1"/>
    <col min="10013" max="10013" width="5.42578125" style="30" customWidth="1"/>
    <col min="10014" max="10014" width="6.28515625" style="30" bestFit="1" customWidth="1"/>
    <col min="10015" max="10015" width="4.7109375" style="30" customWidth="1"/>
    <col min="10016" max="10017" width="7.7109375" style="30" customWidth="1"/>
    <col min="10018" max="10018" width="5.7109375" style="30" customWidth="1"/>
    <col min="10019" max="10242" width="9.140625" style="30"/>
    <col min="10243" max="10246" width="4.7109375" style="30" customWidth="1"/>
    <col min="10247" max="10247" width="5.28515625" style="30" customWidth="1"/>
    <col min="10248" max="10248" width="6.28515625" style="30" bestFit="1" customWidth="1"/>
    <col min="10249" max="10249" width="4.7109375" style="30" customWidth="1"/>
    <col min="10250" max="10251" width="7.7109375" style="30" customWidth="1"/>
    <col min="10252" max="10252" width="5.7109375" style="30" customWidth="1"/>
    <col min="10253" max="10253" width="1.7109375" style="30" customWidth="1"/>
    <col min="10254" max="10257" width="4.7109375" style="30" customWidth="1"/>
    <col min="10258" max="10258" width="5.28515625" style="30" customWidth="1"/>
    <col min="10259" max="10259" width="6.28515625" style="30" bestFit="1" customWidth="1"/>
    <col min="10260" max="10260" width="4.7109375" style="30" customWidth="1"/>
    <col min="10261" max="10262" width="7.7109375" style="30" customWidth="1"/>
    <col min="10263" max="10263" width="5.7109375" style="30" customWidth="1"/>
    <col min="10264" max="10264" width="1.7109375" style="30" customWidth="1"/>
    <col min="10265" max="10268" width="4.7109375" style="30" customWidth="1"/>
    <col min="10269" max="10269" width="5.42578125" style="30" customWidth="1"/>
    <col min="10270" max="10270" width="6.28515625" style="30" bestFit="1" customWidth="1"/>
    <col min="10271" max="10271" width="4.7109375" style="30" customWidth="1"/>
    <col min="10272" max="10273" width="7.7109375" style="30" customWidth="1"/>
    <col min="10274" max="10274" width="5.7109375" style="30" customWidth="1"/>
    <col min="10275" max="10498" width="9.140625" style="30"/>
    <col min="10499" max="10502" width="4.7109375" style="30" customWidth="1"/>
    <col min="10503" max="10503" width="5.28515625" style="30" customWidth="1"/>
    <col min="10504" max="10504" width="6.28515625" style="30" bestFit="1" customWidth="1"/>
    <col min="10505" max="10505" width="4.7109375" style="30" customWidth="1"/>
    <col min="10506" max="10507" width="7.7109375" style="30" customWidth="1"/>
    <col min="10508" max="10508" width="5.7109375" style="30" customWidth="1"/>
    <col min="10509" max="10509" width="1.7109375" style="30" customWidth="1"/>
    <col min="10510" max="10513" width="4.7109375" style="30" customWidth="1"/>
    <col min="10514" max="10514" width="5.28515625" style="30" customWidth="1"/>
    <col min="10515" max="10515" width="6.28515625" style="30" bestFit="1" customWidth="1"/>
    <col min="10516" max="10516" width="4.7109375" style="30" customWidth="1"/>
    <col min="10517" max="10518" width="7.7109375" style="30" customWidth="1"/>
    <col min="10519" max="10519" width="5.7109375" style="30" customWidth="1"/>
    <col min="10520" max="10520" width="1.7109375" style="30" customWidth="1"/>
    <col min="10521" max="10524" width="4.7109375" style="30" customWidth="1"/>
    <col min="10525" max="10525" width="5.42578125" style="30" customWidth="1"/>
    <col min="10526" max="10526" width="6.28515625" style="30" bestFit="1" customWidth="1"/>
    <col min="10527" max="10527" width="4.7109375" style="30" customWidth="1"/>
    <col min="10528" max="10529" width="7.7109375" style="30" customWidth="1"/>
    <col min="10530" max="10530" width="5.7109375" style="30" customWidth="1"/>
    <col min="10531" max="10754" width="9.140625" style="30"/>
    <col min="10755" max="10758" width="4.7109375" style="30" customWidth="1"/>
    <col min="10759" max="10759" width="5.28515625" style="30" customWidth="1"/>
    <col min="10760" max="10760" width="6.28515625" style="30" bestFit="1" customWidth="1"/>
    <col min="10761" max="10761" width="4.7109375" style="30" customWidth="1"/>
    <col min="10762" max="10763" width="7.7109375" style="30" customWidth="1"/>
    <col min="10764" max="10764" width="5.7109375" style="30" customWidth="1"/>
    <col min="10765" max="10765" width="1.7109375" style="30" customWidth="1"/>
    <col min="10766" max="10769" width="4.7109375" style="30" customWidth="1"/>
    <col min="10770" max="10770" width="5.28515625" style="30" customWidth="1"/>
    <col min="10771" max="10771" width="6.28515625" style="30" bestFit="1" customWidth="1"/>
    <col min="10772" max="10772" width="4.7109375" style="30" customWidth="1"/>
    <col min="10773" max="10774" width="7.7109375" style="30" customWidth="1"/>
    <col min="10775" max="10775" width="5.7109375" style="30" customWidth="1"/>
    <col min="10776" max="10776" width="1.7109375" style="30" customWidth="1"/>
    <col min="10777" max="10780" width="4.7109375" style="30" customWidth="1"/>
    <col min="10781" max="10781" width="5.42578125" style="30" customWidth="1"/>
    <col min="10782" max="10782" width="6.28515625" style="30" bestFit="1" customWidth="1"/>
    <col min="10783" max="10783" width="4.7109375" style="30" customWidth="1"/>
    <col min="10784" max="10785" width="7.7109375" style="30" customWidth="1"/>
    <col min="10786" max="10786" width="5.7109375" style="30" customWidth="1"/>
    <col min="10787" max="11010" width="9.140625" style="30"/>
    <col min="11011" max="11014" width="4.7109375" style="30" customWidth="1"/>
    <col min="11015" max="11015" width="5.28515625" style="30" customWidth="1"/>
    <col min="11016" max="11016" width="6.28515625" style="30" bestFit="1" customWidth="1"/>
    <col min="11017" max="11017" width="4.7109375" style="30" customWidth="1"/>
    <col min="11018" max="11019" width="7.7109375" style="30" customWidth="1"/>
    <col min="11020" max="11020" width="5.7109375" style="30" customWidth="1"/>
    <col min="11021" max="11021" width="1.7109375" style="30" customWidth="1"/>
    <col min="11022" max="11025" width="4.7109375" style="30" customWidth="1"/>
    <col min="11026" max="11026" width="5.28515625" style="30" customWidth="1"/>
    <col min="11027" max="11027" width="6.28515625" style="30" bestFit="1" customWidth="1"/>
    <col min="11028" max="11028" width="4.7109375" style="30" customWidth="1"/>
    <col min="11029" max="11030" width="7.7109375" style="30" customWidth="1"/>
    <col min="11031" max="11031" width="5.7109375" style="30" customWidth="1"/>
    <col min="11032" max="11032" width="1.7109375" style="30" customWidth="1"/>
    <col min="11033" max="11036" width="4.7109375" style="30" customWidth="1"/>
    <col min="11037" max="11037" width="5.42578125" style="30" customWidth="1"/>
    <col min="11038" max="11038" width="6.28515625" style="30" bestFit="1" customWidth="1"/>
    <col min="11039" max="11039" width="4.7109375" style="30" customWidth="1"/>
    <col min="11040" max="11041" width="7.7109375" style="30" customWidth="1"/>
    <col min="11042" max="11042" width="5.7109375" style="30" customWidth="1"/>
    <col min="11043" max="11266" width="9.140625" style="30"/>
    <col min="11267" max="11270" width="4.7109375" style="30" customWidth="1"/>
    <col min="11271" max="11271" width="5.28515625" style="30" customWidth="1"/>
    <col min="11272" max="11272" width="6.28515625" style="30" bestFit="1" customWidth="1"/>
    <col min="11273" max="11273" width="4.7109375" style="30" customWidth="1"/>
    <col min="11274" max="11275" width="7.7109375" style="30" customWidth="1"/>
    <col min="11276" max="11276" width="5.7109375" style="30" customWidth="1"/>
    <col min="11277" max="11277" width="1.7109375" style="30" customWidth="1"/>
    <col min="11278" max="11281" width="4.7109375" style="30" customWidth="1"/>
    <col min="11282" max="11282" width="5.28515625" style="30" customWidth="1"/>
    <col min="11283" max="11283" width="6.28515625" style="30" bestFit="1" customWidth="1"/>
    <col min="11284" max="11284" width="4.7109375" style="30" customWidth="1"/>
    <col min="11285" max="11286" width="7.7109375" style="30" customWidth="1"/>
    <col min="11287" max="11287" width="5.7109375" style="30" customWidth="1"/>
    <col min="11288" max="11288" width="1.7109375" style="30" customWidth="1"/>
    <col min="11289" max="11292" width="4.7109375" style="30" customWidth="1"/>
    <col min="11293" max="11293" width="5.42578125" style="30" customWidth="1"/>
    <col min="11294" max="11294" width="6.28515625" style="30" bestFit="1" customWidth="1"/>
    <col min="11295" max="11295" width="4.7109375" style="30" customWidth="1"/>
    <col min="11296" max="11297" width="7.7109375" style="30" customWidth="1"/>
    <col min="11298" max="11298" width="5.7109375" style="30" customWidth="1"/>
    <col min="11299" max="11522" width="9.140625" style="30"/>
    <col min="11523" max="11526" width="4.7109375" style="30" customWidth="1"/>
    <col min="11527" max="11527" width="5.28515625" style="30" customWidth="1"/>
    <col min="11528" max="11528" width="6.28515625" style="30" bestFit="1" customWidth="1"/>
    <col min="11529" max="11529" width="4.7109375" style="30" customWidth="1"/>
    <col min="11530" max="11531" width="7.7109375" style="30" customWidth="1"/>
    <col min="11532" max="11532" width="5.7109375" style="30" customWidth="1"/>
    <col min="11533" max="11533" width="1.7109375" style="30" customWidth="1"/>
    <col min="11534" max="11537" width="4.7109375" style="30" customWidth="1"/>
    <col min="11538" max="11538" width="5.28515625" style="30" customWidth="1"/>
    <col min="11539" max="11539" width="6.28515625" style="30" bestFit="1" customWidth="1"/>
    <col min="11540" max="11540" width="4.7109375" style="30" customWidth="1"/>
    <col min="11541" max="11542" width="7.7109375" style="30" customWidth="1"/>
    <col min="11543" max="11543" width="5.7109375" style="30" customWidth="1"/>
    <col min="11544" max="11544" width="1.7109375" style="30" customWidth="1"/>
    <col min="11545" max="11548" width="4.7109375" style="30" customWidth="1"/>
    <col min="11549" max="11549" width="5.42578125" style="30" customWidth="1"/>
    <col min="11550" max="11550" width="6.28515625" style="30" bestFit="1" customWidth="1"/>
    <col min="11551" max="11551" width="4.7109375" style="30" customWidth="1"/>
    <col min="11552" max="11553" width="7.7109375" style="30" customWidth="1"/>
    <col min="11554" max="11554" width="5.7109375" style="30" customWidth="1"/>
    <col min="11555" max="11778" width="9.140625" style="30"/>
    <col min="11779" max="11782" width="4.7109375" style="30" customWidth="1"/>
    <col min="11783" max="11783" width="5.28515625" style="30" customWidth="1"/>
    <col min="11784" max="11784" width="6.28515625" style="30" bestFit="1" customWidth="1"/>
    <col min="11785" max="11785" width="4.7109375" style="30" customWidth="1"/>
    <col min="11786" max="11787" width="7.7109375" style="30" customWidth="1"/>
    <col min="11788" max="11788" width="5.7109375" style="30" customWidth="1"/>
    <col min="11789" max="11789" width="1.7109375" style="30" customWidth="1"/>
    <col min="11790" max="11793" width="4.7109375" style="30" customWidth="1"/>
    <col min="11794" max="11794" width="5.28515625" style="30" customWidth="1"/>
    <col min="11795" max="11795" width="6.28515625" style="30" bestFit="1" customWidth="1"/>
    <col min="11796" max="11796" width="4.7109375" style="30" customWidth="1"/>
    <col min="11797" max="11798" width="7.7109375" style="30" customWidth="1"/>
    <col min="11799" max="11799" width="5.7109375" style="30" customWidth="1"/>
    <col min="11800" max="11800" width="1.7109375" style="30" customWidth="1"/>
    <col min="11801" max="11804" width="4.7109375" style="30" customWidth="1"/>
    <col min="11805" max="11805" width="5.42578125" style="30" customWidth="1"/>
    <col min="11806" max="11806" width="6.28515625" style="30" bestFit="1" customWidth="1"/>
    <col min="11807" max="11807" width="4.7109375" style="30" customWidth="1"/>
    <col min="11808" max="11809" width="7.7109375" style="30" customWidth="1"/>
    <col min="11810" max="11810" width="5.7109375" style="30" customWidth="1"/>
    <col min="11811" max="12034" width="9.140625" style="30"/>
    <col min="12035" max="12038" width="4.7109375" style="30" customWidth="1"/>
    <col min="12039" max="12039" width="5.28515625" style="30" customWidth="1"/>
    <col min="12040" max="12040" width="6.28515625" style="30" bestFit="1" customWidth="1"/>
    <col min="12041" max="12041" width="4.7109375" style="30" customWidth="1"/>
    <col min="12042" max="12043" width="7.7109375" style="30" customWidth="1"/>
    <col min="12044" max="12044" width="5.7109375" style="30" customWidth="1"/>
    <col min="12045" max="12045" width="1.7109375" style="30" customWidth="1"/>
    <col min="12046" max="12049" width="4.7109375" style="30" customWidth="1"/>
    <col min="12050" max="12050" width="5.28515625" style="30" customWidth="1"/>
    <col min="12051" max="12051" width="6.28515625" style="30" bestFit="1" customWidth="1"/>
    <col min="12052" max="12052" width="4.7109375" style="30" customWidth="1"/>
    <col min="12053" max="12054" width="7.7109375" style="30" customWidth="1"/>
    <col min="12055" max="12055" width="5.7109375" style="30" customWidth="1"/>
    <col min="12056" max="12056" width="1.7109375" style="30" customWidth="1"/>
    <col min="12057" max="12060" width="4.7109375" style="30" customWidth="1"/>
    <col min="12061" max="12061" width="5.42578125" style="30" customWidth="1"/>
    <col min="12062" max="12062" width="6.28515625" style="30" bestFit="1" customWidth="1"/>
    <col min="12063" max="12063" width="4.7109375" style="30" customWidth="1"/>
    <col min="12064" max="12065" width="7.7109375" style="30" customWidth="1"/>
    <col min="12066" max="12066" width="5.7109375" style="30" customWidth="1"/>
    <col min="12067" max="12290" width="9.140625" style="30"/>
    <col min="12291" max="12294" width="4.7109375" style="30" customWidth="1"/>
    <col min="12295" max="12295" width="5.28515625" style="30" customWidth="1"/>
    <col min="12296" max="12296" width="6.28515625" style="30" bestFit="1" customWidth="1"/>
    <col min="12297" max="12297" width="4.7109375" style="30" customWidth="1"/>
    <col min="12298" max="12299" width="7.7109375" style="30" customWidth="1"/>
    <col min="12300" max="12300" width="5.7109375" style="30" customWidth="1"/>
    <col min="12301" max="12301" width="1.7109375" style="30" customWidth="1"/>
    <col min="12302" max="12305" width="4.7109375" style="30" customWidth="1"/>
    <col min="12306" max="12306" width="5.28515625" style="30" customWidth="1"/>
    <col min="12307" max="12307" width="6.28515625" style="30" bestFit="1" customWidth="1"/>
    <col min="12308" max="12308" width="4.7109375" style="30" customWidth="1"/>
    <col min="12309" max="12310" width="7.7109375" style="30" customWidth="1"/>
    <col min="12311" max="12311" width="5.7109375" style="30" customWidth="1"/>
    <col min="12312" max="12312" width="1.7109375" style="30" customWidth="1"/>
    <col min="12313" max="12316" width="4.7109375" style="30" customWidth="1"/>
    <col min="12317" max="12317" width="5.42578125" style="30" customWidth="1"/>
    <col min="12318" max="12318" width="6.28515625" style="30" bestFit="1" customWidth="1"/>
    <col min="12319" max="12319" width="4.7109375" style="30" customWidth="1"/>
    <col min="12320" max="12321" width="7.7109375" style="30" customWidth="1"/>
    <col min="12322" max="12322" width="5.7109375" style="30" customWidth="1"/>
    <col min="12323" max="12546" width="9.140625" style="30"/>
    <col min="12547" max="12550" width="4.7109375" style="30" customWidth="1"/>
    <col min="12551" max="12551" width="5.28515625" style="30" customWidth="1"/>
    <col min="12552" max="12552" width="6.28515625" style="30" bestFit="1" customWidth="1"/>
    <col min="12553" max="12553" width="4.7109375" style="30" customWidth="1"/>
    <col min="12554" max="12555" width="7.7109375" style="30" customWidth="1"/>
    <col min="12556" max="12556" width="5.7109375" style="30" customWidth="1"/>
    <col min="12557" max="12557" width="1.7109375" style="30" customWidth="1"/>
    <col min="12558" max="12561" width="4.7109375" style="30" customWidth="1"/>
    <col min="12562" max="12562" width="5.28515625" style="30" customWidth="1"/>
    <col min="12563" max="12563" width="6.28515625" style="30" bestFit="1" customWidth="1"/>
    <col min="12564" max="12564" width="4.7109375" style="30" customWidth="1"/>
    <col min="12565" max="12566" width="7.7109375" style="30" customWidth="1"/>
    <col min="12567" max="12567" width="5.7109375" style="30" customWidth="1"/>
    <col min="12568" max="12568" width="1.7109375" style="30" customWidth="1"/>
    <col min="12569" max="12572" width="4.7109375" style="30" customWidth="1"/>
    <col min="12573" max="12573" width="5.42578125" style="30" customWidth="1"/>
    <col min="12574" max="12574" width="6.28515625" style="30" bestFit="1" customWidth="1"/>
    <col min="12575" max="12575" width="4.7109375" style="30" customWidth="1"/>
    <col min="12576" max="12577" width="7.7109375" style="30" customWidth="1"/>
    <col min="12578" max="12578" width="5.7109375" style="30" customWidth="1"/>
    <col min="12579" max="12802" width="9.140625" style="30"/>
    <col min="12803" max="12806" width="4.7109375" style="30" customWidth="1"/>
    <col min="12807" max="12807" width="5.28515625" style="30" customWidth="1"/>
    <col min="12808" max="12808" width="6.28515625" style="30" bestFit="1" customWidth="1"/>
    <col min="12809" max="12809" width="4.7109375" style="30" customWidth="1"/>
    <col min="12810" max="12811" width="7.7109375" style="30" customWidth="1"/>
    <col min="12812" max="12812" width="5.7109375" style="30" customWidth="1"/>
    <col min="12813" max="12813" width="1.7109375" style="30" customWidth="1"/>
    <col min="12814" max="12817" width="4.7109375" style="30" customWidth="1"/>
    <col min="12818" max="12818" width="5.28515625" style="30" customWidth="1"/>
    <col min="12819" max="12819" width="6.28515625" style="30" bestFit="1" customWidth="1"/>
    <col min="12820" max="12820" width="4.7109375" style="30" customWidth="1"/>
    <col min="12821" max="12822" width="7.7109375" style="30" customWidth="1"/>
    <col min="12823" max="12823" width="5.7109375" style="30" customWidth="1"/>
    <col min="12824" max="12824" width="1.7109375" style="30" customWidth="1"/>
    <col min="12825" max="12828" width="4.7109375" style="30" customWidth="1"/>
    <col min="12829" max="12829" width="5.42578125" style="30" customWidth="1"/>
    <col min="12830" max="12830" width="6.28515625" style="30" bestFit="1" customWidth="1"/>
    <col min="12831" max="12831" width="4.7109375" style="30" customWidth="1"/>
    <col min="12832" max="12833" width="7.7109375" style="30" customWidth="1"/>
    <col min="12834" max="12834" width="5.7109375" style="30" customWidth="1"/>
    <col min="12835" max="13058" width="9.140625" style="30"/>
    <col min="13059" max="13062" width="4.7109375" style="30" customWidth="1"/>
    <col min="13063" max="13063" width="5.28515625" style="30" customWidth="1"/>
    <col min="13064" max="13064" width="6.28515625" style="30" bestFit="1" customWidth="1"/>
    <col min="13065" max="13065" width="4.7109375" style="30" customWidth="1"/>
    <col min="13066" max="13067" width="7.7109375" style="30" customWidth="1"/>
    <col min="13068" max="13068" width="5.7109375" style="30" customWidth="1"/>
    <col min="13069" max="13069" width="1.7109375" style="30" customWidth="1"/>
    <col min="13070" max="13073" width="4.7109375" style="30" customWidth="1"/>
    <col min="13074" max="13074" width="5.28515625" style="30" customWidth="1"/>
    <col min="13075" max="13075" width="6.28515625" style="30" bestFit="1" customWidth="1"/>
    <col min="13076" max="13076" width="4.7109375" style="30" customWidth="1"/>
    <col min="13077" max="13078" width="7.7109375" style="30" customWidth="1"/>
    <col min="13079" max="13079" width="5.7109375" style="30" customWidth="1"/>
    <col min="13080" max="13080" width="1.7109375" style="30" customWidth="1"/>
    <col min="13081" max="13084" width="4.7109375" style="30" customWidth="1"/>
    <col min="13085" max="13085" width="5.42578125" style="30" customWidth="1"/>
    <col min="13086" max="13086" width="6.28515625" style="30" bestFit="1" customWidth="1"/>
    <col min="13087" max="13087" width="4.7109375" style="30" customWidth="1"/>
    <col min="13088" max="13089" width="7.7109375" style="30" customWidth="1"/>
    <col min="13090" max="13090" width="5.7109375" style="30" customWidth="1"/>
    <col min="13091" max="13314" width="9.140625" style="30"/>
    <col min="13315" max="13318" width="4.7109375" style="30" customWidth="1"/>
    <col min="13319" max="13319" width="5.28515625" style="30" customWidth="1"/>
    <col min="13320" max="13320" width="6.28515625" style="30" bestFit="1" customWidth="1"/>
    <col min="13321" max="13321" width="4.7109375" style="30" customWidth="1"/>
    <col min="13322" max="13323" width="7.7109375" style="30" customWidth="1"/>
    <col min="13324" max="13324" width="5.7109375" style="30" customWidth="1"/>
    <col min="13325" max="13325" width="1.7109375" style="30" customWidth="1"/>
    <col min="13326" max="13329" width="4.7109375" style="30" customWidth="1"/>
    <col min="13330" max="13330" width="5.28515625" style="30" customWidth="1"/>
    <col min="13331" max="13331" width="6.28515625" style="30" bestFit="1" customWidth="1"/>
    <col min="13332" max="13332" width="4.7109375" style="30" customWidth="1"/>
    <col min="13333" max="13334" width="7.7109375" style="30" customWidth="1"/>
    <col min="13335" max="13335" width="5.7109375" style="30" customWidth="1"/>
    <col min="13336" max="13336" width="1.7109375" style="30" customWidth="1"/>
    <col min="13337" max="13340" width="4.7109375" style="30" customWidth="1"/>
    <col min="13341" max="13341" width="5.42578125" style="30" customWidth="1"/>
    <col min="13342" max="13342" width="6.28515625" style="30" bestFit="1" customWidth="1"/>
    <col min="13343" max="13343" width="4.7109375" style="30" customWidth="1"/>
    <col min="13344" max="13345" width="7.7109375" style="30" customWidth="1"/>
    <col min="13346" max="13346" width="5.7109375" style="30" customWidth="1"/>
    <col min="13347" max="13570" width="9.140625" style="30"/>
    <col min="13571" max="13574" width="4.7109375" style="30" customWidth="1"/>
    <col min="13575" max="13575" width="5.28515625" style="30" customWidth="1"/>
    <col min="13576" max="13576" width="6.28515625" style="30" bestFit="1" customWidth="1"/>
    <col min="13577" max="13577" width="4.7109375" style="30" customWidth="1"/>
    <col min="13578" max="13579" width="7.7109375" style="30" customWidth="1"/>
    <col min="13580" max="13580" width="5.7109375" style="30" customWidth="1"/>
    <col min="13581" max="13581" width="1.7109375" style="30" customWidth="1"/>
    <col min="13582" max="13585" width="4.7109375" style="30" customWidth="1"/>
    <col min="13586" max="13586" width="5.28515625" style="30" customWidth="1"/>
    <col min="13587" max="13587" width="6.28515625" style="30" bestFit="1" customWidth="1"/>
    <col min="13588" max="13588" width="4.7109375" style="30" customWidth="1"/>
    <col min="13589" max="13590" width="7.7109375" style="30" customWidth="1"/>
    <col min="13591" max="13591" width="5.7109375" style="30" customWidth="1"/>
    <col min="13592" max="13592" width="1.7109375" style="30" customWidth="1"/>
    <col min="13593" max="13596" width="4.7109375" style="30" customWidth="1"/>
    <col min="13597" max="13597" width="5.42578125" style="30" customWidth="1"/>
    <col min="13598" max="13598" width="6.28515625" style="30" bestFit="1" customWidth="1"/>
    <col min="13599" max="13599" width="4.7109375" style="30" customWidth="1"/>
    <col min="13600" max="13601" width="7.7109375" style="30" customWidth="1"/>
    <col min="13602" max="13602" width="5.7109375" style="30" customWidth="1"/>
    <col min="13603" max="13826" width="9.140625" style="30"/>
    <col min="13827" max="13830" width="4.7109375" style="30" customWidth="1"/>
    <col min="13831" max="13831" width="5.28515625" style="30" customWidth="1"/>
    <col min="13832" max="13832" width="6.28515625" style="30" bestFit="1" customWidth="1"/>
    <col min="13833" max="13833" width="4.7109375" style="30" customWidth="1"/>
    <col min="13834" max="13835" width="7.7109375" style="30" customWidth="1"/>
    <col min="13836" max="13836" width="5.7109375" style="30" customWidth="1"/>
    <col min="13837" max="13837" width="1.7109375" style="30" customWidth="1"/>
    <col min="13838" max="13841" width="4.7109375" style="30" customWidth="1"/>
    <col min="13842" max="13842" width="5.28515625" style="30" customWidth="1"/>
    <col min="13843" max="13843" width="6.28515625" style="30" bestFit="1" customWidth="1"/>
    <col min="13844" max="13844" width="4.7109375" style="30" customWidth="1"/>
    <col min="13845" max="13846" width="7.7109375" style="30" customWidth="1"/>
    <col min="13847" max="13847" width="5.7109375" style="30" customWidth="1"/>
    <col min="13848" max="13848" width="1.7109375" style="30" customWidth="1"/>
    <col min="13849" max="13852" width="4.7109375" style="30" customWidth="1"/>
    <col min="13853" max="13853" width="5.42578125" style="30" customWidth="1"/>
    <col min="13854" max="13854" width="6.28515625" style="30" bestFit="1" customWidth="1"/>
    <col min="13855" max="13855" width="4.7109375" style="30" customWidth="1"/>
    <col min="13856" max="13857" width="7.7109375" style="30" customWidth="1"/>
    <col min="13858" max="13858" width="5.7109375" style="30" customWidth="1"/>
    <col min="13859" max="14082" width="9.140625" style="30"/>
    <col min="14083" max="14086" width="4.7109375" style="30" customWidth="1"/>
    <col min="14087" max="14087" width="5.28515625" style="30" customWidth="1"/>
    <col min="14088" max="14088" width="6.28515625" style="30" bestFit="1" customWidth="1"/>
    <col min="14089" max="14089" width="4.7109375" style="30" customWidth="1"/>
    <col min="14090" max="14091" width="7.7109375" style="30" customWidth="1"/>
    <col min="14092" max="14092" width="5.7109375" style="30" customWidth="1"/>
    <col min="14093" max="14093" width="1.7109375" style="30" customWidth="1"/>
    <col min="14094" max="14097" width="4.7109375" style="30" customWidth="1"/>
    <col min="14098" max="14098" width="5.28515625" style="30" customWidth="1"/>
    <col min="14099" max="14099" width="6.28515625" style="30" bestFit="1" customWidth="1"/>
    <col min="14100" max="14100" width="4.7109375" style="30" customWidth="1"/>
    <col min="14101" max="14102" width="7.7109375" style="30" customWidth="1"/>
    <col min="14103" max="14103" width="5.7109375" style="30" customWidth="1"/>
    <col min="14104" max="14104" width="1.7109375" style="30" customWidth="1"/>
    <col min="14105" max="14108" width="4.7109375" style="30" customWidth="1"/>
    <col min="14109" max="14109" width="5.42578125" style="30" customWidth="1"/>
    <col min="14110" max="14110" width="6.28515625" style="30" bestFit="1" customWidth="1"/>
    <col min="14111" max="14111" width="4.7109375" style="30" customWidth="1"/>
    <col min="14112" max="14113" width="7.7109375" style="30" customWidth="1"/>
    <col min="14114" max="14114" width="5.7109375" style="30" customWidth="1"/>
    <col min="14115" max="14338" width="9.140625" style="30"/>
    <col min="14339" max="14342" width="4.7109375" style="30" customWidth="1"/>
    <col min="14343" max="14343" width="5.28515625" style="30" customWidth="1"/>
    <col min="14344" max="14344" width="6.28515625" style="30" bestFit="1" customWidth="1"/>
    <col min="14345" max="14345" width="4.7109375" style="30" customWidth="1"/>
    <col min="14346" max="14347" width="7.7109375" style="30" customWidth="1"/>
    <col min="14348" max="14348" width="5.7109375" style="30" customWidth="1"/>
    <col min="14349" max="14349" width="1.7109375" style="30" customWidth="1"/>
    <col min="14350" max="14353" width="4.7109375" style="30" customWidth="1"/>
    <col min="14354" max="14354" width="5.28515625" style="30" customWidth="1"/>
    <col min="14355" max="14355" width="6.28515625" style="30" bestFit="1" customWidth="1"/>
    <col min="14356" max="14356" width="4.7109375" style="30" customWidth="1"/>
    <col min="14357" max="14358" width="7.7109375" style="30" customWidth="1"/>
    <col min="14359" max="14359" width="5.7109375" style="30" customWidth="1"/>
    <col min="14360" max="14360" width="1.7109375" style="30" customWidth="1"/>
    <col min="14361" max="14364" width="4.7109375" style="30" customWidth="1"/>
    <col min="14365" max="14365" width="5.42578125" style="30" customWidth="1"/>
    <col min="14366" max="14366" width="6.28515625" style="30" bestFit="1" customWidth="1"/>
    <col min="14367" max="14367" width="4.7109375" style="30" customWidth="1"/>
    <col min="14368" max="14369" width="7.7109375" style="30" customWidth="1"/>
    <col min="14370" max="14370" width="5.7109375" style="30" customWidth="1"/>
    <col min="14371" max="14594" width="9.140625" style="30"/>
    <col min="14595" max="14598" width="4.7109375" style="30" customWidth="1"/>
    <col min="14599" max="14599" width="5.28515625" style="30" customWidth="1"/>
    <col min="14600" max="14600" width="6.28515625" style="30" bestFit="1" customWidth="1"/>
    <col min="14601" max="14601" width="4.7109375" style="30" customWidth="1"/>
    <col min="14602" max="14603" width="7.7109375" style="30" customWidth="1"/>
    <col min="14604" max="14604" width="5.7109375" style="30" customWidth="1"/>
    <col min="14605" max="14605" width="1.7109375" style="30" customWidth="1"/>
    <col min="14606" max="14609" width="4.7109375" style="30" customWidth="1"/>
    <col min="14610" max="14610" width="5.28515625" style="30" customWidth="1"/>
    <col min="14611" max="14611" width="6.28515625" style="30" bestFit="1" customWidth="1"/>
    <col min="14612" max="14612" width="4.7109375" style="30" customWidth="1"/>
    <col min="14613" max="14614" width="7.7109375" style="30" customWidth="1"/>
    <col min="14615" max="14615" width="5.7109375" style="30" customWidth="1"/>
    <col min="14616" max="14616" width="1.7109375" style="30" customWidth="1"/>
    <col min="14617" max="14620" width="4.7109375" style="30" customWidth="1"/>
    <col min="14621" max="14621" width="5.42578125" style="30" customWidth="1"/>
    <col min="14622" max="14622" width="6.28515625" style="30" bestFit="1" customWidth="1"/>
    <col min="14623" max="14623" width="4.7109375" style="30" customWidth="1"/>
    <col min="14624" max="14625" width="7.7109375" style="30" customWidth="1"/>
    <col min="14626" max="14626" width="5.7109375" style="30" customWidth="1"/>
    <col min="14627" max="14850" width="9.140625" style="30"/>
    <col min="14851" max="14854" width="4.7109375" style="30" customWidth="1"/>
    <col min="14855" max="14855" width="5.28515625" style="30" customWidth="1"/>
    <col min="14856" max="14856" width="6.28515625" style="30" bestFit="1" customWidth="1"/>
    <col min="14857" max="14857" width="4.7109375" style="30" customWidth="1"/>
    <col min="14858" max="14859" width="7.7109375" style="30" customWidth="1"/>
    <col min="14860" max="14860" width="5.7109375" style="30" customWidth="1"/>
    <col min="14861" max="14861" width="1.7109375" style="30" customWidth="1"/>
    <col min="14862" max="14865" width="4.7109375" style="30" customWidth="1"/>
    <col min="14866" max="14866" width="5.28515625" style="30" customWidth="1"/>
    <col min="14867" max="14867" width="6.28515625" style="30" bestFit="1" customWidth="1"/>
    <col min="14868" max="14868" width="4.7109375" style="30" customWidth="1"/>
    <col min="14869" max="14870" width="7.7109375" style="30" customWidth="1"/>
    <col min="14871" max="14871" width="5.7109375" style="30" customWidth="1"/>
    <col min="14872" max="14872" width="1.7109375" style="30" customWidth="1"/>
    <col min="14873" max="14876" width="4.7109375" style="30" customWidth="1"/>
    <col min="14877" max="14877" width="5.42578125" style="30" customWidth="1"/>
    <col min="14878" max="14878" width="6.28515625" style="30" bestFit="1" customWidth="1"/>
    <col min="14879" max="14879" width="4.7109375" style="30" customWidth="1"/>
    <col min="14880" max="14881" width="7.7109375" style="30" customWidth="1"/>
    <col min="14882" max="14882" width="5.7109375" style="30" customWidth="1"/>
    <col min="14883" max="15106" width="9.140625" style="30"/>
    <col min="15107" max="15110" width="4.7109375" style="30" customWidth="1"/>
    <col min="15111" max="15111" width="5.28515625" style="30" customWidth="1"/>
    <col min="15112" max="15112" width="6.28515625" style="30" bestFit="1" customWidth="1"/>
    <col min="15113" max="15113" width="4.7109375" style="30" customWidth="1"/>
    <col min="15114" max="15115" width="7.7109375" style="30" customWidth="1"/>
    <col min="15116" max="15116" width="5.7109375" style="30" customWidth="1"/>
    <col min="15117" max="15117" width="1.7109375" style="30" customWidth="1"/>
    <col min="15118" max="15121" width="4.7109375" style="30" customWidth="1"/>
    <col min="15122" max="15122" width="5.28515625" style="30" customWidth="1"/>
    <col min="15123" max="15123" width="6.28515625" style="30" bestFit="1" customWidth="1"/>
    <col min="15124" max="15124" width="4.7109375" style="30" customWidth="1"/>
    <col min="15125" max="15126" width="7.7109375" style="30" customWidth="1"/>
    <col min="15127" max="15127" width="5.7109375" style="30" customWidth="1"/>
    <col min="15128" max="15128" width="1.7109375" style="30" customWidth="1"/>
    <col min="15129" max="15132" width="4.7109375" style="30" customWidth="1"/>
    <col min="15133" max="15133" width="5.42578125" style="30" customWidth="1"/>
    <col min="15134" max="15134" width="6.28515625" style="30" bestFit="1" customWidth="1"/>
    <col min="15135" max="15135" width="4.7109375" style="30" customWidth="1"/>
    <col min="15136" max="15137" width="7.7109375" style="30" customWidth="1"/>
    <col min="15138" max="15138" width="5.7109375" style="30" customWidth="1"/>
    <col min="15139" max="15362" width="9.140625" style="30"/>
    <col min="15363" max="15366" width="4.7109375" style="30" customWidth="1"/>
    <col min="15367" max="15367" width="5.28515625" style="30" customWidth="1"/>
    <col min="15368" max="15368" width="6.28515625" style="30" bestFit="1" customWidth="1"/>
    <col min="15369" max="15369" width="4.7109375" style="30" customWidth="1"/>
    <col min="15370" max="15371" width="7.7109375" style="30" customWidth="1"/>
    <col min="15372" max="15372" width="5.7109375" style="30" customWidth="1"/>
    <col min="15373" max="15373" width="1.7109375" style="30" customWidth="1"/>
    <col min="15374" max="15377" width="4.7109375" style="30" customWidth="1"/>
    <col min="15378" max="15378" width="5.28515625" style="30" customWidth="1"/>
    <col min="15379" max="15379" width="6.28515625" style="30" bestFit="1" customWidth="1"/>
    <col min="15380" max="15380" width="4.7109375" style="30" customWidth="1"/>
    <col min="15381" max="15382" width="7.7109375" style="30" customWidth="1"/>
    <col min="15383" max="15383" width="5.7109375" style="30" customWidth="1"/>
    <col min="15384" max="15384" width="1.7109375" style="30" customWidth="1"/>
    <col min="15385" max="15388" width="4.7109375" style="30" customWidth="1"/>
    <col min="15389" max="15389" width="5.42578125" style="30" customWidth="1"/>
    <col min="15390" max="15390" width="6.28515625" style="30" bestFit="1" customWidth="1"/>
    <col min="15391" max="15391" width="4.7109375" style="30" customWidth="1"/>
    <col min="15392" max="15393" width="7.7109375" style="30" customWidth="1"/>
    <col min="15394" max="15394" width="5.7109375" style="30" customWidth="1"/>
    <col min="15395" max="15618" width="9.140625" style="30"/>
    <col min="15619" max="15622" width="4.7109375" style="30" customWidth="1"/>
    <col min="15623" max="15623" width="5.28515625" style="30" customWidth="1"/>
    <col min="15624" max="15624" width="6.28515625" style="30" bestFit="1" customWidth="1"/>
    <col min="15625" max="15625" width="4.7109375" style="30" customWidth="1"/>
    <col min="15626" max="15627" width="7.7109375" style="30" customWidth="1"/>
    <col min="15628" max="15628" width="5.7109375" style="30" customWidth="1"/>
    <col min="15629" max="15629" width="1.7109375" style="30" customWidth="1"/>
    <col min="15630" max="15633" width="4.7109375" style="30" customWidth="1"/>
    <col min="15634" max="15634" width="5.28515625" style="30" customWidth="1"/>
    <col min="15635" max="15635" width="6.28515625" style="30" bestFit="1" customWidth="1"/>
    <col min="15636" max="15636" width="4.7109375" style="30" customWidth="1"/>
    <col min="15637" max="15638" width="7.7109375" style="30" customWidth="1"/>
    <col min="15639" max="15639" width="5.7109375" style="30" customWidth="1"/>
    <col min="15640" max="15640" width="1.7109375" style="30" customWidth="1"/>
    <col min="15641" max="15644" width="4.7109375" style="30" customWidth="1"/>
    <col min="15645" max="15645" width="5.42578125" style="30" customWidth="1"/>
    <col min="15646" max="15646" width="6.28515625" style="30" bestFit="1" customWidth="1"/>
    <col min="15647" max="15647" width="4.7109375" style="30" customWidth="1"/>
    <col min="15648" max="15649" width="7.7109375" style="30" customWidth="1"/>
    <col min="15650" max="15650" width="5.7109375" style="30" customWidth="1"/>
    <col min="15651" max="15874" width="9.140625" style="30"/>
    <col min="15875" max="15878" width="4.7109375" style="30" customWidth="1"/>
    <col min="15879" max="15879" width="5.28515625" style="30" customWidth="1"/>
    <col min="15880" max="15880" width="6.28515625" style="30" bestFit="1" customWidth="1"/>
    <col min="15881" max="15881" width="4.7109375" style="30" customWidth="1"/>
    <col min="15882" max="15883" width="7.7109375" style="30" customWidth="1"/>
    <col min="15884" max="15884" width="5.7109375" style="30" customWidth="1"/>
    <col min="15885" max="15885" width="1.7109375" style="30" customWidth="1"/>
    <col min="15886" max="15889" width="4.7109375" style="30" customWidth="1"/>
    <col min="15890" max="15890" width="5.28515625" style="30" customWidth="1"/>
    <col min="15891" max="15891" width="6.28515625" style="30" bestFit="1" customWidth="1"/>
    <col min="15892" max="15892" width="4.7109375" style="30" customWidth="1"/>
    <col min="15893" max="15894" width="7.7109375" style="30" customWidth="1"/>
    <col min="15895" max="15895" width="5.7109375" style="30" customWidth="1"/>
    <col min="15896" max="15896" width="1.7109375" style="30" customWidth="1"/>
    <col min="15897" max="15900" width="4.7109375" style="30" customWidth="1"/>
    <col min="15901" max="15901" width="5.42578125" style="30" customWidth="1"/>
    <col min="15902" max="15902" width="6.28515625" style="30" bestFit="1" customWidth="1"/>
    <col min="15903" max="15903" width="4.7109375" style="30" customWidth="1"/>
    <col min="15904" max="15905" width="7.7109375" style="30" customWidth="1"/>
    <col min="15906" max="15906" width="5.7109375" style="30" customWidth="1"/>
    <col min="15907" max="16130" width="9.140625" style="30"/>
    <col min="16131" max="16134" width="4.7109375" style="30" customWidth="1"/>
    <col min="16135" max="16135" width="5.28515625" style="30" customWidth="1"/>
    <col min="16136" max="16136" width="6.28515625" style="30" bestFit="1" customWidth="1"/>
    <col min="16137" max="16137" width="4.7109375" style="30" customWidth="1"/>
    <col min="16138" max="16139" width="7.7109375" style="30" customWidth="1"/>
    <col min="16140" max="16140" width="5.7109375" style="30" customWidth="1"/>
    <col min="16141" max="16141" width="1.7109375" style="30" customWidth="1"/>
    <col min="16142" max="16145" width="4.7109375" style="30" customWidth="1"/>
    <col min="16146" max="16146" width="5.28515625" style="30" customWidth="1"/>
    <col min="16147" max="16147" width="6.28515625" style="30" bestFit="1" customWidth="1"/>
    <col min="16148" max="16148" width="4.7109375" style="30" customWidth="1"/>
    <col min="16149" max="16150" width="7.7109375" style="30" customWidth="1"/>
    <col min="16151" max="16151" width="5.7109375" style="30" customWidth="1"/>
    <col min="16152" max="16152" width="1.7109375" style="30" customWidth="1"/>
    <col min="16153" max="16156" width="4.7109375" style="30" customWidth="1"/>
    <col min="16157" max="16157" width="5.42578125" style="30" customWidth="1"/>
    <col min="16158" max="16158" width="6.28515625" style="30" bestFit="1" customWidth="1"/>
    <col min="16159" max="16159" width="4.7109375" style="30" customWidth="1"/>
    <col min="16160" max="16161" width="7.7109375" style="30" customWidth="1"/>
    <col min="16162" max="16162" width="5.7109375" style="30" customWidth="1"/>
    <col min="16163" max="16384" width="9.140625" style="30"/>
  </cols>
  <sheetData>
    <row r="1" spans="1:34" ht="21.95" customHeight="1" x14ac:dyDescent="0.35">
      <c r="A1" s="31"/>
      <c r="B1" s="32"/>
      <c r="C1" s="32"/>
      <c r="D1" s="32"/>
      <c r="E1" s="32"/>
      <c r="F1" s="32"/>
      <c r="G1" s="32"/>
      <c r="H1" s="32"/>
      <c r="I1" s="32"/>
      <c r="J1" s="32"/>
      <c r="K1" s="32"/>
      <c r="L1" s="513"/>
      <c r="M1" s="514"/>
      <c r="N1" s="514"/>
      <c r="O1" s="514"/>
      <c r="P1" s="514"/>
      <c r="Q1" s="514"/>
      <c r="R1" s="514"/>
      <c r="S1" s="514"/>
      <c r="T1" s="514"/>
      <c r="U1" s="514"/>
      <c r="V1" s="514"/>
      <c r="W1" s="514"/>
      <c r="X1" s="514"/>
      <c r="Y1" s="32"/>
      <c r="Z1" s="32"/>
      <c r="AA1" s="33"/>
      <c r="AB1" s="515"/>
      <c r="AC1" s="515"/>
      <c r="AD1" s="515"/>
      <c r="AE1" s="515"/>
      <c r="AF1" s="515"/>
      <c r="AG1" s="515"/>
      <c r="AH1" s="516"/>
    </row>
    <row r="2" spans="1:34" ht="21.95" customHeight="1" x14ac:dyDescent="0.3">
      <c r="A2" s="533" t="str">
        <f>'PG1'!$A$2</f>
        <v>DATABASE: 12 DEC</v>
      </c>
      <c r="B2" s="534"/>
      <c r="C2" s="534"/>
      <c r="D2" s="534"/>
      <c r="E2" s="117"/>
      <c r="F2" s="34"/>
      <c r="G2" s="34"/>
      <c r="H2" s="34"/>
      <c r="I2" s="34"/>
      <c r="J2" s="34"/>
      <c r="K2" s="34"/>
      <c r="L2" s="517" t="s">
        <v>6</v>
      </c>
      <c r="M2" s="518"/>
      <c r="N2" s="518"/>
      <c r="O2" s="518"/>
      <c r="P2" s="518"/>
      <c r="Q2" s="518"/>
      <c r="R2" s="518"/>
      <c r="S2" s="518"/>
      <c r="T2" s="518"/>
      <c r="U2" s="518"/>
      <c r="V2" s="518"/>
      <c r="W2" s="518"/>
      <c r="X2" s="518"/>
      <c r="Y2" s="34"/>
      <c r="Z2" s="34"/>
      <c r="AA2" s="35" t="s">
        <v>7</v>
      </c>
      <c r="AB2" s="519">
        <f>TS!W74</f>
        <v>0</v>
      </c>
      <c r="AC2" s="519"/>
      <c r="AD2" s="519"/>
      <c r="AE2" s="519"/>
      <c r="AF2" s="519"/>
      <c r="AG2" s="519"/>
      <c r="AH2" s="520"/>
    </row>
    <row r="3" spans="1:34" ht="21.95" customHeight="1" x14ac:dyDescent="0.3">
      <c r="A3" s="36"/>
      <c r="B3" s="37"/>
      <c r="C3" s="37"/>
      <c r="D3" s="37"/>
      <c r="E3" s="37"/>
      <c r="F3" s="37"/>
      <c r="G3" s="37"/>
      <c r="H3" s="531" t="s">
        <v>24</v>
      </c>
      <c r="I3" s="531"/>
      <c r="J3" s="531"/>
      <c r="K3" s="531"/>
      <c r="L3" s="532" t="s">
        <v>21</v>
      </c>
      <c r="M3" s="532"/>
      <c r="N3" s="532"/>
      <c r="O3" s="532"/>
      <c r="P3" s="532"/>
      <c r="Q3" s="532"/>
      <c r="R3" s="532"/>
      <c r="S3" s="532"/>
      <c r="T3" s="532"/>
      <c r="U3" s="532"/>
      <c r="V3" s="532"/>
      <c r="W3" s="532"/>
      <c r="X3" s="532"/>
      <c r="Y3" s="37"/>
      <c r="Z3" s="37"/>
      <c r="AA3" s="37"/>
      <c r="AB3" s="37"/>
      <c r="AC3" s="37"/>
      <c r="AD3" s="37"/>
      <c r="AE3" s="37"/>
      <c r="AF3" s="521" t="s">
        <v>23</v>
      </c>
      <c r="AG3" s="521"/>
      <c r="AH3" s="38"/>
    </row>
    <row r="4" spans="1:34" ht="21.95" customHeight="1" x14ac:dyDescent="0.3">
      <c r="A4" s="50" t="s">
        <v>8</v>
      </c>
      <c r="B4" s="50" t="s">
        <v>9</v>
      </c>
      <c r="C4" s="50" t="s">
        <v>9</v>
      </c>
      <c r="D4" s="50" t="s">
        <v>10</v>
      </c>
      <c r="E4" s="50" t="s">
        <v>70</v>
      </c>
      <c r="F4" s="50" t="s">
        <v>11</v>
      </c>
      <c r="G4" s="50" t="s">
        <v>12</v>
      </c>
      <c r="H4" s="50" t="s">
        <v>13</v>
      </c>
      <c r="I4" s="50" t="s">
        <v>14</v>
      </c>
      <c r="J4" s="50" t="s">
        <v>15</v>
      </c>
      <c r="K4" s="50" t="s">
        <v>16</v>
      </c>
      <c r="L4" s="51"/>
      <c r="M4" s="50" t="s">
        <v>8</v>
      </c>
      <c r="N4" s="50" t="s">
        <v>9</v>
      </c>
      <c r="O4" s="50" t="s">
        <v>9</v>
      </c>
      <c r="P4" s="50" t="s">
        <v>10</v>
      </c>
      <c r="Q4" s="50" t="s">
        <v>70</v>
      </c>
      <c r="R4" s="50" t="s">
        <v>11</v>
      </c>
      <c r="S4" s="50" t="s">
        <v>12</v>
      </c>
      <c r="T4" s="50" t="s">
        <v>13</v>
      </c>
      <c r="U4" s="50" t="s">
        <v>14</v>
      </c>
      <c r="V4" s="50" t="s">
        <v>15</v>
      </c>
      <c r="W4" s="50" t="s">
        <v>16</v>
      </c>
      <c r="X4" s="101"/>
      <c r="Y4" s="55" t="s">
        <v>8</v>
      </c>
      <c r="Z4" s="55" t="s">
        <v>9</v>
      </c>
      <c r="AA4" s="55" t="s">
        <v>9</v>
      </c>
      <c r="AB4" s="55" t="s">
        <v>10</v>
      </c>
      <c r="AC4" s="55" t="s">
        <v>11</v>
      </c>
      <c r="AD4" s="55" t="s">
        <v>12</v>
      </c>
      <c r="AE4" s="55" t="s">
        <v>13</v>
      </c>
      <c r="AF4" s="55" t="s">
        <v>14</v>
      </c>
      <c r="AG4" s="55" t="s">
        <v>15</v>
      </c>
      <c r="AH4" s="55" t="s">
        <v>16</v>
      </c>
    </row>
    <row r="5" spans="1:34" ht="21.95" customHeight="1" x14ac:dyDescent="0.3">
      <c r="A5" s="52"/>
      <c r="B5" s="52" t="s">
        <v>17</v>
      </c>
      <c r="C5" s="52" t="s">
        <v>18</v>
      </c>
      <c r="D5" s="52" t="s">
        <v>19</v>
      </c>
      <c r="E5" s="52"/>
      <c r="F5" s="52"/>
      <c r="G5" s="52"/>
      <c r="H5" s="52" t="s">
        <v>0</v>
      </c>
      <c r="I5" s="52" t="s">
        <v>0</v>
      </c>
      <c r="J5" s="52" t="s">
        <v>20</v>
      </c>
      <c r="K5" s="52"/>
      <c r="L5" s="51"/>
      <c r="M5" s="52"/>
      <c r="N5" s="52" t="s">
        <v>17</v>
      </c>
      <c r="O5" s="52" t="s">
        <v>18</v>
      </c>
      <c r="P5" s="52" t="s">
        <v>19</v>
      </c>
      <c r="Q5" s="52"/>
      <c r="R5" s="52"/>
      <c r="S5" s="52"/>
      <c r="T5" s="52" t="s">
        <v>0</v>
      </c>
      <c r="U5" s="52" t="s">
        <v>0</v>
      </c>
      <c r="V5" s="52" t="s">
        <v>20</v>
      </c>
      <c r="W5" s="52"/>
      <c r="X5" s="102"/>
      <c r="Y5" s="52"/>
      <c r="Z5" s="52" t="s">
        <v>17</v>
      </c>
      <c r="AA5" s="52" t="s">
        <v>18</v>
      </c>
      <c r="AB5" s="52" t="s">
        <v>19</v>
      </c>
      <c r="AC5" s="52"/>
      <c r="AD5" s="52"/>
      <c r="AE5" s="52" t="s">
        <v>0</v>
      </c>
      <c r="AF5" s="52" t="s">
        <v>0</v>
      </c>
      <c r="AG5" s="52" t="s">
        <v>20</v>
      </c>
      <c r="AH5" s="52"/>
    </row>
    <row r="6" spans="1:34" ht="21.95" customHeight="1" x14ac:dyDescent="0.25">
      <c r="A6" s="511" t="s">
        <v>37</v>
      </c>
      <c r="B6" s="511"/>
      <c r="C6" s="511"/>
      <c r="D6" s="511"/>
      <c r="E6" s="511"/>
      <c r="F6" s="511"/>
      <c r="G6" s="511"/>
      <c r="H6" s="511"/>
      <c r="I6" s="511"/>
      <c r="J6" s="511"/>
      <c r="K6" s="511"/>
      <c r="L6" s="53"/>
      <c r="M6" s="511" t="s">
        <v>37</v>
      </c>
      <c r="N6" s="511"/>
      <c r="O6" s="511"/>
      <c r="P6" s="511"/>
      <c r="Q6" s="511"/>
      <c r="R6" s="511"/>
      <c r="S6" s="511"/>
      <c r="T6" s="511"/>
      <c r="U6" s="511"/>
      <c r="V6" s="511"/>
      <c r="W6" s="511"/>
      <c r="X6" s="53"/>
      <c r="Y6" s="526"/>
      <c r="Z6" s="526"/>
      <c r="AA6" s="526"/>
      <c r="AB6" s="526"/>
      <c r="AC6" s="526"/>
      <c r="AD6" s="526"/>
      <c r="AE6" s="526"/>
      <c r="AF6" s="526"/>
      <c r="AG6" s="526"/>
      <c r="AH6" s="526"/>
    </row>
    <row r="7" spans="1:34" ht="21.95" customHeight="1" x14ac:dyDescent="0.25">
      <c r="A7" s="512"/>
      <c r="B7" s="512"/>
      <c r="C7" s="512"/>
      <c r="D7" s="512"/>
      <c r="E7" s="512"/>
      <c r="F7" s="512"/>
      <c r="G7" s="512"/>
      <c r="H7" s="512"/>
      <c r="I7" s="512"/>
      <c r="J7" s="512"/>
      <c r="K7" s="512"/>
      <c r="L7" s="54"/>
      <c r="M7" s="512"/>
      <c r="N7" s="512"/>
      <c r="O7" s="512"/>
      <c r="P7" s="512"/>
      <c r="Q7" s="512"/>
      <c r="R7" s="512"/>
      <c r="S7" s="512"/>
      <c r="T7" s="512"/>
      <c r="U7" s="512"/>
      <c r="V7" s="512"/>
      <c r="W7" s="512"/>
      <c r="X7" s="54"/>
      <c r="Y7" s="526"/>
      <c r="Z7" s="526"/>
      <c r="AA7" s="526"/>
      <c r="AB7" s="526"/>
      <c r="AC7" s="526"/>
      <c r="AD7" s="526"/>
      <c r="AE7" s="526"/>
      <c r="AF7" s="526"/>
      <c r="AG7" s="526"/>
      <c r="AH7" s="526"/>
    </row>
    <row r="8" spans="1:34" ht="21.95" customHeight="1" x14ac:dyDescent="0.3">
      <c r="A8" s="80"/>
      <c r="B8" s="81" t="s">
        <v>39</v>
      </c>
      <c r="C8" s="80" t="s">
        <v>40</v>
      </c>
      <c r="D8" s="81">
        <v>13</v>
      </c>
      <c r="E8" s="80">
        <v>601</v>
      </c>
      <c r="F8" s="80">
        <v>433</v>
      </c>
      <c r="G8" s="81">
        <v>1920</v>
      </c>
      <c r="H8" s="80"/>
      <c r="I8" s="87"/>
      <c r="J8" s="80"/>
      <c r="K8" s="83">
        <v>560</v>
      </c>
      <c r="L8" s="54"/>
      <c r="M8" s="80"/>
      <c r="N8" s="81" t="s">
        <v>39</v>
      </c>
      <c r="O8" s="80" t="s">
        <v>40</v>
      </c>
      <c r="P8" s="81">
        <v>39</v>
      </c>
      <c r="Q8" s="80">
        <v>601</v>
      </c>
      <c r="R8" s="80">
        <v>634</v>
      </c>
      <c r="S8" s="81">
        <v>939</v>
      </c>
      <c r="T8" s="80"/>
      <c r="U8" s="80"/>
      <c r="V8" s="80"/>
      <c r="W8" s="83">
        <v>130</v>
      </c>
      <c r="X8" s="54"/>
      <c r="Y8" s="61"/>
      <c r="Z8" s="61"/>
      <c r="AA8" s="61"/>
      <c r="AB8" s="61"/>
      <c r="AC8" s="61"/>
      <c r="AD8" s="61"/>
      <c r="AE8" s="61"/>
      <c r="AF8" s="61"/>
      <c r="AG8" s="61"/>
      <c r="AH8" s="61"/>
    </row>
    <row r="9" spans="1:34" ht="21.95" customHeight="1" x14ac:dyDescent="0.3">
      <c r="A9" s="52"/>
      <c r="B9" s="103" t="s">
        <v>39</v>
      </c>
      <c r="C9" s="52" t="s">
        <v>40</v>
      </c>
      <c r="D9" s="103">
        <v>9</v>
      </c>
      <c r="E9" s="52">
        <v>601</v>
      </c>
      <c r="F9" s="52">
        <v>440</v>
      </c>
      <c r="G9" s="103">
        <v>1950</v>
      </c>
      <c r="H9" s="52"/>
      <c r="I9" s="63"/>
      <c r="J9" s="52"/>
      <c r="K9" s="104">
        <v>532</v>
      </c>
      <c r="L9" s="54"/>
      <c r="M9" s="52"/>
      <c r="N9" s="103" t="s">
        <v>39</v>
      </c>
      <c r="O9" s="52" t="s">
        <v>40</v>
      </c>
      <c r="P9" s="103">
        <v>40</v>
      </c>
      <c r="Q9" s="52">
        <v>601</v>
      </c>
      <c r="R9" s="52">
        <v>643</v>
      </c>
      <c r="S9" s="103">
        <v>1010</v>
      </c>
      <c r="T9" s="52"/>
      <c r="U9" s="52"/>
      <c r="V9" s="52"/>
      <c r="W9" s="104">
        <v>134</v>
      </c>
      <c r="X9" s="54"/>
      <c r="Y9" s="61"/>
      <c r="Z9" s="61"/>
      <c r="AA9" s="61"/>
      <c r="AB9" s="61"/>
      <c r="AC9" s="61"/>
      <c r="AD9" s="61"/>
      <c r="AE9" s="61"/>
      <c r="AF9" s="61"/>
      <c r="AG9" s="61"/>
      <c r="AH9" s="61"/>
    </row>
    <row r="10" spans="1:34" ht="21.95" customHeight="1" x14ac:dyDescent="0.3">
      <c r="A10" s="80"/>
      <c r="B10" s="81" t="s">
        <v>39</v>
      </c>
      <c r="C10" s="80" t="s">
        <v>40</v>
      </c>
      <c r="D10" s="81">
        <v>1</v>
      </c>
      <c r="E10" s="80">
        <v>601</v>
      </c>
      <c r="F10" s="80">
        <v>445</v>
      </c>
      <c r="G10" s="81">
        <v>2143</v>
      </c>
      <c r="H10" s="80"/>
      <c r="I10" s="87"/>
      <c r="J10" s="80"/>
      <c r="K10" s="83">
        <v>587</v>
      </c>
      <c r="L10" s="54"/>
      <c r="M10" s="80"/>
      <c r="N10" s="81" t="s">
        <v>39</v>
      </c>
      <c r="O10" s="80" t="s">
        <v>40</v>
      </c>
      <c r="P10" s="81">
        <v>25</v>
      </c>
      <c r="Q10" s="80">
        <v>601</v>
      </c>
      <c r="R10" s="80">
        <v>648</v>
      </c>
      <c r="S10" s="81">
        <v>802</v>
      </c>
      <c r="T10" s="80"/>
      <c r="U10" s="80"/>
      <c r="V10" s="80"/>
      <c r="W10" s="83">
        <v>58</v>
      </c>
      <c r="X10" s="54"/>
      <c r="Y10" s="61"/>
      <c r="Z10" s="61"/>
      <c r="AA10" s="61"/>
      <c r="AB10" s="61"/>
      <c r="AC10" s="61"/>
      <c r="AD10" s="61"/>
      <c r="AE10" s="61"/>
      <c r="AF10" s="61"/>
      <c r="AG10" s="61"/>
      <c r="AH10" s="61"/>
    </row>
    <row r="11" spans="1:34" ht="21.95" customHeight="1" x14ac:dyDescent="0.3">
      <c r="A11" s="52"/>
      <c r="B11" s="103" t="s">
        <v>39</v>
      </c>
      <c r="C11" s="52" t="s">
        <v>40</v>
      </c>
      <c r="D11" s="103">
        <v>41</v>
      </c>
      <c r="E11" s="52">
        <v>601</v>
      </c>
      <c r="F11" s="52">
        <v>453</v>
      </c>
      <c r="G11" s="103">
        <v>843</v>
      </c>
      <c r="H11" s="52"/>
      <c r="I11" s="63"/>
      <c r="J11" s="52"/>
      <c r="K11" s="104">
        <v>165</v>
      </c>
      <c r="L11" s="54"/>
      <c r="M11" s="52"/>
      <c r="N11" s="103" t="s">
        <v>39</v>
      </c>
      <c r="O11" s="52" t="s">
        <v>40</v>
      </c>
      <c r="P11" s="103">
        <v>43</v>
      </c>
      <c r="Q11" s="52">
        <v>601</v>
      </c>
      <c r="R11" s="52">
        <v>655</v>
      </c>
      <c r="S11" s="103">
        <v>951</v>
      </c>
      <c r="T11" s="52"/>
      <c r="U11" s="52"/>
      <c r="V11" s="52"/>
      <c r="W11" s="104">
        <v>117</v>
      </c>
      <c r="X11" s="54"/>
      <c r="Y11" s="61"/>
      <c r="Z11" s="61"/>
      <c r="AA11" s="61"/>
      <c r="AB11" s="61"/>
      <c r="AC11" s="61"/>
      <c r="AD11" s="61"/>
      <c r="AE11" s="61"/>
      <c r="AF11" s="106"/>
      <c r="AG11" s="61"/>
      <c r="AH11" s="61"/>
    </row>
    <row r="12" spans="1:34" ht="21.95" customHeight="1" x14ac:dyDescent="0.3">
      <c r="A12" s="80"/>
      <c r="B12" s="81" t="s">
        <v>39</v>
      </c>
      <c r="C12" s="80" t="s">
        <v>40</v>
      </c>
      <c r="D12" s="81">
        <v>7</v>
      </c>
      <c r="E12" s="80">
        <v>601</v>
      </c>
      <c r="F12" s="80">
        <v>501</v>
      </c>
      <c r="G12" s="81">
        <v>2125</v>
      </c>
      <c r="H12" s="80"/>
      <c r="I12" s="88"/>
      <c r="J12" s="80"/>
      <c r="K12" s="83">
        <v>627</v>
      </c>
      <c r="L12" s="54"/>
      <c r="M12" s="80"/>
      <c r="N12" s="81" t="s">
        <v>39</v>
      </c>
      <c r="O12" s="80" t="s">
        <v>40</v>
      </c>
      <c r="P12" s="81">
        <v>23</v>
      </c>
      <c r="Q12" s="80">
        <v>601</v>
      </c>
      <c r="R12" s="80">
        <v>657</v>
      </c>
      <c r="S12" s="81">
        <v>820</v>
      </c>
      <c r="T12" s="80"/>
      <c r="U12" s="80"/>
      <c r="V12" s="80"/>
      <c r="W12" s="83">
        <v>61</v>
      </c>
      <c r="X12" s="54"/>
      <c r="Y12" s="61"/>
      <c r="Z12" s="61"/>
      <c r="AA12" s="61"/>
      <c r="AB12" s="61"/>
      <c r="AC12" s="61"/>
      <c r="AD12" s="61"/>
      <c r="AE12" s="61"/>
      <c r="AF12" s="61"/>
      <c r="AG12" s="61"/>
      <c r="AH12" s="61"/>
    </row>
    <row r="13" spans="1:34" ht="21.95" customHeight="1" x14ac:dyDescent="0.3">
      <c r="A13" s="52"/>
      <c r="B13" s="103" t="s">
        <v>39</v>
      </c>
      <c r="C13" s="52" t="s">
        <v>40</v>
      </c>
      <c r="D13" s="103">
        <v>22</v>
      </c>
      <c r="E13" s="52">
        <v>601</v>
      </c>
      <c r="F13" s="52">
        <v>506</v>
      </c>
      <c r="G13" s="103">
        <v>849</v>
      </c>
      <c r="H13" s="52"/>
      <c r="I13" s="58"/>
      <c r="J13" s="52"/>
      <c r="K13" s="104">
        <v>170</v>
      </c>
      <c r="L13" s="54"/>
      <c r="M13" s="52"/>
      <c r="N13" s="103"/>
      <c r="O13" s="52"/>
      <c r="P13" s="103"/>
      <c r="Q13" s="52"/>
      <c r="R13" s="52"/>
      <c r="S13" s="103"/>
      <c r="T13" s="52"/>
      <c r="U13" s="52"/>
      <c r="V13" s="52"/>
      <c r="W13" s="104"/>
      <c r="X13" s="54"/>
      <c r="Y13" s="61"/>
      <c r="Z13" s="61"/>
      <c r="AA13" s="61"/>
      <c r="AB13" s="61"/>
      <c r="AC13" s="61"/>
      <c r="AD13" s="61"/>
      <c r="AE13" s="61"/>
      <c r="AF13" s="106"/>
      <c r="AG13" s="61"/>
      <c r="AH13" s="61"/>
    </row>
    <row r="14" spans="1:34" ht="21.95" customHeight="1" x14ac:dyDescent="0.3">
      <c r="A14" s="80"/>
      <c r="B14" s="81" t="s">
        <v>39</v>
      </c>
      <c r="C14" s="80" t="s">
        <v>40</v>
      </c>
      <c r="D14" s="81">
        <v>3</v>
      </c>
      <c r="E14" s="80">
        <v>601</v>
      </c>
      <c r="F14" s="80">
        <v>509</v>
      </c>
      <c r="G14" s="81">
        <v>2013</v>
      </c>
      <c r="H14" s="80"/>
      <c r="I14" s="87"/>
      <c r="J14" s="80"/>
      <c r="K14" s="83">
        <v>559</v>
      </c>
      <c r="L14" s="54"/>
      <c r="M14" s="511" t="s">
        <v>38</v>
      </c>
      <c r="N14" s="511"/>
      <c r="O14" s="511"/>
      <c r="P14" s="511"/>
      <c r="Q14" s="511"/>
      <c r="R14" s="511"/>
      <c r="S14" s="511"/>
      <c r="T14" s="511"/>
      <c r="U14" s="511"/>
      <c r="V14" s="511"/>
      <c r="W14" s="511"/>
      <c r="X14" s="54"/>
      <c r="Y14" s="61"/>
      <c r="Z14" s="61"/>
      <c r="AA14" s="61"/>
      <c r="AB14" s="61"/>
      <c r="AC14" s="61"/>
      <c r="AD14" s="61"/>
      <c r="AE14" s="61"/>
      <c r="AF14" s="61"/>
      <c r="AG14" s="61"/>
      <c r="AH14" s="61"/>
    </row>
    <row r="15" spans="1:34" ht="21.95" customHeight="1" x14ac:dyDescent="0.3">
      <c r="A15" s="52"/>
      <c r="B15" s="103" t="s">
        <v>39</v>
      </c>
      <c r="C15" s="52" t="s">
        <v>40</v>
      </c>
      <c r="D15" s="103">
        <v>20</v>
      </c>
      <c r="E15" s="52">
        <v>601</v>
      </c>
      <c r="F15" s="52">
        <v>517</v>
      </c>
      <c r="G15" s="103">
        <v>1020</v>
      </c>
      <c r="H15" s="52"/>
      <c r="I15" s="63"/>
      <c r="J15" s="52"/>
      <c r="K15" s="104">
        <v>233</v>
      </c>
      <c r="L15" s="54"/>
      <c r="M15" s="512"/>
      <c r="N15" s="512"/>
      <c r="O15" s="512"/>
      <c r="P15" s="512"/>
      <c r="Q15" s="512"/>
      <c r="R15" s="512"/>
      <c r="S15" s="512"/>
      <c r="T15" s="512"/>
      <c r="U15" s="512"/>
      <c r="V15" s="512"/>
      <c r="W15" s="512"/>
      <c r="X15" s="54"/>
      <c r="Y15" s="61"/>
      <c r="Z15" s="61"/>
      <c r="AA15" s="61"/>
      <c r="AB15" s="61"/>
      <c r="AC15" s="61"/>
      <c r="AD15" s="61"/>
      <c r="AE15" s="61"/>
      <c r="AF15" s="61"/>
      <c r="AG15" s="61"/>
      <c r="AH15" s="61"/>
    </row>
    <row r="16" spans="1:34" ht="21.95" customHeight="1" x14ac:dyDescent="0.3">
      <c r="A16" s="80"/>
      <c r="B16" s="81" t="s">
        <v>39</v>
      </c>
      <c r="C16" s="80" t="s">
        <v>40</v>
      </c>
      <c r="D16" s="82">
        <v>34</v>
      </c>
      <c r="E16" s="80">
        <v>601</v>
      </c>
      <c r="F16" s="80">
        <v>524</v>
      </c>
      <c r="G16" s="80">
        <v>757</v>
      </c>
      <c r="H16" s="80"/>
      <c r="I16" s="88"/>
      <c r="J16" s="80"/>
      <c r="K16" s="83">
        <v>99</v>
      </c>
      <c r="L16" s="54"/>
      <c r="M16" s="80"/>
      <c r="N16" s="81" t="s">
        <v>42</v>
      </c>
      <c r="O16" s="80" t="s">
        <v>40</v>
      </c>
      <c r="P16" s="81">
        <v>8</v>
      </c>
      <c r="Q16" s="80">
        <v>620</v>
      </c>
      <c r="R16" s="80">
        <v>539</v>
      </c>
      <c r="S16" s="81">
        <v>2347</v>
      </c>
      <c r="T16" s="80"/>
      <c r="U16" s="80"/>
      <c r="V16" s="80"/>
      <c r="W16" s="83">
        <v>519</v>
      </c>
      <c r="X16" s="54"/>
      <c r="Y16" s="61"/>
      <c r="Z16" s="61"/>
      <c r="AA16" s="61"/>
      <c r="AB16" s="61"/>
      <c r="AC16" s="61"/>
      <c r="AD16" s="61"/>
      <c r="AE16" s="61"/>
      <c r="AF16" s="61"/>
      <c r="AG16" s="61"/>
      <c r="AH16" s="61"/>
    </row>
    <row r="17" spans="1:34" ht="21.95" customHeight="1" x14ac:dyDescent="0.3">
      <c r="A17" s="52"/>
      <c r="B17" s="103" t="s">
        <v>39</v>
      </c>
      <c r="C17" s="52" t="s">
        <v>40</v>
      </c>
      <c r="D17" s="102">
        <v>26</v>
      </c>
      <c r="E17" s="52">
        <v>601</v>
      </c>
      <c r="F17" s="52">
        <v>533</v>
      </c>
      <c r="G17" s="52">
        <v>843</v>
      </c>
      <c r="H17" s="52"/>
      <c r="I17" s="58"/>
      <c r="J17" s="52"/>
      <c r="K17" s="104">
        <v>139</v>
      </c>
      <c r="L17" s="54"/>
      <c r="M17" s="52"/>
      <c r="N17" s="103" t="s">
        <v>42</v>
      </c>
      <c r="O17" s="52" t="s">
        <v>40</v>
      </c>
      <c r="P17" s="103">
        <v>2</v>
      </c>
      <c r="Q17" s="52">
        <v>620</v>
      </c>
      <c r="R17" s="52">
        <v>638</v>
      </c>
      <c r="S17" s="103">
        <v>2247</v>
      </c>
      <c r="T17" s="52"/>
      <c r="U17" s="52"/>
      <c r="V17" s="52"/>
      <c r="W17" s="104">
        <v>464</v>
      </c>
      <c r="X17" s="54"/>
      <c r="Y17" s="61"/>
      <c r="Z17" s="61"/>
      <c r="AA17" s="61"/>
      <c r="AB17" s="61"/>
      <c r="AC17" s="61"/>
      <c r="AD17" s="61"/>
      <c r="AE17" s="61"/>
      <c r="AF17" s="106"/>
      <c r="AG17" s="61"/>
      <c r="AH17" s="61"/>
    </row>
    <row r="18" spans="1:34" ht="21.95" customHeight="1" x14ac:dyDescent="0.3">
      <c r="A18" s="80"/>
      <c r="B18" s="81" t="s">
        <v>39</v>
      </c>
      <c r="C18" s="80" t="s">
        <v>40</v>
      </c>
      <c r="D18" s="82">
        <v>42</v>
      </c>
      <c r="E18" s="80">
        <v>601</v>
      </c>
      <c r="F18" s="80">
        <v>533</v>
      </c>
      <c r="G18" s="80">
        <v>759</v>
      </c>
      <c r="H18" s="80"/>
      <c r="I18" s="87"/>
      <c r="J18" s="80"/>
      <c r="K18" s="83">
        <v>100</v>
      </c>
      <c r="L18" s="54"/>
      <c r="M18" s="511" t="s">
        <v>67</v>
      </c>
      <c r="N18" s="511"/>
      <c r="O18" s="511"/>
      <c r="P18" s="511"/>
      <c r="Q18" s="511"/>
      <c r="R18" s="511"/>
      <c r="S18" s="511"/>
      <c r="T18" s="511"/>
      <c r="U18" s="511"/>
      <c r="V18" s="511"/>
      <c r="W18" s="511"/>
      <c r="X18" s="54"/>
      <c r="Y18" s="61"/>
      <c r="Z18" s="61"/>
      <c r="AA18" s="61"/>
      <c r="AB18" s="61"/>
      <c r="AC18" s="61"/>
      <c r="AD18" s="61"/>
      <c r="AE18" s="61"/>
      <c r="AF18" s="61"/>
      <c r="AG18" s="61"/>
      <c r="AH18" s="61"/>
    </row>
    <row r="19" spans="1:34" ht="21.95" customHeight="1" x14ac:dyDescent="0.3">
      <c r="A19" s="52"/>
      <c r="B19" s="103" t="s">
        <v>39</v>
      </c>
      <c r="C19" s="52" t="s">
        <v>40</v>
      </c>
      <c r="D19" s="102">
        <v>15</v>
      </c>
      <c r="E19" s="52">
        <v>601</v>
      </c>
      <c r="F19" s="52">
        <v>535</v>
      </c>
      <c r="G19" s="52">
        <v>959</v>
      </c>
      <c r="H19" s="52"/>
      <c r="I19" s="63"/>
      <c r="J19" s="52"/>
      <c r="K19" s="104">
        <v>178</v>
      </c>
      <c r="L19" s="54"/>
      <c r="M19" s="512"/>
      <c r="N19" s="512"/>
      <c r="O19" s="512"/>
      <c r="P19" s="512"/>
      <c r="Q19" s="512"/>
      <c r="R19" s="512"/>
      <c r="S19" s="512"/>
      <c r="T19" s="512"/>
      <c r="U19" s="512"/>
      <c r="V19" s="512"/>
      <c r="W19" s="512"/>
      <c r="X19" s="54"/>
      <c r="Y19" s="61"/>
      <c r="Z19" s="61"/>
      <c r="AA19" s="61"/>
      <c r="AB19" s="61"/>
      <c r="AC19" s="61"/>
      <c r="AD19" s="61"/>
      <c r="AE19" s="61"/>
      <c r="AF19" s="106"/>
      <c r="AG19" s="61"/>
      <c r="AH19" s="61"/>
    </row>
    <row r="20" spans="1:34" ht="21.95" customHeight="1" x14ac:dyDescent="0.3">
      <c r="A20" s="80"/>
      <c r="B20" s="81" t="s">
        <v>39</v>
      </c>
      <c r="C20" s="80" t="s">
        <v>40</v>
      </c>
      <c r="D20" s="82">
        <v>21</v>
      </c>
      <c r="E20" s="80">
        <v>601</v>
      </c>
      <c r="F20" s="80">
        <v>538</v>
      </c>
      <c r="G20" s="80">
        <v>834</v>
      </c>
      <c r="H20" s="80"/>
      <c r="I20" s="88"/>
      <c r="J20" s="80"/>
      <c r="K20" s="83">
        <v>137</v>
      </c>
      <c r="L20" s="54"/>
      <c r="M20" s="121"/>
      <c r="N20" s="122" t="s">
        <v>42</v>
      </c>
      <c r="O20" s="121" t="s">
        <v>40</v>
      </c>
      <c r="P20" s="122">
        <v>1</v>
      </c>
      <c r="Q20" s="121">
        <v>620</v>
      </c>
      <c r="R20" s="121">
        <v>700</v>
      </c>
      <c r="S20" s="122">
        <v>1400</v>
      </c>
      <c r="T20" s="121"/>
      <c r="U20" s="121"/>
      <c r="V20" s="121"/>
      <c r="W20" s="123"/>
      <c r="X20" s="54"/>
      <c r="Y20" s="61"/>
      <c r="Z20" s="61"/>
      <c r="AA20" s="61"/>
      <c r="AB20" s="61"/>
      <c r="AC20" s="61"/>
      <c r="AD20" s="61"/>
      <c r="AE20" s="61"/>
      <c r="AF20" s="61"/>
      <c r="AG20" s="61"/>
      <c r="AH20" s="61"/>
    </row>
    <row r="21" spans="1:34" ht="21.95" customHeight="1" x14ac:dyDescent="0.3">
      <c r="A21" s="52"/>
      <c r="B21" s="103" t="s">
        <v>39</v>
      </c>
      <c r="C21" s="52" t="s">
        <v>40</v>
      </c>
      <c r="D21" s="102">
        <v>28</v>
      </c>
      <c r="E21" s="52">
        <v>601</v>
      </c>
      <c r="F21" s="52">
        <v>538</v>
      </c>
      <c r="G21" s="52">
        <v>906</v>
      </c>
      <c r="H21" s="52"/>
      <c r="I21" s="58"/>
      <c r="J21" s="52"/>
      <c r="K21" s="104">
        <v>159</v>
      </c>
      <c r="L21" s="54"/>
      <c r="M21" s="61"/>
      <c r="N21" s="61"/>
      <c r="O21" s="61"/>
      <c r="P21" s="61"/>
      <c r="Q21" s="118"/>
      <c r="R21" s="61"/>
      <c r="S21" s="61"/>
      <c r="T21" s="61"/>
      <c r="U21" s="61"/>
      <c r="V21" s="61"/>
      <c r="W21" s="61"/>
      <c r="X21" s="54"/>
      <c r="Y21" s="61"/>
      <c r="Z21" s="61"/>
      <c r="AA21" s="61"/>
      <c r="AB21" s="61"/>
      <c r="AC21" s="61"/>
      <c r="AD21" s="61"/>
      <c r="AE21" s="61"/>
      <c r="AF21" s="61"/>
      <c r="AG21" s="61"/>
      <c r="AH21" s="61"/>
    </row>
    <row r="22" spans="1:34" ht="21.95" customHeight="1" x14ac:dyDescent="0.3">
      <c r="A22" s="80"/>
      <c r="B22" s="81" t="s">
        <v>39</v>
      </c>
      <c r="C22" s="80" t="s">
        <v>40</v>
      </c>
      <c r="D22" s="82">
        <v>30</v>
      </c>
      <c r="E22" s="80">
        <v>601</v>
      </c>
      <c r="F22" s="80">
        <v>549</v>
      </c>
      <c r="G22" s="80">
        <v>808</v>
      </c>
      <c r="H22" s="80"/>
      <c r="I22" s="87"/>
      <c r="J22" s="80"/>
      <c r="K22" s="83">
        <v>86</v>
      </c>
      <c r="L22" s="54"/>
      <c r="M22" s="61"/>
      <c r="N22" s="61"/>
      <c r="O22" s="61"/>
      <c r="P22" s="61"/>
      <c r="Q22" s="118"/>
      <c r="R22" s="61"/>
      <c r="S22" s="61"/>
      <c r="T22" s="61"/>
      <c r="U22" s="61"/>
      <c r="V22" s="61"/>
      <c r="W22" s="61"/>
      <c r="X22" s="54"/>
      <c r="Y22" s="61"/>
      <c r="Z22" s="61"/>
      <c r="AA22" s="61"/>
      <c r="AB22" s="61"/>
      <c r="AC22" s="61"/>
      <c r="AD22" s="61"/>
      <c r="AE22" s="61"/>
      <c r="AF22" s="61"/>
      <c r="AG22" s="61"/>
      <c r="AH22" s="61"/>
    </row>
    <row r="23" spans="1:34" ht="21.95" customHeight="1" x14ac:dyDescent="0.3">
      <c r="A23" s="52"/>
      <c r="B23" s="103" t="s">
        <v>39</v>
      </c>
      <c r="C23" s="52" t="s">
        <v>40</v>
      </c>
      <c r="D23" s="102">
        <v>27</v>
      </c>
      <c r="E23" s="52">
        <v>601</v>
      </c>
      <c r="F23" s="52">
        <v>552</v>
      </c>
      <c r="G23" s="52">
        <v>906</v>
      </c>
      <c r="H23" s="52"/>
      <c r="I23" s="63"/>
      <c r="J23" s="52"/>
      <c r="K23" s="104">
        <v>129</v>
      </c>
      <c r="L23" s="54"/>
      <c r="M23" s="61"/>
      <c r="N23" s="61"/>
      <c r="O23" s="61"/>
      <c r="P23" s="61"/>
      <c r="Q23" s="118"/>
      <c r="R23" s="61"/>
      <c r="S23" s="61"/>
      <c r="T23" s="61"/>
      <c r="U23" s="61"/>
      <c r="V23" s="61"/>
      <c r="W23" s="61"/>
      <c r="X23" s="54"/>
      <c r="Y23" s="61"/>
      <c r="Z23" s="61"/>
      <c r="AA23" s="61"/>
      <c r="AB23" s="61"/>
      <c r="AC23" s="61"/>
      <c r="AD23" s="61"/>
      <c r="AE23" s="61"/>
      <c r="AF23" s="61"/>
      <c r="AG23" s="61"/>
      <c r="AH23" s="61"/>
    </row>
    <row r="24" spans="1:34" ht="21.95" customHeight="1" x14ac:dyDescent="0.3">
      <c r="A24" s="80"/>
      <c r="B24" s="81" t="s">
        <v>39</v>
      </c>
      <c r="C24" s="80" t="s">
        <v>40</v>
      </c>
      <c r="D24" s="82">
        <v>38</v>
      </c>
      <c r="E24" s="80">
        <v>601</v>
      </c>
      <c r="F24" s="80">
        <v>555</v>
      </c>
      <c r="G24" s="80">
        <v>852</v>
      </c>
      <c r="H24" s="80"/>
      <c r="I24" s="88"/>
      <c r="J24" s="80"/>
      <c r="K24" s="83">
        <v>136</v>
      </c>
      <c r="L24" s="54"/>
      <c r="M24" s="61"/>
      <c r="N24" s="61"/>
      <c r="O24" s="61"/>
      <c r="P24" s="61"/>
      <c r="Q24" s="118"/>
      <c r="R24" s="61"/>
      <c r="S24" s="61"/>
      <c r="T24" s="61"/>
      <c r="U24" s="61"/>
      <c r="V24" s="61"/>
      <c r="W24" s="61"/>
      <c r="X24" s="54"/>
      <c r="Y24" s="61"/>
      <c r="Z24" s="61"/>
      <c r="AA24" s="61"/>
      <c r="AB24" s="61"/>
      <c r="AC24" s="61"/>
      <c r="AD24" s="61"/>
      <c r="AE24" s="61"/>
      <c r="AF24" s="61"/>
      <c r="AG24" s="61"/>
      <c r="AH24" s="61"/>
    </row>
    <row r="25" spans="1:34" ht="21.95" customHeight="1" x14ac:dyDescent="0.3">
      <c r="A25" s="52"/>
      <c r="B25" s="103" t="s">
        <v>39</v>
      </c>
      <c r="C25" s="52" t="s">
        <v>40</v>
      </c>
      <c r="D25" s="102">
        <v>4</v>
      </c>
      <c r="E25" s="52">
        <v>601</v>
      </c>
      <c r="F25" s="52">
        <v>555</v>
      </c>
      <c r="G25" s="52">
        <v>1934</v>
      </c>
      <c r="H25" s="52"/>
      <c r="I25" s="58"/>
      <c r="J25" s="52"/>
      <c r="K25" s="104">
        <v>523</v>
      </c>
      <c r="L25" s="54"/>
      <c r="M25" s="61"/>
      <c r="N25" s="61"/>
      <c r="O25" s="61"/>
      <c r="P25" s="61"/>
      <c r="Q25" s="118"/>
      <c r="R25" s="535"/>
      <c r="S25" s="535"/>
      <c r="T25" s="535"/>
      <c r="U25" s="61"/>
      <c r="V25" s="61"/>
      <c r="W25" s="61"/>
      <c r="X25" s="54"/>
      <c r="Y25" s="61"/>
      <c r="Z25" s="61"/>
      <c r="AA25" s="61"/>
      <c r="AB25" s="61"/>
      <c r="AC25" s="61"/>
      <c r="AD25" s="61"/>
      <c r="AE25" s="61"/>
      <c r="AF25" s="61"/>
      <c r="AG25" s="61"/>
      <c r="AH25" s="61"/>
    </row>
    <row r="26" spans="1:34" ht="21.95" customHeight="1" x14ac:dyDescent="0.3">
      <c r="A26" s="80"/>
      <c r="B26" s="81" t="s">
        <v>39</v>
      </c>
      <c r="C26" s="80" t="s">
        <v>40</v>
      </c>
      <c r="D26" s="81">
        <v>24</v>
      </c>
      <c r="E26" s="80">
        <v>601</v>
      </c>
      <c r="F26" s="80">
        <v>601</v>
      </c>
      <c r="G26" s="81">
        <v>937</v>
      </c>
      <c r="H26" s="80"/>
      <c r="I26" s="87"/>
      <c r="J26" s="80"/>
      <c r="K26" s="83">
        <v>161</v>
      </c>
      <c r="L26" s="54"/>
      <c r="M26" s="61"/>
      <c r="N26" s="61"/>
      <c r="O26" s="61"/>
      <c r="P26" s="61"/>
      <c r="Q26" s="118"/>
      <c r="R26" s="61"/>
      <c r="S26" s="61"/>
      <c r="T26" s="61"/>
      <c r="U26" s="61"/>
      <c r="V26" s="61"/>
      <c r="W26" s="61"/>
      <c r="X26" s="54"/>
      <c r="Y26" s="61"/>
      <c r="Z26" s="61"/>
      <c r="AA26" s="61"/>
      <c r="AB26" s="61"/>
      <c r="AC26" s="61"/>
      <c r="AD26" s="61"/>
      <c r="AE26" s="61"/>
      <c r="AF26" s="61"/>
      <c r="AG26" s="61"/>
      <c r="AH26" s="61"/>
    </row>
    <row r="27" spans="1:34" ht="21.95" customHeight="1" x14ac:dyDescent="0.3">
      <c r="A27" s="52"/>
      <c r="B27" s="103" t="s">
        <v>39</v>
      </c>
      <c r="C27" s="52" t="s">
        <v>40</v>
      </c>
      <c r="D27" s="103">
        <v>16</v>
      </c>
      <c r="E27" s="52">
        <v>601</v>
      </c>
      <c r="F27" s="52">
        <v>606</v>
      </c>
      <c r="G27" s="103">
        <v>948</v>
      </c>
      <c r="H27" s="52"/>
      <c r="I27" s="63"/>
      <c r="J27" s="52"/>
      <c r="K27" s="104">
        <v>135</v>
      </c>
      <c r="L27" s="54"/>
      <c r="M27" s="61"/>
      <c r="N27" s="61"/>
      <c r="O27" s="61"/>
      <c r="P27" s="61"/>
      <c r="Q27" s="118"/>
      <c r="R27" s="61"/>
      <c r="S27" s="61"/>
      <c r="T27" s="61"/>
      <c r="U27" s="61"/>
      <c r="V27" s="61"/>
      <c r="W27" s="61"/>
      <c r="X27" s="54"/>
      <c r="Y27" s="61"/>
      <c r="Z27" s="61"/>
      <c r="AA27" s="61"/>
      <c r="AB27" s="61"/>
      <c r="AC27" s="61"/>
      <c r="AD27" s="61"/>
      <c r="AE27" s="61"/>
      <c r="AF27" s="61"/>
      <c r="AG27" s="61"/>
      <c r="AH27" s="61"/>
    </row>
    <row r="28" spans="1:34" ht="21.95" customHeight="1" x14ac:dyDescent="0.3">
      <c r="A28" s="80"/>
      <c r="B28" s="81" t="s">
        <v>39</v>
      </c>
      <c r="C28" s="80" t="s">
        <v>40</v>
      </c>
      <c r="D28" s="82">
        <v>31</v>
      </c>
      <c r="E28" s="80">
        <v>601</v>
      </c>
      <c r="F28" s="80">
        <v>610</v>
      </c>
      <c r="G28" s="80">
        <v>907</v>
      </c>
      <c r="H28" s="80"/>
      <c r="I28" s="87"/>
      <c r="J28" s="80"/>
      <c r="K28" s="83">
        <v>129</v>
      </c>
      <c r="L28" s="54"/>
      <c r="M28" s="61"/>
      <c r="N28" s="61"/>
      <c r="O28" s="61"/>
      <c r="P28" s="61"/>
      <c r="Q28" s="118"/>
      <c r="R28" s="61"/>
      <c r="S28" s="61"/>
      <c r="T28" s="61"/>
      <c r="U28" s="61"/>
      <c r="V28" s="61"/>
      <c r="W28" s="61"/>
      <c r="X28" s="54"/>
      <c r="Y28" s="61"/>
      <c r="Z28" s="61"/>
      <c r="AA28" s="61"/>
      <c r="AB28" s="61"/>
      <c r="AC28" s="61"/>
      <c r="AD28" s="61"/>
      <c r="AE28" s="61"/>
      <c r="AF28" s="61"/>
      <c r="AG28" s="61"/>
      <c r="AH28" s="61"/>
    </row>
    <row r="29" spans="1:34" ht="21.95" customHeight="1" x14ac:dyDescent="0.3">
      <c r="A29" s="52"/>
      <c r="B29" s="103" t="s">
        <v>39</v>
      </c>
      <c r="C29" s="52" t="s">
        <v>40</v>
      </c>
      <c r="D29" s="102">
        <v>35</v>
      </c>
      <c r="E29" s="50">
        <v>601</v>
      </c>
      <c r="F29" s="52">
        <v>616</v>
      </c>
      <c r="G29" s="52">
        <v>1022</v>
      </c>
      <c r="H29" s="52"/>
      <c r="I29" s="63"/>
      <c r="J29" s="52"/>
      <c r="K29" s="104">
        <v>157</v>
      </c>
      <c r="L29" s="54"/>
      <c r="M29" s="61"/>
      <c r="N29" s="61"/>
      <c r="O29" s="61"/>
      <c r="P29" s="61"/>
      <c r="Q29" s="118"/>
      <c r="R29" s="61"/>
      <c r="S29" s="61"/>
      <c r="T29" s="61"/>
      <c r="U29" s="61"/>
      <c r="V29" s="61"/>
      <c r="W29" s="61"/>
      <c r="X29" s="54"/>
      <c r="Y29" s="61"/>
      <c r="Z29" s="61"/>
      <c r="AA29" s="61"/>
      <c r="AB29" s="61"/>
      <c r="AC29" s="61"/>
      <c r="AD29" s="61"/>
      <c r="AE29" s="61"/>
      <c r="AF29" s="61"/>
      <c r="AG29" s="61"/>
      <c r="AH29" s="61"/>
    </row>
    <row r="30" spans="1:34" ht="21.95" customHeight="1" x14ac:dyDescent="0.3">
      <c r="A30" s="80"/>
      <c r="B30" s="81" t="s">
        <v>39</v>
      </c>
      <c r="C30" s="80" t="s">
        <v>40</v>
      </c>
      <c r="D30" s="81">
        <v>29</v>
      </c>
      <c r="E30" s="80">
        <v>601</v>
      </c>
      <c r="F30" s="83">
        <v>622</v>
      </c>
      <c r="G30" s="81">
        <v>926</v>
      </c>
      <c r="H30" s="80"/>
      <c r="I30" s="80"/>
      <c r="J30" s="80"/>
      <c r="K30" s="83">
        <v>119</v>
      </c>
      <c r="L30" s="54"/>
      <c r="M30" s="61"/>
      <c r="N30" s="61"/>
      <c r="O30" s="61"/>
      <c r="P30" s="61"/>
      <c r="Q30" s="118"/>
      <c r="R30" s="61"/>
      <c r="S30" s="61"/>
      <c r="T30" s="61"/>
      <c r="U30" s="61"/>
      <c r="V30" s="61"/>
      <c r="W30" s="61"/>
      <c r="X30" s="54"/>
      <c r="Y30" s="61"/>
      <c r="Z30" s="61"/>
      <c r="AA30" s="61"/>
      <c r="AB30" s="61"/>
      <c r="AC30" s="61"/>
      <c r="AD30" s="61"/>
      <c r="AE30" s="61"/>
      <c r="AF30" s="61"/>
      <c r="AG30" s="61"/>
      <c r="AH30" s="61"/>
    </row>
    <row r="31" spans="1:34" ht="21.95" customHeight="1" x14ac:dyDescent="0.3">
      <c r="A31" s="52"/>
      <c r="B31" s="103" t="s">
        <v>39</v>
      </c>
      <c r="C31" s="52" t="s">
        <v>40</v>
      </c>
      <c r="D31" s="103">
        <v>32</v>
      </c>
      <c r="E31" s="52">
        <v>601</v>
      </c>
      <c r="F31" s="104">
        <v>627</v>
      </c>
      <c r="G31" s="103">
        <v>857</v>
      </c>
      <c r="H31" s="52"/>
      <c r="I31" s="52"/>
      <c r="J31" s="52"/>
      <c r="K31" s="104">
        <v>113</v>
      </c>
      <c r="L31" s="54"/>
      <c r="M31" s="61"/>
      <c r="N31" s="61"/>
      <c r="O31" s="61"/>
      <c r="P31" s="61"/>
      <c r="Q31" s="118"/>
      <c r="R31" s="61"/>
      <c r="S31" s="61"/>
      <c r="T31" s="61"/>
      <c r="U31" s="61"/>
      <c r="V31" s="61"/>
      <c r="W31" s="61"/>
      <c r="X31" s="54"/>
      <c r="Y31" s="61"/>
      <c r="Z31" s="61"/>
      <c r="AA31" s="61"/>
      <c r="AB31" s="61"/>
      <c r="AC31" s="61"/>
      <c r="AD31" s="61"/>
      <c r="AE31" s="61"/>
      <c r="AF31" s="61"/>
      <c r="AG31" s="61"/>
      <c r="AH31" s="61"/>
    </row>
    <row r="32" spans="1:34" ht="21.95" customHeight="1" x14ac:dyDescent="0.2">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row>
  </sheetData>
  <mergeCells count="14">
    <mergeCell ref="R25:T25"/>
    <mergeCell ref="A2:D2"/>
    <mergeCell ref="L1:X1"/>
    <mergeCell ref="AB1:AH1"/>
    <mergeCell ref="L2:X2"/>
    <mergeCell ref="AB2:AH2"/>
    <mergeCell ref="AF3:AG3"/>
    <mergeCell ref="A6:K7"/>
    <mergeCell ref="M6:W7"/>
    <mergeCell ref="Y6:AH7"/>
    <mergeCell ref="H3:K3"/>
    <mergeCell ref="L3:X3"/>
    <mergeCell ref="M14:W15"/>
    <mergeCell ref="M18:W19"/>
  </mergeCells>
  <printOptions horizontalCentered="1" verticalCentered="1"/>
  <pageMargins left="0" right="0" top="0" bottom="0" header="0" footer="0"/>
  <pageSetup paperSize="5" scale="82"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0000"/>
  </sheetPr>
  <dimension ref="A1:J48"/>
  <sheetViews>
    <sheetView view="pageLayout" zoomScaleNormal="100" workbookViewId="0">
      <selection activeCell="D5" sqref="D5:J6"/>
    </sheetView>
  </sheetViews>
  <sheetFormatPr defaultRowHeight="12.75" x14ac:dyDescent="0.2"/>
  <cols>
    <col min="1" max="2" width="9.140625" customWidth="1"/>
    <col min="3" max="3" width="4.140625" customWidth="1"/>
    <col min="6" max="6" width="2.5703125" customWidth="1"/>
    <col min="10" max="10" width="24.140625" customWidth="1"/>
  </cols>
  <sheetData>
    <row r="1" spans="1:10" ht="18" customHeight="1" x14ac:dyDescent="0.2">
      <c r="A1" s="553" t="s">
        <v>21</v>
      </c>
      <c r="B1" s="553"/>
      <c r="C1" s="553"/>
      <c r="D1" s="553"/>
      <c r="E1" s="553"/>
      <c r="F1" s="553"/>
      <c r="G1" s="553"/>
      <c r="H1" s="553"/>
      <c r="I1" s="553"/>
      <c r="J1" s="553"/>
    </row>
    <row r="2" spans="1:10" ht="18" customHeight="1" x14ac:dyDescent="0.2">
      <c r="A2" s="553"/>
      <c r="B2" s="553"/>
      <c r="C2" s="553"/>
      <c r="D2" s="553"/>
      <c r="E2" s="553"/>
      <c r="F2" s="553"/>
      <c r="G2" s="553"/>
      <c r="H2" s="553"/>
      <c r="I2" s="553"/>
      <c r="J2" s="553"/>
    </row>
    <row r="3" spans="1:10" ht="18" customHeight="1" x14ac:dyDescent="0.2">
      <c r="A3" s="554" t="s">
        <v>55</v>
      </c>
      <c r="B3" s="555"/>
      <c r="C3" s="555"/>
      <c r="D3" s="555"/>
      <c r="E3" s="555"/>
      <c r="F3" s="555"/>
      <c r="G3" s="555"/>
      <c r="H3" s="555"/>
      <c r="I3" s="555"/>
      <c r="J3" s="555"/>
    </row>
    <row r="4" spans="1:10" ht="18" customHeight="1" thickBot="1" x14ac:dyDescent="0.25">
      <c r="A4" s="555"/>
      <c r="B4" s="555"/>
      <c r="C4" s="555"/>
      <c r="D4" s="555"/>
      <c r="E4" s="555"/>
      <c r="F4" s="555"/>
      <c r="G4" s="555"/>
      <c r="H4" s="555"/>
      <c r="I4" s="555"/>
      <c r="J4" s="555"/>
    </row>
    <row r="5" spans="1:10" ht="18" customHeight="1" x14ac:dyDescent="0.2">
      <c r="A5" s="556" t="s">
        <v>7</v>
      </c>
      <c r="B5" s="557"/>
      <c r="C5" s="558"/>
      <c r="D5" s="562">
        <f>Open!$L$1</f>
        <v>0</v>
      </c>
      <c r="E5" s="563"/>
      <c r="F5" s="563"/>
      <c r="G5" s="563"/>
      <c r="H5" s="563"/>
      <c r="I5" s="563"/>
      <c r="J5" s="564"/>
    </row>
    <row r="6" spans="1:10" ht="18" customHeight="1" thickBot="1" x14ac:dyDescent="0.25">
      <c r="A6" s="559"/>
      <c r="B6" s="560"/>
      <c r="C6" s="561"/>
      <c r="D6" s="565"/>
      <c r="E6" s="566"/>
      <c r="F6" s="566"/>
      <c r="G6" s="566"/>
      <c r="H6" s="566"/>
      <c r="I6" s="566"/>
      <c r="J6" s="567"/>
    </row>
    <row r="7" spans="1:10" ht="18.75" thickBot="1" x14ac:dyDescent="0.3">
      <c r="A7" s="69"/>
      <c r="B7" s="69"/>
      <c r="C7" s="69"/>
      <c r="D7" s="69"/>
      <c r="E7" s="69"/>
      <c r="F7" s="69"/>
      <c r="G7" s="69"/>
      <c r="H7" s="69"/>
      <c r="I7" s="69"/>
      <c r="J7" s="69"/>
    </row>
    <row r="8" spans="1:10" ht="26.25" thickBot="1" x14ac:dyDescent="0.4">
      <c r="A8" s="70"/>
      <c r="B8" s="568" t="s">
        <v>51</v>
      </c>
      <c r="C8" s="569"/>
      <c r="D8" s="570" t="s">
        <v>52</v>
      </c>
      <c r="E8" s="570"/>
      <c r="F8" s="570"/>
      <c r="G8" s="570" t="s">
        <v>53</v>
      </c>
      <c r="H8" s="570"/>
      <c r="I8" s="570"/>
      <c r="J8" s="571"/>
    </row>
    <row r="9" spans="1:10" ht="20.25" x14ac:dyDescent="0.3">
      <c r="A9" s="71">
        <v>1</v>
      </c>
      <c r="B9" s="552">
        <f>TS!I70</f>
        <v>0</v>
      </c>
      <c r="C9" s="549"/>
      <c r="D9" s="551">
        <f>TS!I71</f>
        <v>0</v>
      </c>
      <c r="E9" s="551"/>
      <c r="F9" s="551"/>
      <c r="G9" s="549"/>
      <c r="H9" s="549"/>
      <c r="I9" s="549"/>
      <c r="J9" s="550"/>
    </row>
    <row r="10" spans="1:10" ht="20.25" x14ac:dyDescent="0.3">
      <c r="A10" s="72">
        <v>2</v>
      </c>
      <c r="B10" s="546">
        <f>TS!J70</f>
        <v>0</v>
      </c>
      <c r="C10" s="543"/>
      <c r="D10" s="539">
        <f>TS!J71</f>
        <v>0</v>
      </c>
      <c r="E10" s="539"/>
      <c r="F10" s="539"/>
      <c r="G10" s="543"/>
      <c r="H10" s="543"/>
      <c r="I10" s="543"/>
      <c r="J10" s="544"/>
    </row>
    <row r="11" spans="1:10" ht="20.25" x14ac:dyDescent="0.3">
      <c r="A11" s="72">
        <v>3</v>
      </c>
      <c r="B11" s="546">
        <f>TS!K70</f>
        <v>0</v>
      </c>
      <c r="C11" s="543"/>
      <c r="D11" s="539">
        <f>TS!K71</f>
        <v>0</v>
      </c>
      <c r="E11" s="539"/>
      <c r="F11" s="539"/>
      <c r="G11" s="543"/>
      <c r="H11" s="543"/>
      <c r="I11" s="543"/>
      <c r="J11" s="544"/>
    </row>
    <row r="12" spans="1:10" ht="20.25" x14ac:dyDescent="0.3">
      <c r="A12" s="72">
        <v>4</v>
      </c>
      <c r="B12" s="546">
        <f>TS!L70</f>
        <v>0</v>
      </c>
      <c r="C12" s="543"/>
      <c r="D12" s="539">
        <f>TS!L71</f>
        <v>0</v>
      </c>
      <c r="E12" s="539"/>
      <c r="F12" s="539"/>
      <c r="G12" s="543"/>
      <c r="H12" s="543"/>
      <c r="I12" s="543"/>
      <c r="J12" s="544"/>
    </row>
    <row r="13" spans="1:10" ht="20.25" x14ac:dyDescent="0.3">
      <c r="A13" s="72">
        <v>5</v>
      </c>
      <c r="B13" s="546">
        <f>TS!M70</f>
        <v>0</v>
      </c>
      <c r="C13" s="543"/>
      <c r="D13" s="539" t="e">
        <f>TS!#REF!</f>
        <v>#REF!</v>
      </c>
      <c r="E13" s="539"/>
      <c r="F13" s="539"/>
      <c r="G13" s="543"/>
      <c r="H13" s="543"/>
      <c r="I13" s="543"/>
      <c r="J13" s="544"/>
    </row>
    <row r="14" spans="1:10" ht="20.25" x14ac:dyDescent="0.3">
      <c r="A14" s="72">
        <v>6</v>
      </c>
      <c r="B14" s="546">
        <f>TS!N70</f>
        <v>0</v>
      </c>
      <c r="C14" s="543"/>
      <c r="D14" s="539" t="str">
        <f>TS!M71</f>
        <v>300K LF:</v>
      </c>
      <c r="E14" s="539"/>
      <c r="F14" s="539"/>
      <c r="G14" s="543"/>
      <c r="H14" s="543"/>
      <c r="I14" s="543"/>
      <c r="J14" s="544"/>
    </row>
    <row r="15" spans="1:10" ht="20.25" x14ac:dyDescent="0.3">
      <c r="A15" s="72">
        <v>7</v>
      </c>
      <c r="B15" s="546">
        <f>TS!O70</f>
        <v>0</v>
      </c>
      <c r="C15" s="543"/>
      <c r="D15" s="539">
        <f>TS!O71</f>
        <v>0</v>
      </c>
      <c r="E15" s="539"/>
      <c r="F15" s="539"/>
      <c r="G15" s="543"/>
      <c r="H15" s="543"/>
      <c r="I15" s="543"/>
      <c r="J15" s="544"/>
    </row>
    <row r="16" spans="1:10" ht="20.25" x14ac:dyDescent="0.3">
      <c r="A16" s="72">
        <v>8</v>
      </c>
      <c r="B16" s="546">
        <f>TS!P70</f>
        <v>0</v>
      </c>
      <c r="C16" s="543"/>
      <c r="D16" s="539">
        <f>TS!P71</f>
        <v>0</v>
      </c>
      <c r="E16" s="539"/>
      <c r="F16" s="539"/>
      <c r="G16" s="543"/>
      <c r="H16" s="543"/>
      <c r="I16" s="543"/>
      <c r="J16" s="544"/>
    </row>
    <row r="17" spans="1:10" ht="20.25" x14ac:dyDescent="0.3">
      <c r="A17" s="72">
        <v>9</v>
      </c>
      <c r="B17" s="546">
        <f>TS!Q70</f>
        <v>0</v>
      </c>
      <c r="C17" s="543"/>
      <c r="D17" s="539">
        <f>TS!Q71</f>
        <v>0</v>
      </c>
      <c r="E17" s="539"/>
      <c r="F17" s="539"/>
      <c r="G17" s="543"/>
      <c r="H17" s="543"/>
      <c r="I17" s="543"/>
      <c r="J17" s="544"/>
    </row>
    <row r="18" spans="1:10" ht="20.25" x14ac:dyDescent="0.3">
      <c r="A18" s="72">
        <v>10</v>
      </c>
      <c r="B18" s="546">
        <f>TS!R70</f>
        <v>0</v>
      </c>
      <c r="C18" s="543"/>
      <c r="D18" s="539">
        <f>TS!R71</f>
        <v>0</v>
      </c>
      <c r="E18" s="539"/>
      <c r="F18" s="539"/>
      <c r="G18" s="543"/>
      <c r="H18" s="543"/>
      <c r="I18" s="543"/>
      <c r="J18" s="544"/>
    </row>
    <row r="19" spans="1:10" ht="20.25" x14ac:dyDescent="0.3">
      <c r="A19" s="72">
        <v>11</v>
      </c>
      <c r="B19" s="546">
        <f>TS!S70</f>
        <v>0</v>
      </c>
      <c r="C19" s="543"/>
      <c r="D19" s="539">
        <f>TS!S71</f>
        <v>0</v>
      </c>
      <c r="E19" s="539"/>
      <c r="F19" s="539"/>
      <c r="G19" s="543"/>
      <c r="H19" s="543"/>
      <c r="I19" s="543"/>
      <c r="J19" s="544"/>
    </row>
    <row r="20" spans="1:10" ht="20.25" x14ac:dyDescent="0.3">
      <c r="A20" s="72">
        <v>12</v>
      </c>
      <c r="B20" s="546">
        <f>TS!T70</f>
        <v>0</v>
      </c>
      <c r="C20" s="543"/>
      <c r="D20" s="539">
        <f>TS!T71</f>
        <v>0</v>
      </c>
      <c r="E20" s="539"/>
      <c r="F20" s="539"/>
      <c r="G20" s="543"/>
      <c r="H20" s="543"/>
      <c r="I20" s="543"/>
      <c r="J20" s="544"/>
    </row>
    <row r="21" spans="1:10" ht="20.25" x14ac:dyDescent="0.3">
      <c r="A21" s="72">
        <v>13</v>
      </c>
      <c r="B21" s="546">
        <f>TS!U70</f>
        <v>0</v>
      </c>
      <c r="C21" s="543"/>
      <c r="D21" s="539">
        <f>TS!U71</f>
        <v>0</v>
      </c>
      <c r="E21" s="539"/>
      <c r="F21" s="539"/>
      <c r="G21" s="543"/>
      <c r="H21" s="543"/>
      <c r="I21" s="543"/>
      <c r="J21" s="544"/>
    </row>
    <row r="22" spans="1:10" ht="20.25" x14ac:dyDescent="0.3">
      <c r="A22" s="72">
        <v>14</v>
      </c>
      <c r="B22" s="546">
        <f>TS!V70</f>
        <v>0</v>
      </c>
      <c r="C22" s="543"/>
      <c r="D22" s="539">
        <f>TS!V71</f>
        <v>0</v>
      </c>
      <c r="E22" s="539"/>
      <c r="F22" s="539"/>
      <c r="G22" s="543"/>
      <c r="H22" s="543"/>
      <c r="I22" s="543"/>
      <c r="J22" s="544"/>
    </row>
    <row r="23" spans="1:10" ht="20.25" x14ac:dyDescent="0.3">
      <c r="A23" s="72">
        <v>15</v>
      </c>
      <c r="B23" s="546">
        <f>TS!W70</f>
        <v>0</v>
      </c>
      <c r="C23" s="543"/>
      <c r="D23" s="539" t="e">
        <f>TS!W71</f>
        <v>#REF!</v>
      </c>
      <c r="E23" s="539"/>
      <c r="F23" s="539"/>
      <c r="G23" s="543"/>
      <c r="H23" s="543"/>
      <c r="I23" s="543"/>
      <c r="J23" s="544"/>
    </row>
    <row r="24" spans="1:10" ht="20.25" x14ac:dyDescent="0.3">
      <c r="A24" s="72">
        <v>16</v>
      </c>
      <c r="B24" s="546">
        <f>TS!X70</f>
        <v>0</v>
      </c>
      <c r="C24" s="543"/>
      <c r="D24" s="539" t="e">
        <f>TS!X71</f>
        <v>#REF!</v>
      </c>
      <c r="E24" s="539"/>
      <c r="F24" s="539"/>
      <c r="G24" s="543"/>
      <c r="H24" s="543"/>
      <c r="I24" s="543"/>
      <c r="J24" s="544"/>
    </row>
    <row r="25" spans="1:10" ht="20.25" x14ac:dyDescent="0.3">
      <c r="A25" s="72">
        <v>17</v>
      </c>
      <c r="B25" s="546">
        <f>TS!Y70</f>
        <v>0</v>
      </c>
      <c r="C25" s="543"/>
      <c r="D25" s="539">
        <f>TS!Y71</f>
        <v>0</v>
      </c>
      <c r="E25" s="539"/>
      <c r="F25" s="539"/>
      <c r="G25" s="543"/>
      <c r="H25" s="543"/>
      <c r="I25" s="543"/>
      <c r="J25" s="544"/>
    </row>
    <row r="26" spans="1:10" ht="20.25" x14ac:dyDescent="0.3">
      <c r="A26" s="72">
        <v>18</v>
      </c>
      <c r="B26" s="546">
        <f>TS!Z70</f>
        <v>0</v>
      </c>
      <c r="C26" s="543"/>
      <c r="D26" s="539">
        <f>TS!Z71</f>
        <v>0</v>
      </c>
      <c r="E26" s="539"/>
      <c r="F26" s="539"/>
      <c r="G26" s="543"/>
      <c r="H26" s="543"/>
      <c r="I26" s="543"/>
      <c r="J26" s="544"/>
    </row>
    <row r="27" spans="1:10" ht="20.25" x14ac:dyDescent="0.3">
      <c r="A27" s="72">
        <v>19</v>
      </c>
      <c r="B27" s="546">
        <f>TS!AA70</f>
        <v>0</v>
      </c>
      <c r="C27" s="543"/>
      <c r="D27" s="539">
        <f>TS!AA71</f>
        <v>0</v>
      </c>
      <c r="E27" s="539"/>
      <c r="F27" s="539"/>
      <c r="G27" s="543"/>
      <c r="H27" s="543"/>
      <c r="I27" s="543"/>
      <c r="J27" s="544"/>
    </row>
    <row r="28" spans="1:10" ht="20.25" x14ac:dyDescent="0.3">
      <c r="A28" s="72">
        <v>20</v>
      </c>
      <c r="B28" s="546">
        <f>TS!AB70</f>
        <v>0</v>
      </c>
      <c r="C28" s="543"/>
      <c r="D28" s="539">
        <f>TS!AB71</f>
        <v>0</v>
      </c>
      <c r="E28" s="539"/>
      <c r="F28" s="539"/>
      <c r="G28" s="543"/>
      <c r="H28" s="543"/>
      <c r="I28" s="543"/>
      <c r="J28" s="544"/>
    </row>
    <row r="29" spans="1:10" ht="21" thickBot="1" x14ac:dyDescent="0.35">
      <c r="A29" s="72">
        <v>21</v>
      </c>
      <c r="B29" s="547">
        <f>TS!AC70</f>
        <v>0</v>
      </c>
      <c r="C29" s="536"/>
      <c r="D29" s="540">
        <f>TS!AC71</f>
        <v>0</v>
      </c>
      <c r="E29" s="540"/>
      <c r="F29" s="540"/>
      <c r="G29" s="536"/>
      <c r="H29" s="536"/>
      <c r="I29" s="536"/>
      <c r="J29" s="537"/>
    </row>
    <row r="30" spans="1:10" ht="20.25" x14ac:dyDescent="0.3">
      <c r="A30" s="72"/>
      <c r="B30" s="73"/>
      <c r="C30" s="73"/>
      <c r="D30" s="73"/>
      <c r="E30" s="73"/>
      <c r="F30" s="73"/>
      <c r="G30" s="73"/>
      <c r="H30" s="73"/>
      <c r="I30" s="73"/>
      <c r="J30" s="73"/>
    </row>
    <row r="31" spans="1:10" ht="20.25" customHeight="1" thickBot="1" x14ac:dyDescent="0.25">
      <c r="A31" s="548" t="s">
        <v>54</v>
      </c>
      <c r="B31" s="548"/>
      <c r="C31" s="548"/>
      <c r="D31" s="548"/>
      <c r="E31" s="548"/>
      <c r="F31" s="548"/>
      <c r="G31" s="548"/>
      <c r="H31" s="548"/>
      <c r="I31" s="548"/>
      <c r="J31" s="548"/>
    </row>
    <row r="32" spans="1:10" ht="20.25" x14ac:dyDescent="0.3">
      <c r="A32" s="72"/>
      <c r="B32" s="545"/>
      <c r="C32" s="541"/>
      <c r="D32" s="538"/>
      <c r="E32" s="538"/>
      <c r="F32" s="538"/>
      <c r="G32" s="541"/>
      <c r="H32" s="541"/>
      <c r="I32" s="541"/>
      <c r="J32" s="542"/>
    </row>
    <row r="33" spans="1:10" ht="20.25" x14ac:dyDescent="0.3">
      <c r="A33" s="72"/>
      <c r="B33" s="546"/>
      <c r="C33" s="543"/>
      <c r="D33" s="539"/>
      <c r="E33" s="539"/>
      <c r="F33" s="539"/>
      <c r="G33" s="543"/>
      <c r="H33" s="543"/>
      <c r="I33" s="543"/>
      <c r="J33" s="544"/>
    </row>
    <row r="34" spans="1:10" ht="20.25" x14ac:dyDescent="0.3">
      <c r="A34" s="72"/>
      <c r="B34" s="546"/>
      <c r="C34" s="543"/>
      <c r="D34" s="539"/>
      <c r="E34" s="539"/>
      <c r="F34" s="539"/>
      <c r="G34" s="543"/>
      <c r="H34" s="543"/>
      <c r="I34" s="543"/>
      <c r="J34" s="544"/>
    </row>
    <row r="35" spans="1:10" ht="20.25" x14ac:dyDescent="0.3">
      <c r="A35" s="72"/>
      <c r="B35" s="546"/>
      <c r="C35" s="543"/>
      <c r="D35" s="539"/>
      <c r="E35" s="539"/>
      <c r="F35" s="539"/>
      <c r="G35" s="543"/>
      <c r="H35" s="543"/>
      <c r="I35" s="543"/>
      <c r="J35" s="544"/>
    </row>
    <row r="36" spans="1:10" ht="20.25" x14ac:dyDescent="0.3">
      <c r="A36" s="72"/>
      <c r="B36" s="546"/>
      <c r="C36" s="543"/>
      <c r="D36" s="539"/>
      <c r="E36" s="539"/>
      <c r="F36" s="539"/>
      <c r="G36" s="543"/>
      <c r="H36" s="543"/>
      <c r="I36" s="543"/>
      <c r="J36" s="544"/>
    </row>
    <row r="37" spans="1:10" ht="21" thickBot="1" x14ac:dyDescent="0.35">
      <c r="A37" s="72"/>
      <c r="B37" s="547"/>
      <c r="C37" s="536"/>
      <c r="D37" s="540"/>
      <c r="E37" s="540"/>
      <c r="F37" s="540"/>
      <c r="G37" s="536"/>
      <c r="H37" s="536"/>
      <c r="I37" s="536"/>
      <c r="J37" s="537"/>
    </row>
    <row r="38" spans="1:10" ht="20.25" x14ac:dyDescent="0.3">
      <c r="A38" s="68"/>
      <c r="B38" s="68"/>
      <c r="C38" s="68"/>
      <c r="D38" s="68"/>
      <c r="E38" s="68"/>
      <c r="F38" s="68"/>
      <c r="G38" s="68"/>
      <c r="H38" s="68"/>
      <c r="I38" s="68"/>
      <c r="J38" s="68"/>
    </row>
    <row r="39" spans="1:10" ht="20.25" x14ac:dyDescent="0.3">
      <c r="A39" s="68"/>
      <c r="B39" s="68"/>
      <c r="C39" s="68"/>
      <c r="D39" s="68"/>
      <c r="E39" s="68"/>
      <c r="F39" s="68"/>
      <c r="G39" s="68"/>
      <c r="H39" s="68"/>
      <c r="I39" s="68"/>
      <c r="J39" s="68"/>
    </row>
    <row r="40" spans="1:10" ht="20.25" x14ac:dyDescent="0.3">
      <c r="A40" s="68"/>
      <c r="B40" s="68"/>
      <c r="C40" s="68"/>
      <c r="D40" s="68"/>
      <c r="E40" s="68"/>
      <c r="F40" s="68"/>
      <c r="G40" s="68"/>
      <c r="H40" s="68"/>
      <c r="I40" s="68"/>
      <c r="J40" s="68"/>
    </row>
    <row r="41" spans="1:10" ht="18" x14ac:dyDescent="0.25">
      <c r="A41" s="67"/>
      <c r="B41" s="67"/>
      <c r="C41" s="67"/>
      <c r="D41" s="67"/>
      <c r="E41" s="67"/>
      <c r="F41" s="67"/>
      <c r="G41" s="67"/>
      <c r="H41" s="67"/>
      <c r="I41" s="67"/>
      <c r="J41" s="67"/>
    </row>
    <row r="42" spans="1:10" ht="18" x14ac:dyDescent="0.25">
      <c r="A42" s="67"/>
      <c r="B42" s="67"/>
      <c r="C42" s="67"/>
      <c r="D42" s="67"/>
      <c r="E42" s="67"/>
      <c r="F42" s="67"/>
      <c r="G42" s="67"/>
      <c r="H42" s="67"/>
      <c r="I42" s="67"/>
      <c r="J42" s="67"/>
    </row>
    <row r="43" spans="1:10" ht="18" x14ac:dyDescent="0.25">
      <c r="A43" s="67"/>
      <c r="B43" s="67"/>
      <c r="C43" s="67"/>
      <c r="D43" s="67"/>
      <c r="E43" s="67"/>
      <c r="F43" s="67"/>
      <c r="G43" s="67"/>
      <c r="H43" s="67"/>
      <c r="I43" s="67"/>
      <c r="J43" s="67"/>
    </row>
    <row r="44" spans="1:10" ht="18" x14ac:dyDescent="0.25">
      <c r="A44" s="67"/>
      <c r="B44" s="67"/>
      <c r="C44" s="67"/>
      <c r="D44" s="67"/>
      <c r="E44" s="67"/>
      <c r="F44" s="67"/>
      <c r="G44" s="67"/>
      <c r="H44" s="67"/>
      <c r="I44" s="67"/>
      <c r="J44" s="67"/>
    </row>
    <row r="45" spans="1:10" ht="18" x14ac:dyDescent="0.25">
      <c r="A45" s="67"/>
      <c r="B45" s="67"/>
      <c r="C45" s="67"/>
      <c r="D45" s="67"/>
      <c r="E45" s="67"/>
      <c r="F45" s="67"/>
      <c r="G45" s="67"/>
      <c r="H45" s="67"/>
      <c r="I45" s="67"/>
      <c r="J45" s="67"/>
    </row>
    <row r="46" spans="1:10" ht="18" x14ac:dyDescent="0.25">
      <c r="A46" s="67"/>
      <c r="B46" s="67"/>
      <c r="C46" s="67"/>
      <c r="D46" s="67"/>
      <c r="E46" s="67"/>
      <c r="F46" s="67"/>
      <c r="G46" s="67"/>
      <c r="H46" s="67"/>
      <c r="I46" s="67"/>
      <c r="J46" s="67"/>
    </row>
    <row r="47" spans="1:10" ht="18" x14ac:dyDescent="0.25">
      <c r="A47" s="67"/>
      <c r="B47" s="67"/>
      <c r="C47" s="67"/>
      <c r="D47" s="67"/>
      <c r="E47" s="67"/>
      <c r="F47" s="67"/>
      <c r="G47" s="67"/>
      <c r="H47" s="67"/>
      <c r="I47" s="67"/>
      <c r="J47" s="67"/>
    </row>
    <row r="48" spans="1:10" ht="18" x14ac:dyDescent="0.25">
      <c r="A48" s="67"/>
      <c r="B48" s="67"/>
      <c r="C48" s="67"/>
      <c r="D48" s="67"/>
      <c r="E48" s="67"/>
      <c r="F48" s="67"/>
      <c r="G48" s="67"/>
      <c r="H48" s="67"/>
      <c r="I48" s="67"/>
      <c r="J48" s="67"/>
    </row>
  </sheetData>
  <mergeCells count="89">
    <mergeCell ref="A1:J2"/>
    <mergeCell ref="A3:J4"/>
    <mergeCell ref="A5:C6"/>
    <mergeCell ref="D5:J6"/>
    <mergeCell ref="B8:C8"/>
    <mergeCell ref="D8:F8"/>
    <mergeCell ref="G8:J8"/>
    <mergeCell ref="B20:C20"/>
    <mergeCell ref="B9:C9"/>
    <mergeCell ref="B10:C10"/>
    <mergeCell ref="B11:C11"/>
    <mergeCell ref="B12:C12"/>
    <mergeCell ref="B13:C13"/>
    <mergeCell ref="B14:C14"/>
    <mergeCell ref="B15:C15"/>
    <mergeCell ref="B16:C16"/>
    <mergeCell ref="B17:C17"/>
    <mergeCell ref="B18:C18"/>
    <mergeCell ref="B19:C19"/>
    <mergeCell ref="B27:C27"/>
    <mergeCell ref="B28:C28"/>
    <mergeCell ref="B29:C29"/>
    <mergeCell ref="D9:F9"/>
    <mergeCell ref="D10:F10"/>
    <mergeCell ref="D11:F11"/>
    <mergeCell ref="D12:F12"/>
    <mergeCell ref="D13:F13"/>
    <mergeCell ref="D14:F14"/>
    <mergeCell ref="D15:F15"/>
    <mergeCell ref="B21:C21"/>
    <mergeCell ref="B22:C22"/>
    <mergeCell ref="B23:C23"/>
    <mergeCell ref="B24:C24"/>
    <mergeCell ref="B25:C25"/>
    <mergeCell ref="B26:C26"/>
    <mergeCell ref="D27:F27"/>
    <mergeCell ref="D26:F26"/>
    <mergeCell ref="D25:F25"/>
    <mergeCell ref="D16:F16"/>
    <mergeCell ref="D17:F17"/>
    <mergeCell ref="D18:F18"/>
    <mergeCell ref="D19:F19"/>
    <mergeCell ref="D20:F20"/>
    <mergeCell ref="D21:F21"/>
    <mergeCell ref="G20:J20"/>
    <mergeCell ref="G9:J9"/>
    <mergeCell ref="G10:J10"/>
    <mergeCell ref="G11:J11"/>
    <mergeCell ref="G12:J12"/>
    <mergeCell ref="G13:J13"/>
    <mergeCell ref="G19:J19"/>
    <mergeCell ref="G14:J14"/>
    <mergeCell ref="G15:J15"/>
    <mergeCell ref="G16:J16"/>
    <mergeCell ref="G17:J17"/>
    <mergeCell ref="G18:J18"/>
    <mergeCell ref="B37:C37"/>
    <mergeCell ref="G21:J21"/>
    <mergeCell ref="G22:J22"/>
    <mergeCell ref="G23:J23"/>
    <mergeCell ref="G24:J24"/>
    <mergeCell ref="G25:J25"/>
    <mergeCell ref="A31:J31"/>
    <mergeCell ref="G29:J29"/>
    <mergeCell ref="G28:J28"/>
    <mergeCell ref="G27:J27"/>
    <mergeCell ref="G26:J26"/>
    <mergeCell ref="D22:F22"/>
    <mergeCell ref="D23:F23"/>
    <mergeCell ref="D24:F24"/>
    <mergeCell ref="D29:F29"/>
    <mergeCell ref="D28:F28"/>
    <mergeCell ref="B32:C32"/>
    <mergeCell ref="B33:C33"/>
    <mergeCell ref="B34:C34"/>
    <mergeCell ref="B35:C35"/>
    <mergeCell ref="B36:C36"/>
    <mergeCell ref="G37:J37"/>
    <mergeCell ref="D32:F32"/>
    <mergeCell ref="D33:F33"/>
    <mergeCell ref="D34:F34"/>
    <mergeCell ref="D35:F35"/>
    <mergeCell ref="D36:F36"/>
    <mergeCell ref="D37:F37"/>
    <mergeCell ref="G32:J32"/>
    <mergeCell ref="G33:J33"/>
    <mergeCell ref="G34:J34"/>
    <mergeCell ref="G35:J35"/>
    <mergeCell ref="G36:J36"/>
  </mergeCells>
  <conditionalFormatting sqref="B9:F29">
    <cfRule type="cellIs" dxfId="0" priority="1" operator="equal">
      <formula>0</formula>
    </cfRule>
  </conditionalFormatting>
  <pageMargins left="0.5" right="0.5" top="0.5" bottom="0.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990000"/>
  </sheetPr>
  <dimension ref="A1:J48"/>
  <sheetViews>
    <sheetView tabSelected="1" workbookViewId="0">
      <selection activeCell="C4" sqref="C4"/>
    </sheetView>
  </sheetViews>
  <sheetFormatPr defaultRowHeight="12.75" x14ac:dyDescent="0.2"/>
  <cols>
    <col min="7" max="7" width="8.85546875" style="105"/>
  </cols>
  <sheetData>
    <row r="1" spans="1:10" x14ac:dyDescent="0.2">
      <c r="A1" s="5" t="s">
        <v>140</v>
      </c>
      <c r="B1" s="5" t="s">
        <v>141</v>
      </c>
      <c r="C1" s="5" t="s">
        <v>142</v>
      </c>
      <c r="D1" t="s">
        <v>70</v>
      </c>
      <c r="E1" t="s">
        <v>11</v>
      </c>
      <c r="F1" t="s">
        <v>12</v>
      </c>
      <c r="G1" s="115" t="s">
        <v>143</v>
      </c>
      <c r="H1" s="5" t="s">
        <v>144</v>
      </c>
      <c r="I1" s="5" t="s">
        <v>145</v>
      </c>
      <c r="J1" t="s">
        <v>16</v>
      </c>
    </row>
    <row r="2" spans="1:10" x14ac:dyDescent="0.2">
      <c r="B2" s="5"/>
    </row>
    <row r="6" spans="1:10" x14ac:dyDescent="0.2">
      <c r="A6" t="s">
        <v>39</v>
      </c>
      <c r="B6" t="s">
        <v>40</v>
      </c>
      <c r="C6">
        <v>5</v>
      </c>
      <c r="D6">
        <v>311</v>
      </c>
      <c r="E6">
        <v>513</v>
      </c>
      <c r="F6">
        <v>757</v>
      </c>
      <c r="G6" s="319" t="s">
        <v>146</v>
      </c>
      <c r="H6" s="320">
        <v>1</v>
      </c>
      <c r="J6">
        <v>112</v>
      </c>
    </row>
    <row r="7" spans="1:10" x14ac:dyDescent="0.2">
      <c r="A7" t="s">
        <v>39</v>
      </c>
      <c r="B7" t="s">
        <v>40</v>
      </c>
      <c r="C7">
        <v>1</v>
      </c>
      <c r="D7">
        <v>311</v>
      </c>
      <c r="E7">
        <v>520</v>
      </c>
      <c r="F7">
        <v>812</v>
      </c>
      <c r="G7" s="319" t="s">
        <v>146</v>
      </c>
      <c r="H7" s="320">
        <v>2</v>
      </c>
      <c r="J7">
        <v>128</v>
      </c>
    </row>
    <row r="8" spans="1:10" x14ac:dyDescent="0.2">
      <c r="A8" t="s">
        <v>39</v>
      </c>
      <c r="B8" t="s">
        <v>40</v>
      </c>
      <c r="C8">
        <v>2</v>
      </c>
      <c r="D8">
        <v>311</v>
      </c>
      <c r="E8">
        <v>610</v>
      </c>
      <c r="F8">
        <v>836</v>
      </c>
      <c r="G8" s="319" t="s">
        <v>146</v>
      </c>
      <c r="H8" s="320">
        <v>3</v>
      </c>
      <c r="J8">
        <v>105</v>
      </c>
    </row>
    <row r="9" spans="1:10" x14ac:dyDescent="0.2">
      <c r="A9" t="s">
        <v>39</v>
      </c>
      <c r="B9" t="s">
        <v>40</v>
      </c>
      <c r="C9">
        <v>4</v>
      </c>
      <c r="D9">
        <v>311</v>
      </c>
      <c r="E9">
        <v>618</v>
      </c>
      <c r="F9">
        <v>908</v>
      </c>
      <c r="G9" s="319" t="s">
        <v>146</v>
      </c>
      <c r="H9" s="320">
        <v>4</v>
      </c>
      <c r="J9">
        <v>112</v>
      </c>
    </row>
    <row r="10" spans="1:10" x14ac:dyDescent="0.2">
      <c r="A10" t="s">
        <v>39</v>
      </c>
      <c r="B10" t="s">
        <v>40</v>
      </c>
      <c r="C10">
        <v>3</v>
      </c>
      <c r="D10">
        <v>311</v>
      </c>
      <c r="E10">
        <v>623</v>
      </c>
      <c r="F10">
        <v>848</v>
      </c>
      <c r="G10" s="319" t="s">
        <v>146</v>
      </c>
      <c r="H10" s="320">
        <v>5</v>
      </c>
      <c r="J10">
        <v>105</v>
      </c>
    </row>
    <row r="11" spans="1:10" x14ac:dyDescent="0.2">
      <c r="A11" t="s">
        <v>39</v>
      </c>
      <c r="B11" t="s">
        <v>40</v>
      </c>
      <c r="C11">
        <v>20</v>
      </c>
      <c r="D11">
        <v>352</v>
      </c>
      <c r="E11">
        <v>444</v>
      </c>
      <c r="F11">
        <v>758</v>
      </c>
      <c r="G11" s="319" t="s">
        <v>147</v>
      </c>
      <c r="H11" s="320">
        <v>6</v>
      </c>
      <c r="J11">
        <v>163</v>
      </c>
    </row>
    <row r="12" spans="1:10" x14ac:dyDescent="0.2">
      <c r="A12" t="s">
        <v>39</v>
      </c>
      <c r="B12" t="s">
        <v>40</v>
      </c>
      <c r="C12">
        <v>13</v>
      </c>
      <c r="D12">
        <v>352</v>
      </c>
      <c r="E12">
        <v>447</v>
      </c>
      <c r="F12">
        <v>759</v>
      </c>
      <c r="G12" s="319" t="s">
        <v>147</v>
      </c>
      <c r="H12" s="320">
        <v>7</v>
      </c>
      <c r="J12">
        <v>163</v>
      </c>
    </row>
    <row r="13" spans="1:10" x14ac:dyDescent="0.2">
      <c r="A13" t="s">
        <v>39</v>
      </c>
      <c r="B13" t="s">
        <v>40</v>
      </c>
      <c r="C13">
        <v>14</v>
      </c>
      <c r="D13">
        <v>352</v>
      </c>
      <c r="E13">
        <v>512</v>
      </c>
      <c r="F13">
        <v>830</v>
      </c>
      <c r="G13" s="319" t="s">
        <v>147</v>
      </c>
      <c r="H13" s="320">
        <v>8</v>
      </c>
      <c r="J13">
        <v>163</v>
      </c>
    </row>
    <row r="14" spans="1:10" x14ac:dyDescent="0.2">
      <c r="A14" t="s">
        <v>39</v>
      </c>
      <c r="B14" t="s">
        <v>40</v>
      </c>
      <c r="C14">
        <v>11</v>
      </c>
      <c r="D14">
        <v>352</v>
      </c>
      <c r="E14">
        <v>540</v>
      </c>
      <c r="F14">
        <v>848</v>
      </c>
      <c r="G14" s="319" t="s">
        <v>147</v>
      </c>
      <c r="H14" s="320">
        <v>9</v>
      </c>
      <c r="J14">
        <v>146</v>
      </c>
    </row>
    <row r="15" spans="1:10" x14ac:dyDescent="0.2">
      <c r="A15" t="s">
        <v>39</v>
      </c>
      <c r="B15" t="s">
        <v>40</v>
      </c>
      <c r="C15">
        <v>15</v>
      </c>
      <c r="D15">
        <v>352</v>
      </c>
      <c r="E15">
        <v>549</v>
      </c>
      <c r="F15">
        <v>825</v>
      </c>
      <c r="G15" s="319" t="s">
        <v>147</v>
      </c>
      <c r="H15" s="320">
        <v>10</v>
      </c>
      <c r="J15">
        <v>109</v>
      </c>
    </row>
    <row r="16" spans="1:10" x14ac:dyDescent="0.2">
      <c r="A16" t="s">
        <v>39</v>
      </c>
      <c r="B16" t="s">
        <v>40</v>
      </c>
      <c r="C16">
        <v>16</v>
      </c>
      <c r="D16">
        <v>352</v>
      </c>
      <c r="E16">
        <v>555</v>
      </c>
      <c r="F16">
        <v>926</v>
      </c>
      <c r="G16" s="115" t="s">
        <v>148</v>
      </c>
      <c r="H16">
        <v>11</v>
      </c>
      <c r="J16">
        <v>122</v>
      </c>
    </row>
    <row r="17" spans="1:10" x14ac:dyDescent="0.2">
      <c r="A17" t="s">
        <v>39</v>
      </c>
      <c r="B17" t="s">
        <v>40</v>
      </c>
      <c r="C17">
        <v>19</v>
      </c>
      <c r="D17">
        <v>352</v>
      </c>
      <c r="E17">
        <v>606</v>
      </c>
      <c r="F17">
        <v>749</v>
      </c>
      <c r="G17" s="115" t="s">
        <v>148</v>
      </c>
      <c r="H17">
        <v>12</v>
      </c>
      <c r="J17">
        <v>84</v>
      </c>
    </row>
    <row r="18" spans="1:10" x14ac:dyDescent="0.2">
      <c r="A18" t="s">
        <v>39</v>
      </c>
      <c r="B18" t="s">
        <v>40</v>
      </c>
      <c r="C18">
        <v>12</v>
      </c>
      <c r="D18">
        <v>352</v>
      </c>
      <c r="E18">
        <v>609</v>
      </c>
      <c r="F18">
        <v>824</v>
      </c>
      <c r="G18" s="115" t="s">
        <v>148</v>
      </c>
      <c r="H18">
        <v>13</v>
      </c>
      <c r="J18">
        <v>95</v>
      </c>
    </row>
    <row r="19" spans="1:10" x14ac:dyDescent="0.2">
      <c r="A19" t="s">
        <v>39</v>
      </c>
      <c r="B19" t="s">
        <v>40</v>
      </c>
      <c r="C19">
        <v>18</v>
      </c>
      <c r="D19">
        <v>352</v>
      </c>
      <c r="E19">
        <v>628</v>
      </c>
      <c r="F19">
        <v>813</v>
      </c>
      <c r="G19" s="115" t="s">
        <v>148</v>
      </c>
      <c r="H19">
        <v>14</v>
      </c>
      <c r="J19">
        <v>84</v>
      </c>
    </row>
    <row r="20" spans="1:10" x14ac:dyDescent="0.2">
      <c r="A20" t="s">
        <v>39</v>
      </c>
      <c r="B20" t="s">
        <v>40</v>
      </c>
      <c r="C20">
        <v>17</v>
      </c>
      <c r="D20">
        <v>352</v>
      </c>
      <c r="E20">
        <v>632</v>
      </c>
      <c r="F20">
        <v>807</v>
      </c>
      <c r="G20" s="115" t="s">
        <v>148</v>
      </c>
      <c r="H20">
        <v>15</v>
      </c>
      <c r="J20">
        <v>81</v>
      </c>
    </row>
    <row r="21" spans="1:10" x14ac:dyDescent="0.2">
      <c r="A21" t="s">
        <v>41</v>
      </c>
      <c r="B21" t="s">
        <v>40</v>
      </c>
      <c r="C21">
        <v>1</v>
      </c>
      <c r="D21">
        <v>401</v>
      </c>
      <c r="E21">
        <v>424</v>
      </c>
      <c r="F21">
        <v>2616</v>
      </c>
      <c r="G21" s="115" t="s">
        <v>149</v>
      </c>
      <c r="H21">
        <v>16</v>
      </c>
      <c r="J21">
        <v>489</v>
      </c>
    </row>
    <row r="22" spans="1:10" x14ac:dyDescent="0.2">
      <c r="A22" t="s">
        <v>41</v>
      </c>
      <c r="B22" t="s">
        <v>40</v>
      </c>
      <c r="C22">
        <v>21</v>
      </c>
      <c r="D22">
        <v>401</v>
      </c>
      <c r="E22">
        <v>425</v>
      </c>
      <c r="F22">
        <v>2308</v>
      </c>
      <c r="G22" s="115" t="s">
        <v>149</v>
      </c>
      <c r="H22">
        <v>17</v>
      </c>
      <c r="J22">
        <v>415</v>
      </c>
    </row>
    <row r="23" spans="1:10" x14ac:dyDescent="0.2">
      <c r="A23" t="s">
        <v>41</v>
      </c>
      <c r="B23" t="s">
        <v>40</v>
      </c>
      <c r="C23">
        <v>23</v>
      </c>
      <c r="D23">
        <v>401</v>
      </c>
      <c r="E23">
        <v>425</v>
      </c>
      <c r="F23">
        <v>2901</v>
      </c>
      <c r="G23" s="115" t="s">
        <v>149</v>
      </c>
      <c r="H23">
        <v>18</v>
      </c>
      <c r="J23">
        <v>563</v>
      </c>
    </row>
    <row r="24" spans="1:10" x14ac:dyDescent="0.2">
      <c r="A24" t="s">
        <v>41</v>
      </c>
      <c r="B24" t="s">
        <v>40</v>
      </c>
      <c r="C24">
        <v>6</v>
      </c>
      <c r="D24">
        <v>401</v>
      </c>
      <c r="E24">
        <v>426</v>
      </c>
      <c r="F24">
        <v>1953</v>
      </c>
      <c r="G24" s="115" t="s">
        <v>149</v>
      </c>
      <c r="H24">
        <v>19</v>
      </c>
      <c r="J24">
        <v>361</v>
      </c>
    </row>
    <row r="25" spans="1:10" x14ac:dyDescent="0.2">
      <c r="A25" t="s">
        <v>41</v>
      </c>
      <c r="B25" t="s">
        <v>40</v>
      </c>
      <c r="C25">
        <v>16</v>
      </c>
      <c r="D25">
        <v>401</v>
      </c>
      <c r="E25">
        <v>427</v>
      </c>
      <c r="F25">
        <v>1823</v>
      </c>
      <c r="G25" s="115" t="s">
        <v>149</v>
      </c>
      <c r="H25">
        <v>20</v>
      </c>
      <c r="J25">
        <v>336</v>
      </c>
    </row>
    <row r="26" spans="1:10" x14ac:dyDescent="0.2">
      <c r="A26" t="s">
        <v>41</v>
      </c>
      <c r="B26" t="s">
        <v>40</v>
      </c>
      <c r="C26">
        <v>18</v>
      </c>
      <c r="D26">
        <v>401</v>
      </c>
      <c r="E26">
        <v>438</v>
      </c>
      <c r="F26">
        <v>2121</v>
      </c>
      <c r="G26" s="115" t="s">
        <v>150</v>
      </c>
      <c r="H26">
        <v>21</v>
      </c>
      <c r="J26">
        <v>385</v>
      </c>
    </row>
    <row r="27" spans="1:10" x14ac:dyDescent="0.2">
      <c r="A27" t="s">
        <v>41</v>
      </c>
      <c r="B27" t="s">
        <v>40</v>
      </c>
      <c r="C27">
        <v>20</v>
      </c>
      <c r="D27">
        <v>401</v>
      </c>
      <c r="E27">
        <v>443</v>
      </c>
      <c r="F27">
        <v>1900</v>
      </c>
      <c r="G27" s="115" t="s">
        <v>150</v>
      </c>
      <c r="H27">
        <v>22</v>
      </c>
      <c r="J27">
        <v>316</v>
      </c>
    </row>
    <row r="28" spans="1:10" x14ac:dyDescent="0.2">
      <c r="A28" t="s">
        <v>41</v>
      </c>
      <c r="B28" t="s">
        <v>40</v>
      </c>
      <c r="C28">
        <v>11</v>
      </c>
      <c r="D28">
        <v>401</v>
      </c>
      <c r="E28">
        <v>446</v>
      </c>
      <c r="F28">
        <v>2602</v>
      </c>
      <c r="G28" s="115" t="s">
        <v>150</v>
      </c>
      <c r="H28">
        <v>23</v>
      </c>
      <c r="J28">
        <v>477</v>
      </c>
    </row>
    <row r="29" spans="1:10" x14ac:dyDescent="0.2">
      <c r="A29" t="s">
        <v>41</v>
      </c>
      <c r="B29" t="s">
        <v>40</v>
      </c>
      <c r="C29">
        <v>5</v>
      </c>
      <c r="D29">
        <v>401</v>
      </c>
      <c r="E29">
        <v>453</v>
      </c>
      <c r="F29">
        <v>2108</v>
      </c>
      <c r="G29" s="115" t="s">
        <v>150</v>
      </c>
      <c r="H29">
        <v>24</v>
      </c>
      <c r="J29">
        <v>382</v>
      </c>
    </row>
    <row r="30" spans="1:10" x14ac:dyDescent="0.2">
      <c r="A30" t="s">
        <v>41</v>
      </c>
      <c r="B30" t="s">
        <v>40</v>
      </c>
      <c r="C30">
        <v>26</v>
      </c>
      <c r="D30">
        <v>401</v>
      </c>
      <c r="E30">
        <v>457</v>
      </c>
      <c r="F30">
        <v>1738</v>
      </c>
      <c r="G30" s="115" t="s">
        <v>150</v>
      </c>
      <c r="H30">
        <v>25</v>
      </c>
      <c r="J30">
        <v>300</v>
      </c>
    </row>
    <row r="31" spans="1:10" x14ac:dyDescent="0.2">
      <c r="A31" t="s">
        <v>41</v>
      </c>
      <c r="B31" t="s">
        <v>40</v>
      </c>
      <c r="C31">
        <v>4</v>
      </c>
      <c r="D31">
        <v>401</v>
      </c>
      <c r="E31">
        <v>504</v>
      </c>
      <c r="F31">
        <v>1756</v>
      </c>
      <c r="G31" s="115" t="s">
        <v>18</v>
      </c>
      <c r="H31">
        <v>26</v>
      </c>
      <c r="J31">
        <v>293</v>
      </c>
    </row>
    <row r="32" spans="1:10" x14ac:dyDescent="0.2">
      <c r="A32" t="s">
        <v>41</v>
      </c>
      <c r="B32" t="s">
        <v>40</v>
      </c>
      <c r="C32">
        <v>30</v>
      </c>
      <c r="D32">
        <v>401</v>
      </c>
      <c r="E32">
        <v>510</v>
      </c>
      <c r="F32">
        <v>1916</v>
      </c>
      <c r="G32" s="115" t="s">
        <v>18</v>
      </c>
      <c r="H32">
        <v>27</v>
      </c>
      <c r="J32">
        <v>341</v>
      </c>
    </row>
    <row r="33" spans="1:10" x14ac:dyDescent="0.2">
      <c r="A33" t="s">
        <v>41</v>
      </c>
      <c r="B33" t="s">
        <v>40</v>
      </c>
      <c r="C33">
        <v>13</v>
      </c>
      <c r="D33">
        <v>401</v>
      </c>
      <c r="E33">
        <v>517</v>
      </c>
      <c r="F33">
        <v>2312</v>
      </c>
      <c r="G33" s="115" t="s">
        <v>18</v>
      </c>
      <c r="H33">
        <v>28</v>
      </c>
      <c r="J33">
        <v>375</v>
      </c>
    </row>
    <row r="34" spans="1:10" x14ac:dyDescent="0.2">
      <c r="A34" t="s">
        <v>41</v>
      </c>
      <c r="B34" t="s">
        <v>40</v>
      </c>
      <c r="C34">
        <v>36</v>
      </c>
      <c r="D34">
        <v>401</v>
      </c>
      <c r="E34">
        <v>522</v>
      </c>
      <c r="F34">
        <v>1009</v>
      </c>
      <c r="G34" s="115" t="s">
        <v>18</v>
      </c>
      <c r="H34">
        <v>29</v>
      </c>
      <c r="J34">
        <v>129</v>
      </c>
    </row>
    <row r="35" spans="1:10" x14ac:dyDescent="0.2">
      <c r="A35" t="s">
        <v>41</v>
      </c>
      <c r="B35" t="s">
        <v>40</v>
      </c>
      <c r="C35">
        <v>3</v>
      </c>
      <c r="D35">
        <v>401</v>
      </c>
      <c r="E35">
        <v>523</v>
      </c>
      <c r="F35">
        <v>2002</v>
      </c>
      <c r="G35" s="115" t="s">
        <v>18</v>
      </c>
      <c r="H35">
        <v>30</v>
      </c>
      <c r="J35">
        <v>354</v>
      </c>
    </row>
    <row r="36" spans="1:10" x14ac:dyDescent="0.2">
      <c r="A36" t="s">
        <v>41</v>
      </c>
      <c r="B36" t="s">
        <v>40</v>
      </c>
      <c r="C36">
        <v>2</v>
      </c>
      <c r="D36">
        <v>401</v>
      </c>
      <c r="E36">
        <v>524</v>
      </c>
      <c r="F36">
        <v>1913</v>
      </c>
      <c r="G36" s="115" t="s">
        <v>151</v>
      </c>
      <c r="H36">
        <v>31</v>
      </c>
      <c r="J36">
        <v>289</v>
      </c>
    </row>
    <row r="37" spans="1:10" x14ac:dyDescent="0.2">
      <c r="A37" t="s">
        <v>41</v>
      </c>
      <c r="B37" t="s">
        <v>40</v>
      </c>
      <c r="C37">
        <v>33</v>
      </c>
      <c r="D37">
        <v>401</v>
      </c>
      <c r="E37">
        <v>529</v>
      </c>
      <c r="F37">
        <v>848</v>
      </c>
      <c r="G37" s="115" t="s">
        <v>151</v>
      </c>
      <c r="H37">
        <v>32</v>
      </c>
      <c r="J37">
        <v>88</v>
      </c>
    </row>
    <row r="38" spans="1:10" x14ac:dyDescent="0.2">
      <c r="A38" t="s">
        <v>41</v>
      </c>
      <c r="B38" t="s">
        <v>40</v>
      </c>
      <c r="C38">
        <v>31</v>
      </c>
      <c r="D38">
        <v>401</v>
      </c>
      <c r="E38">
        <v>533</v>
      </c>
      <c r="F38">
        <v>939</v>
      </c>
      <c r="G38" s="115" t="s">
        <v>151</v>
      </c>
      <c r="H38">
        <v>33</v>
      </c>
      <c r="J38">
        <v>97</v>
      </c>
    </row>
    <row r="39" spans="1:10" x14ac:dyDescent="0.2">
      <c r="A39" t="s">
        <v>41</v>
      </c>
      <c r="B39" t="s">
        <v>40</v>
      </c>
      <c r="C39">
        <v>34</v>
      </c>
      <c r="D39">
        <v>401</v>
      </c>
      <c r="E39">
        <v>533</v>
      </c>
      <c r="F39">
        <v>1002</v>
      </c>
      <c r="G39" s="115" t="s">
        <v>151</v>
      </c>
      <c r="H39">
        <v>34</v>
      </c>
      <c r="J39">
        <v>112</v>
      </c>
    </row>
    <row r="40" spans="1:10" x14ac:dyDescent="0.2">
      <c r="A40" t="s">
        <v>41</v>
      </c>
      <c r="B40" t="s">
        <v>40</v>
      </c>
      <c r="C40">
        <v>35</v>
      </c>
      <c r="D40">
        <v>401</v>
      </c>
      <c r="E40">
        <v>540</v>
      </c>
      <c r="F40">
        <v>952</v>
      </c>
      <c r="G40" s="115" t="s">
        <v>151</v>
      </c>
      <c r="H40">
        <v>35</v>
      </c>
      <c r="J40">
        <v>97</v>
      </c>
    </row>
    <row r="41" spans="1:10" x14ac:dyDescent="0.2">
      <c r="A41" t="s">
        <v>41</v>
      </c>
      <c r="B41" t="s">
        <v>40</v>
      </c>
      <c r="C41">
        <v>47</v>
      </c>
      <c r="D41">
        <v>401</v>
      </c>
      <c r="E41">
        <v>540</v>
      </c>
      <c r="F41">
        <v>959</v>
      </c>
      <c r="G41" s="115" t="s">
        <v>152</v>
      </c>
      <c r="H41">
        <v>36</v>
      </c>
      <c r="J41">
        <v>119</v>
      </c>
    </row>
    <row r="42" spans="1:10" x14ac:dyDescent="0.2">
      <c r="A42" t="s">
        <v>41</v>
      </c>
      <c r="B42" t="s">
        <v>40</v>
      </c>
      <c r="C42">
        <v>25</v>
      </c>
      <c r="D42">
        <v>401</v>
      </c>
      <c r="E42">
        <v>546</v>
      </c>
      <c r="F42">
        <v>2512</v>
      </c>
      <c r="G42" s="115" t="s">
        <v>152</v>
      </c>
      <c r="H42">
        <v>37</v>
      </c>
      <c r="J42">
        <v>462</v>
      </c>
    </row>
    <row r="43" spans="1:10" x14ac:dyDescent="0.2">
      <c r="A43" t="s">
        <v>41</v>
      </c>
      <c r="B43" t="s">
        <v>40</v>
      </c>
      <c r="C43">
        <v>24</v>
      </c>
      <c r="D43">
        <v>401</v>
      </c>
      <c r="E43">
        <v>547</v>
      </c>
      <c r="F43">
        <v>2931</v>
      </c>
      <c r="G43" s="115" t="s">
        <v>152</v>
      </c>
      <c r="H43">
        <v>38</v>
      </c>
      <c r="J43">
        <v>543</v>
      </c>
    </row>
    <row r="44" spans="1:10" x14ac:dyDescent="0.2">
      <c r="A44" t="s">
        <v>41</v>
      </c>
      <c r="B44" t="s">
        <v>40</v>
      </c>
      <c r="C44">
        <v>10</v>
      </c>
      <c r="D44">
        <v>401</v>
      </c>
      <c r="E44">
        <v>553</v>
      </c>
      <c r="F44">
        <v>2042</v>
      </c>
      <c r="G44" s="115" t="s">
        <v>152</v>
      </c>
      <c r="H44">
        <v>39</v>
      </c>
      <c r="J44">
        <v>338</v>
      </c>
    </row>
    <row r="45" spans="1:10" x14ac:dyDescent="0.2">
      <c r="A45" t="s">
        <v>41</v>
      </c>
      <c r="B45" t="s">
        <v>40</v>
      </c>
      <c r="C45">
        <v>12</v>
      </c>
      <c r="D45">
        <v>401</v>
      </c>
      <c r="E45">
        <v>553</v>
      </c>
      <c r="F45">
        <v>2431</v>
      </c>
      <c r="G45" s="115" t="s">
        <v>152</v>
      </c>
      <c r="H45">
        <v>40</v>
      </c>
      <c r="J45">
        <v>415</v>
      </c>
    </row>
    <row r="46" spans="1:10" x14ac:dyDescent="0.2">
      <c r="A46" t="s">
        <v>41</v>
      </c>
      <c r="B46" t="s">
        <v>40</v>
      </c>
      <c r="C46">
        <v>22</v>
      </c>
      <c r="D46">
        <v>401</v>
      </c>
      <c r="E46">
        <v>553</v>
      </c>
      <c r="F46">
        <v>2023</v>
      </c>
      <c r="G46" s="115" t="s">
        <v>152</v>
      </c>
      <c r="H46">
        <v>41</v>
      </c>
      <c r="J46">
        <v>336</v>
      </c>
    </row>
    <row r="47" spans="1:10" x14ac:dyDescent="0.2">
      <c r="A47" t="s">
        <v>41</v>
      </c>
      <c r="B47" t="s">
        <v>40</v>
      </c>
      <c r="C47">
        <v>14</v>
      </c>
      <c r="D47">
        <v>401</v>
      </c>
      <c r="E47">
        <v>555</v>
      </c>
      <c r="F47">
        <v>1940</v>
      </c>
      <c r="G47" s="115" t="s">
        <v>152</v>
      </c>
      <c r="H47">
        <v>42</v>
      </c>
      <c r="J47">
        <v>287</v>
      </c>
    </row>
    <row r="48" spans="1:10" x14ac:dyDescent="0.2">
      <c r="A48" t="s">
        <v>41</v>
      </c>
      <c r="B48" t="s">
        <v>40</v>
      </c>
      <c r="C48">
        <v>46</v>
      </c>
      <c r="D48">
        <v>401</v>
      </c>
      <c r="E48">
        <v>559</v>
      </c>
      <c r="F48">
        <v>917</v>
      </c>
      <c r="G48" s="115" t="s">
        <v>152</v>
      </c>
      <c r="H48">
        <v>43</v>
      </c>
      <c r="J48">
        <v>95</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90000"/>
  </sheetPr>
  <dimension ref="A1:J29"/>
  <sheetViews>
    <sheetView workbookViewId="0">
      <selection sqref="A1:J1"/>
    </sheetView>
  </sheetViews>
  <sheetFormatPr defaultRowHeight="12.75" x14ac:dyDescent="0.2"/>
  <sheetData>
    <row r="1" spans="1:10" x14ac:dyDescent="0.2">
      <c r="A1" s="5" t="s">
        <v>140</v>
      </c>
      <c r="B1" s="5" t="s">
        <v>141</v>
      </c>
      <c r="C1" s="5" t="s">
        <v>142</v>
      </c>
      <c r="D1" t="s">
        <v>70</v>
      </c>
      <c r="E1" t="s">
        <v>11</v>
      </c>
      <c r="F1" t="s">
        <v>12</v>
      </c>
      <c r="G1" s="115" t="s">
        <v>143</v>
      </c>
      <c r="H1" s="5" t="s">
        <v>144</v>
      </c>
      <c r="I1" s="5" t="s">
        <v>145</v>
      </c>
      <c r="J1" t="s">
        <v>16</v>
      </c>
    </row>
    <row r="4" spans="1:10" x14ac:dyDescent="0.2">
      <c r="A4" t="s">
        <v>42</v>
      </c>
      <c r="B4" t="s">
        <v>40</v>
      </c>
      <c r="C4">
        <v>10</v>
      </c>
      <c r="D4">
        <v>480</v>
      </c>
      <c r="E4">
        <v>444</v>
      </c>
      <c r="F4">
        <v>1148</v>
      </c>
      <c r="J4">
        <v>175</v>
      </c>
    </row>
    <row r="5" spans="1:10" x14ac:dyDescent="0.2">
      <c r="A5" t="s">
        <v>42</v>
      </c>
      <c r="B5" t="s">
        <v>40</v>
      </c>
      <c r="C5">
        <v>11</v>
      </c>
      <c r="D5">
        <v>480</v>
      </c>
      <c r="E5">
        <v>447</v>
      </c>
      <c r="F5">
        <v>1128</v>
      </c>
      <c r="J5">
        <v>159</v>
      </c>
    </row>
    <row r="6" spans="1:10" x14ac:dyDescent="0.2">
      <c r="A6" t="s">
        <v>42</v>
      </c>
      <c r="B6" t="s">
        <v>40</v>
      </c>
      <c r="C6">
        <v>2</v>
      </c>
      <c r="D6">
        <v>480</v>
      </c>
      <c r="E6">
        <v>517</v>
      </c>
      <c r="F6">
        <v>1807</v>
      </c>
      <c r="J6">
        <v>294</v>
      </c>
    </row>
    <row r="7" spans="1:10" x14ac:dyDescent="0.2">
      <c r="A7" t="s">
        <v>42</v>
      </c>
      <c r="B7" t="s">
        <v>40</v>
      </c>
      <c r="C7">
        <v>34</v>
      </c>
      <c r="D7">
        <v>480</v>
      </c>
      <c r="E7">
        <v>517</v>
      </c>
      <c r="F7">
        <v>1938</v>
      </c>
      <c r="J7">
        <v>287</v>
      </c>
    </row>
    <row r="8" spans="1:10" x14ac:dyDescent="0.2">
      <c r="A8" t="s">
        <v>42</v>
      </c>
      <c r="B8" t="s">
        <v>40</v>
      </c>
      <c r="C8">
        <v>56</v>
      </c>
      <c r="D8">
        <v>480</v>
      </c>
      <c r="E8">
        <v>553</v>
      </c>
      <c r="F8">
        <v>1101</v>
      </c>
      <c r="J8">
        <v>115</v>
      </c>
    </row>
    <row r="9" spans="1:10" x14ac:dyDescent="0.2">
      <c r="A9" t="s">
        <v>42</v>
      </c>
      <c r="B9" t="s">
        <v>40</v>
      </c>
      <c r="C9">
        <v>51</v>
      </c>
      <c r="D9">
        <v>480</v>
      </c>
      <c r="E9">
        <v>601</v>
      </c>
      <c r="F9">
        <v>1108</v>
      </c>
      <c r="J9">
        <v>115</v>
      </c>
    </row>
    <row r="10" spans="1:10" x14ac:dyDescent="0.2">
      <c r="A10" t="s">
        <v>42</v>
      </c>
      <c r="B10" t="s">
        <v>40</v>
      </c>
      <c r="C10">
        <v>4</v>
      </c>
      <c r="D10">
        <v>480</v>
      </c>
      <c r="E10">
        <v>617</v>
      </c>
      <c r="F10">
        <v>1732</v>
      </c>
      <c r="J10">
        <v>253</v>
      </c>
    </row>
    <row r="11" spans="1:10" x14ac:dyDescent="0.2">
      <c r="A11" t="s">
        <v>42</v>
      </c>
      <c r="B11" t="s">
        <v>40</v>
      </c>
      <c r="C11">
        <v>6</v>
      </c>
      <c r="D11">
        <v>480</v>
      </c>
      <c r="E11">
        <v>624</v>
      </c>
      <c r="F11">
        <v>2200</v>
      </c>
      <c r="J11">
        <v>330</v>
      </c>
    </row>
    <row r="12" spans="1:10" x14ac:dyDescent="0.2">
      <c r="A12" t="s">
        <v>42</v>
      </c>
      <c r="B12" t="s">
        <v>40</v>
      </c>
      <c r="C12">
        <v>81</v>
      </c>
      <c r="D12">
        <v>480</v>
      </c>
      <c r="E12">
        <v>626</v>
      </c>
      <c r="F12">
        <v>1035</v>
      </c>
      <c r="J12">
        <v>107</v>
      </c>
    </row>
    <row r="13" spans="1:10" x14ac:dyDescent="0.2">
      <c r="A13" t="s">
        <v>42</v>
      </c>
      <c r="B13" t="s">
        <v>40</v>
      </c>
      <c r="C13">
        <v>53</v>
      </c>
      <c r="D13">
        <v>480</v>
      </c>
      <c r="E13">
        <v>627</v>
      </c>
      <c r="F13">
        <v>936</v>
      </c>
      <c r="J13">
        <v>79</v>
      </c>
    </row>
    <row r="14" spans="1:10" x14ac:dyDescent="0.2">
      <c r="A14" t="s">
        <v>42</v>
      </c>
      <c r="B14" t="s">
        <v>40</v>
      </c>
      <c r="C14">
        <v>50</v>
      </c>
      <c r="D14">
        <v>480</v>
      </c>
      <c r="E14">
        <v>638</v>
      </c>
      <c r="F14">
        <v>915</v>
      </c>
      <c r="J14">
        <v>114</v>
      </c>
    </row>
    <row r="15" spans="1:10" x14ac:dyDescent="0.2">
      <c r="A15" t="s">
        <v>42</v>
      </c>
      <c r="B15" t="s">
        <v>40</v>
      </c>
      <c r="C15">
        <v>82</v>
      </c>
      <c r="D15">
        <v>480</v>
      </c>
      <c r="E15">
        <v>642</v>
      </c>
      <c r="F15">
        <v>1110</v>
      </c>
      <c r="J15">
        <v>107</v>
      </c>
    </row>
    <row r="16" spans="1:10" x14ac:dyDescent="0.2">
      <c r="A16" t="s">
        <v>42</v>
      </c>
      <c r="B16" t="s">
        <v>40</v>
      </c>
      <c r="C16">
        <v>52</v>
      </c>
      <c r="D16">
        <v>480</v>
      </c>
      <c r="E16">
        <v>650</v>
      </c>
      <c r="F16">
        <v>1032</v>
      </c>
      <c r="J16">
        <v>112</v>
      </c>
    </row>
    <row r="17" spans="1:10" x14ac:dyDescent="0.2">
      <c r="A17" t="s">
        <v>42</v>
      </c>
      <c r="B17" t="s">
        <v>40</v>
      </c>
      <c r="C17">
        <v>1</v>
      </c>
      <c r="D17">
        <v>480</v>
      </c>
      <c r="E17">
        <v>655</v>
      </c>
      <c r="F17">
        <v>2615</v>
      </c>
      <c r="J17">
        <v>392</v>
      </c>
    </row>
    <row r="18" spans="1:10" x14ac:dyDescent="0.2">
      <c r="A18" t="s">
        <v>42</v>
      </c>
      <c r="B18" t="s">
        <v>40</v>
      </c>
      <c r="C18">
        <v>84</v>
      </c>
      <c r="D18">
        <v>480</v>
      </c>
      <c r="E18">
        <v>702</v>
      </c>
      <c r="F18">
        <v>1122</v>
      </c>
      <c r="J18">
        <v>102</v>
      </c>
    </row>
    <row r="19" spans="1:10" x14ac:dyDescent="0.2">
      <c r="A19" t="s">
        <v>42</v>
      </c>
      <c r="B19" t="s">
        <v>40</v>
      </c>
      <c r="C19">
        <v>15</v>
      </c>
      <c r="D19">
        <v>480</v>
      </c>
      <c r="E19">
        <v>707</v>
      </c>
      <c r="F19">
        <v>1016</v>
      </c>
      <c r="J19">
        <v>90</v>
      </c>
    </row>
    <row r="20" spans="1:10" x14ac:dyDescent="0.2">
      <c r="A20" t="s">
        <v>42</v>
      </c>
      <c r="B20" t="s">
        <v>40</v>
      </c>
      <c r="C20">
        <v>5</v>
      </c>
      <c r="D20">
        <v>480</v>
      </c>
      <c r="E20">
        <v>710</v>
      </c>
      <c r="F20">
        <v>2123</v>
      </c>
      <c r="J20">
        <v>330</v>
      </c>
    </row>
    <row r="21" spans="1:10" x14ac:dyDescent="0.2">
      <c r="A21" t="s">
        <v>42</v>
      </c>
      <c r="B21" t="s">
        <v>40</v>
      </c>
      <c r="C21">
        <v>92</v>
      </c>
      <c r="D21">
        <v>480</v>
      </c>
      <c r="E21">
        <v>719</v>
      </c>
      <c r="F21">
        <v>925</v>
      </c>
      <c r="J21">
        <v>61</v>
      </c>
    </row>
    <row r="22" spans="1:10" x14ac:dyDescent="0.2">
      <c r="A22" t="s">
        <v>42</v>
      </c>
      <c r="B22" t="s">
        <v>40</v>
      </c>
      <c r="C22">
        <v>12</v>
      </c>
      <c r="D22">
        <v>480</v>
      </c>
      <c r="E22">
        <v>727</v>
      </c>
      <c r="F22">
        <v>943</v>
      </c>
      <c r="J22">
        <v>57</v>
      </c>
    </row>
    <row r="23" spans="1:10" x14ac:dyDescent="0.2">
      <c r="A23" t="s">
        <v>42</v>
      </c>
      <c r="B23" t="s">
        <v>40</v>
      </c>
      <c r="C23">
        <v>7</v>
      </c>
      <c r="D23">
        <v>480</v>
      </c>
      <c r="E23">
        <v>730</v>
      </c>
      <c r="F23">
        <v>2033</v>
      </c>
      <c r="J23">
        <v>316</v>
      </c>
    </row>
    <row r="24" spans="1:10" x14ac:dyDescent="0.2">
      <c r="A24" t="s">
        <v>42</v>
      </c>
      <c r="B24" t="s">
        <v>40</v>
      </c>
      <c r="C24">
        <v>13</v>
      </c>
      <c r="D24">
        <v>480</v>
      </c>
      <c r="E24">
        <v>745</v>
      </c>
      <c r="F24">
        <v>919</v>
      </c>
      <c r="J24">
        <v>52</v>
      </c>
    </row>
    <row r="25" spans="1:10" x14ac:dyDescent="0.2">
      <c r="A25" t="s">
        <v>42</v>
      </c>
      <c r="B25" t="s">
        <v>40</v>
      </c>
      <c r="C25">
        <v>14</v>
      </c>
      <c r="D25">
        <v>480</v>
      </c>
      <c r="E25">
        <v>746</v>
      </c>
      <c r="F25">
        <v>1002</v>
      </c>
      <c r="J25">
        <v>66</v>
      </c>
    </row>
    <row r="26" spans="1:10" x14ac:dyDescent="0.2">
      <c r="A26" t="s">
        <v>42</v>
      </c>
      <c r="B26" t="s">
        <v>40</v>
      </c>
      <c r="C26">
        <v>3</v>
      </c>
      <c r="D26">
        <v>480</v>
      </c>
      <c r="E26">
        <v>816</v>
      </c>
      <c r="F26">
        <v>1841</v>
      </c>
      <c r="J26">
        <v>221</v>
      </c>
    </row>
    <row r="27" spans="1:10" x14ac:dyDescent="0.2">
      <c r="A27" t="s">
        <v>42</v>
      </c>
      <c r="B27" t="s">
        <v>40</v>
      </c>
      <c r="C27">
        <v>8</v>
      </c>
      <c r="D27">
        <v>620</v>
      </c>
      <c r="E27">
        <v>539</v>
      </c>
      <c r="F27">
        <v>2347</v>
      </c>
      <c r="J27">
        <v>519</v>
      </c>
    </row>
    <row r="28" spans="1:10" x14ac:dyDescent="0.2">
      <c r="A28" t="s">
        <v>42</v>
      </c>
      <c r="B28" t="s">
        <v>40</v>
      </c>
      <c r="C28">
        <v>2</v>
      </c>
      <c r="D28">
        <v>620</v>
      </c>
      <c r="E28">
        <v>638</v>
      </c>
      <c r="F28">
        <v>2247</v>
      </c>
      <c r="J28">
        <v>464</v>
      </c>
    </row>
    <row r="29" spans="1:10" x14ac:dyDescent="0.2">
      <c r="A29" t="s">
        <v>42</v>
      </c>
      <c r="B29" t="s">
        <v>40</v>
      </c>
      <c r="C29">
        <v>1</v>
      </c>
      <c r="D29">
        <v>620</v>
      </c>
      <c r="E29">
        <v>700</v>
      </c>
      <c r="F29">
        <v>1400</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0000"/>
  </sheetPr>
  <dimension ref="A1:J89"/>
  <sheetViews>
    <sheetView workbookViewId="0">
      <selection activeCell="A90" sqref="A90"/>
    </sheetView>
  </sheetViews>
  <sheetFormatPr defaultRowHeight="12.75" x14ac:dyDescent="0.2"/>
  <sheetData>
    <row r="1" spans="1:10" x14ac:dyDescent="0.2">
      <c r="A1" s="5" t="s">
        <v>140</v>
      </c>
      <c r="B1" s="5" t="s">
        <v>141</v>
      </c>
      <c r="C1" s="5" t="s">
        <v>142</v>
      </c>
      <c r="D1" t="s">
        <v>70</v>
      </c>
      <c r="E1" t="s">
        <v>11</v>
      </c>
      <c r="F1" t="s">
        <v>12</v>
      </c>
      <c r="G1" s="115" t="s">
        <v>143</v>
      </c>
      <c r="H1" s="5" t="s">
        <v>144</v>
      </c>
      <c r="I1" s="5" t="s">
        <v>145</v>
      </c>
      <c r="J1" t="s">
        <v>16</v>
      </c>
    </row>
    <row r="5" spans="1:10" x14ac:dyDescent="0.2">
      <c r="A5" t="s">
        <v>41</v>
      </c>
      <c r="B5" t="s">
        <v>40</v>
      </c>
      <c r="C5">
        <v>1</v>
      </c>
      <c r="D5">
        <v>401</v>
      </c>
      <c r="E5">
        <v>424</v>
      </c>
      <c r="F5">
        <v>2616</v>
      </c>
      <c r="J5">
        <v>489</v>
      </c>
    </row>
    <row r="6" spans="1:10" x14ac:dyDescent="0.2">
      <c r="A6" t="s">
        <v>41</v>
      </c>
      <c r="B6" t="s">
        <v>40</v>
      </c>
      <c r="C6">
        <v>21</v>
      </c>
      <c r="D6">
        <v>401</v>
      </c>
      <c r="E6">
        <v>425</v>
      </c>
      <c r="F6">
        <v>2308</v>
      </c>
      <c r="J6">
        <v>415</v>
      </c>
    </row>
    <row r="7" spans="1:10" x14ac:dyDescent="0.2">
      <c r="A7" t="s">
        <v>41</v>
      </c>
      <c r="B7" t="s">
        <v>40</v>
      </c>
      <c r="C7">
        <v>23</v>
      </c>
      <c r="D7">
        <v>401</v>
      </c>
      <c r="E7">
        <v>425</v>
      </c>
      <c r="F7">
        <v>2901</v>
      </c>
      <c r="J7">
        <v>563</v>
      </c>
    </row>
    <row r="8" spans="1:10" x14ac:dyDescent="0.2">
      <c r="A8" t="s">
        <v>41</v>
      </c>
      <c r="B8" t="s">
        <v>40</v>
      </c>
      <c r="C8">
        <v>6</v>
      </c>
      <c r="D8">
        <v>401</v>
      </c>
      <c r="E8">
        <v>426</v>
      </c>
      <c r="F8">
        <v>1953</v>
      </c>
      <c r="J8">
        <v>361</v>
      </c>
    </row>
    <row r="9" spans="1:10" x14ac:dyDescent="0.2">
      <c r="A9" t="s">
        <v>41</v>
      </c>
      <c r="B9" t="s">
        <v>40</v>
      </c>
      <c r="C9">
        <v>16</v>
      </c>
      <c r="D9">
        <v>401</v>
      </c>
      <c r="E9">
        <v>427</v>
      </c>
      <c r="F9">
        <v>1823</v>
      </c>
      <c r="J9">
        <v>336</v>
      </c>
    </row>
    <row r="10" spans="1:10" x14ac:dyDescent="0.2">
      <c r="A10" t="s">
        <v>41</v>
      </c>
      <c r="B10" t="s">
        <v>40</v>
      </c>
      <c r="C10">
        <v>18</v>
      </c>
      <c r="D10">
        <v>401</v>
      </c>
      <c r="E10">
        <v>438</v>
      </c>
      <c r="F10">
        <v>2121</v>
      </c>
      <c r="J10">
        <v>385</v>
      </c>
    </row>
    <row r="11" spans="1:10" x14ac:dyDescent="0.2">
      <c r="A11" t="s">
        <v>41</v>
      </c>
      <c r="B11" t="s">
        <v>40</v>
      </c>
      <c r="C11">
        <v>20</v>
      </c>
      <c r="D11">
        <v>401</v>
      </c>
      <c r="E11">
        <v>443</v>
      </c>
      <c r="F11">
        <v>1900</v>
      </c>
      <c r="J11">
        <v>316</v>
      </c>
    </row>
    <row r="12" spans="1:10" x14ac:dyDescent="0.2">
      <c r="A12" t="s">
        <v>41</v>
      </c>
      <c r="B12" t="s">
        <v>40</v>
      </c>
      <c r="C12">
        <v>11</v>
      </c>
      <c r="D12">
        <v>401</v>
      </c>
      <c r="E12">
        <v>446</v>
      </c>
      <c r="F12">
        <v>2602</v>
      </c>
      <c r="J12">
        <v>477</v>
      </c>
    </row>
    <row r="13" spans="1:10" x14ac:dyDescent="0.2">
      <c r="A13" t="s">
        <v>41</v>
      </c>
      <c r="B13" t="s">
        <v>40</v>
      </c>
      <c r="C13">
        <v>5</v>
      </c>
      <c r="D13">
        <v>401</v>
      </c>
      <c r="E13">
        <v>453</v>
      </c>
      <c r="F13">
        <v>2108</v>
      </c>
      <c r="J13">
        <v>382</v>
      </c>
    </row>
    <row r="14" spans="1:10" x14ac:dyDescent="0.2">
      <c r="A14" t="s">
        <v>41</v>
      </c>
      <c r="B14" t="s">
        <v>40</v>
      </c>
      <c r="C14">
        <v>26</v>
      </c>
      <c r="D14">
        <v>401</v>
      </c>
      <c r="E14">
        <v>457</v>
      </c>
      <c r="F14">
        <v>1738</v>
      </c>
      <c r="J14">
        <v>300</v>
      </c>
    </row>
    <row r="15" spans="1:10" x14ac:dyDescent="0.2">
      <c r="A15" t="s">
        <v>41</v>
      </c>
      <c r="B15" t="s">
        <v>40</v>
      </c>
      <c r="C15">
        <v>4</v>
      </c>
      <c r="D15">
        <v>401</v>
      </c>
      <c r="E15">
        <v>504</v>
      </c>
      <c r="F15">
        <v>1756</v>
      </c>
      <c r="J15">
        <v>293</v>
      </c>
    </row>
    <row r="16" spans="1:10" x14ac:dyDescent="0.2">
      <c r="A16" t="s">
        <v>41</v>
      </c>
      <c r="B16" t="s">
        <v>40</v>
      </c>
      <c r="C16">
        <v>30</v>
      </c>
      <c r="D16">
        <v>401</v>
      </c>
      <c r="E16">
        <v>510</v>
      </c>
      <c r="F16">
        <v>1916</v>
      </c>
      <c r="J16">
        <v>341</v>
      </c>
    </row>
    <row r="17" spans="1:10" x14ac:dyDescent="0.2">
      <c r="A17" t="s">
        <v>41</v>
      </c>
      <c r="B17" t="s">
        <v>40</v>
      </c>
      <c r="C17">
        <v>13</v>
      </c>
      <c r="D17">
        <v>401</v>
      </c>
      <c r="E17">
        <v>517</v>
      </c>
      <c r="F17">
        <v>2312</v>
      </c>
      <c r="J17">
        <v>375</v>
      </c>
    </row>
    <row r="18" spans="1:10" x14ac:dyDescent="0.2">
      <c r="A18" t="s">
        <v>41</v>
      </c>
      <c r="B18" t="s">
        <v>40</v>
      </c>
      <c r="C18">
        <v>36</v>
      </c>
      <c r="D18">
        <v>401</v>
      </c>
      <c r="E18">
        <v>522</v>
      </c>
      <c r="F18">
        <v>1009</v>
      </c>
      <c r="J18">
        <v>129</v>
      </c>
    </row>
    <row r="19" spans="1:10" x14ac:dyDescent="0.2">
      <c r="A19" t="s">
        <v>41</v>
      </c>
      <c r="B19" t="s">
        <v>40</v>
      </c>
      <c r="C19">
        <v>3</v>
      </c>
      <c r="D19">
        <v>401</v>
      </c>
      <c r="E19">
        <v>523</v>
      </c>
      <c r="F19">
        <v>2002</v>
      </c>
      <c r="J19">
        <v>354</v>
      </c>
    </row>
    <row r="20" spans="1:10" x14ac:dyDescent="0.2">
      <c r="A20" t="s">
        <v>41</v>
      </c>
      <c r="B20" t="s">
        <v>40</v>
      </c>
      <c r="C20">
        <v>2</v>
      </c>
      <c r="D20">
        <v>401</v>
      </c>
      <c r="E20">
        <v>524</v>
      </c>
      <c r="F20">
        <v>1913</v>
      </c>
      <c r="J20">
        <v>289</v>
      </c>
    </row>
    <row r="21" spans="1:10" x14ac:dyDescent="0.2">
      <c r="A21" t="s">
        <v>41</v>
      </c>
      <c r="B21" t="s">
        <v>40</v>
      </c>
      <c r="C21">
        <v>33</v>
      </c>
      <c r="D21">
        <v>401</v>
      </c>
      <c r="E21">
        <v>529</v>
      </c>
      <c r="F21">
        <v>848</v>
      </c>
      <c r="J21">
        <v>88</v>
      </c>
    </row>
    <row r="22" spans="1:10" x14ac:dyDescent="0.2">
      <c r="A22" t="s">
        <v>41</v>
      </c>
      <c r="B22" t="s">
        <v>40</v>
      </c>
      <c r="C22">
        <v>31</v>
      </c>
      <c r="D22">
        <v>401</v>
      </c>
      <c r="E22">
        <v>533</v>
      </c>
      <c r="F22">
        <v>939</v>
      </c>
      <c r="J22">
        <v>97</v>
      </c>
    </row>
    <row r="23" spans="1:10" x14ac:dyDescent="0.2">
      <c r="A23" t="s">
        <v>41</v>
      </c>
      <c r="B23" t="s">
        <v>40</v>
      </c>
      <c r="C23">
        <v>34</v>
      </c>
      <c r="D23">
        <v>401</v>
      </c>
      <c r="E23">
        <v>533</v>
      </c>
      <c r="F23">
        <v>1002</v>
      </c>
      <c r="J23">
        <v>112</v>
      </c>
    </row>
    <row r="24" spans="1:10" x14ac:dyDescent="0.2">
      <c r="A24" t="s">
        <v>41</v>
      </c>
      <c r="B24" t="s">
        <v>40</v>
      </c>
      <c r="C24">
        <v>35</v>
      </c>
      <c r="D24">
        <v>401</v>
      </c>
      <c r="E24">
        <v>540</v>
      </c>
      <c r="F24">
        <v>952</v>
      </c>
      <c r="J24">
        <v>97</v>
      </c>
    </row>
    <row r="25" spans="1:10" x14ac:dyDescent="0.2">
      <c r="A25" t="s">
        <v>41</v>
      </c>
      <c r="B25" t="s">
        <v>40</v>
      </c>
      <c r="C25">
        <v>47</v>
      </c>
      <c r="D25">
        <v>401</v>
      </c>
      <c r="E25">
        <v>540</v>
      </c>
      <c r="F25">
        <v>959</v>
      </c>
      <c r="J25">
        <v>119</v>
      </c>
    </row>
    <row r="26" spans="1:10" x14ac:dyDescent="0.2">
      <c r="A26" t="s">
        <v>41</v>
      </c>
      <c r="B26" t="s">
        <v>40</v>
      </c>
      <c r="C26">
        <v>25</v>
      </c>
      <c r="D26">
        <v>401</v>
      </c>
      <c r="E26">
        <v>546</v>
      </c>
      <c r="F26">
        <v>2512</v>
      </c>
      <c r="J26">
        <v>462</v>
      </c>
    </row>
    <row r="27" spans="1:10" x14ac:dyDescent="0.2">
      <c r="A27" t="s">
        <v>41</v>
      </c>
      <c r="B27" t="s">
        <v>40</v>
      </c>
      <c r="C27">
        <v>24</v>
      </c>
      <c r="D27">
        <v>401</v>
      </c>
      <c r="E27">
        <v>547</v>
      </c>
      <c r="F27">
        <v>2931</v>
      </c>
      <c r="J27">
        <v>543</v>
      </c>
    </row>
    <row r="28" spans="1:10" x14ac:dyDescent="0.2">
      <c r="A28" t="s">
        <v>41</v>
      </c>
      <c r="B28" t="s">
        <v>40</v>
      </c>
      <c r="C28">
        <v>10</v>
      </c>
      <c r="D28">
        <v>401</v>
      </c>
      <c r="E28">
        <v>553</v>
      </c>
      <c r="F28">
        <v>2042</v>
      </c>
      <c r="J28">
        <v>338</v>
      </c>
    </row>
    <row r="29" spans="1:10" x14ac:dyDescent="0.2">
      <c r="A29" t="s">
        <v>41</v>
      </c>
      <c r="B29" t="s">
        <v>40</v>
      </c>
      <c r="C29">
        <v>12</v>
      </c>
      <c r="D29">
        <v>401</v>
      </c>
      <c r="E29">
        <v>553</v>
      </c>
      <c r="F29">
        <v>2431</v>
      </c>
      <c r="J29">
        <v>415</v>
      </c>
    </row>
    <row r="30" spans="1:10" x14ac:dyDescent="0.2">
      <c r="A30" t="s">
        <v>41</v>
      </c>
      <c r="B30" t="s">
        <v>40</v>
      </c>
      <c r="C30">
        <v>22</v>
      </c>
      <c r="D30">
        <v>401</v>
      </c>
      <c r="E30">
        <v>553</v>
      </c>
      <c r="F30">
        <v>2023</v>
      </c>
      <c r="J30">
        <v>336</v>
      </c>
    </row>
    <row r="31" spans="1:10" x14ac:dyDescent="0.2">
      <c r="A31" t="s">
        <v>41</v>
      </c>
      <c r="B31" t="s">
        <v>40</v>
      </c>
      <c r="C31">
        <v>14</v>
      </c>
      <c r="D31">
        <v>401</v>
      </c>
      <c r="E31">
        <v>555</v>
      </c>
      <c r="F31">
        <v>1940</v>
      </c>
      <c r="J31">
        <v>287</v>
      </c>
    </row>
    <row r="32" spans="1:10" x14ac:dyDescent="0.2">
      <c r="A32" t="s">
        <v>41</v>
      </c>
      <c r="B32" t="s">
        <v>40</v>
      </c>
      <c r="C32">
        <v>46</v>
      </c>
      <c r="D32">
        <v>401</v>
      </c>
      <c r="E32">
        <v>559</v>
      </c>
      <c r="F32">
        <v>917</v>
      </c>
      <c r="J32">
        <v>95</v>
      </c>
    </row>
    <row r="33" spans="1:10" x14ac:dyDescent="0.2">
      <c r="A33" t="s">
        <v>41</v>
      </c>
      <c r="B33" t="s">
        <v>40</v>
      </c>
      <c r="C33">
        <v>9</v>
      </c>
      <c r="D33">
        <v>401</v>
      </c>
      <c r="E33">
        <v>559</v>
      </c>
      <c r="F33">
        <v>2015</v>
      </c>
      <c r="J33">
        <v>287</v>
      </c>
    </row>
    <row r="34" spans="1:10" x14ac:dyDescent="0.2">
      <c r="A34" t="s">
        <v>41</v>
      </c>
      <c r="B34" t="s">
        <v>40</v>
      </c>
      <c r="C34">
        <v>42</v>
      </c>
      <c r="D34">
        <v>401</v>
      </c>
      <c r="E34">
        <v>603</v>
      </c>
      <c r="F34">
        <v>908</v>
      </c>
      <c r="J34">
        <v>74</v>
      </c>
    </row>
    <row r="35" spans="1:10" x14ac:dyDescent="0.2">
      <c r="A35" t="s">
        <v>41</v>
      </c>
      <c r="B35" t="s">
        <v>40</v>
      </c>
      <c r="C35">
        <v>15</v>
      </c>
      <c r="D35">
        <v>401</v>
      </c>
      <c r="E35">
        <v>606</v>
      </c>
      <c r="F35">
        <v>1954</v>
      </c>
      <c r="J35">
        <v>291</v>
      </c>
    </row>
    <row r="36" spans="1:10" x14ac:dyDescent="0.2">
      <c r="A36" t="s">
        <v>41</v>
      </c>
      <c r="B36" t="s">
        <v>40</v>
      </c>
      <c r="C36">
        <v>45</v>
      </c>
      <c r="D36">
        <v>401</v>
      </c>
      <c r="E36">
        <v>609</v>
      </c>
      <c r="F36">
        <v>852</v>
      </c>
      <c r="J36">
        <v>76</v>
      </c>
    </row>
    <row r="37" spans="1:10" x14ac:dyDescent="0.2">
      <c r="A37" t="s">
        <v>41</v>
      </c>
      <c r="B37" t="s">
        <v>40</v>
      </c>
      <c r="C37">
        <v>38</v>
      </c>
      <c r="D37">
        <v>401</v>
      </c>
      <c r="E37">
        <v>611</v>
      </c>
      <c r="F37">
        <v>904</v>
      </c>
      <c r="J37">
        <v>81</v>
      </c>
    </row>
    <row r="38" spans="1:10" x14ac:dyDescent="0.2">
      <c r="A38" t="s">
        <v>41</v>
      </c>
      <c r="B38" t="s">
        <v>40</v>
      </c>
      <c r="C38">
        <v>8</v>
      </c>
      <c r="D38">
        <v>401</v>
      </c>
      <c r="E38">
        <v>611</v>
      </c>
      <c r="F38">
        <v>1849</v>
      </c>
      <c r="J38">
        <v>270</v>
      </c>
    </row>
    <row r="39" spans="1:10" x14ac:dyDescent="0.2">
      <c r="A39" t="s">
        <v>41</v>
      </c>
      <c r="B39" t="s">
        <v>40</v>
      </c>
      <c r="C39">
        <v>37</v>
      </c>
      <c r="D39">
        <v>401</v>
      </c>
      <c r="E39">
        <v>613</v>
      </c>
      <c r="F39">
        <v>1031</v>
      </c>
      <c r="J39">
        <v>92</v>
      </c>
    </row>
    <row r="40" spans="1:10" x14ac:dyDescent="0.2">
      <c r="A40" t="s">
        <v>41</v>
      </c>
      <c r="B40" t="s">
        <v>40</v>
      </c>
      <c r="C40">
        <v>44</v>
      </c>
      <c r="D40">
        <v>401</v>
      </c>
      <c r="E40">
        <v>620</v>
      </c>
      <c r="F40">
        <v>947</v>
      </c>
      <c r="J40">
        <v>88</v>
      </c>
    </row>
    <row r="41" spans="1:10" x14ac:dyDescent="0.2">
      <c r="A41" t="s">
        <v>41</v>
      </c>
      <c r="B41" t="s">
        <v>40</v>
      </c>
      <c r="C41">
        <v>49</v>
      </c>
      <c r="D41">
        <v>401</v>
      </c>
      <c r="E41">
        <v>621</v>
      </c>
      <c r="F41">
        <v>919</v>
      </c>
      <c r="J41">
        <v>78</v>
      </c>
    </row>
    <row r="42" spans="1:10" x14ac:dyDescent="0.2">
      <c r="A42" t="s">
        <v>41</v>
      </c>
      <c r="B42" t="s">
        <v>40</v>
      </c>
      <c r="C42">
        <v>32</v>
      </c>
      <c r="D42">
        <v>401</v>
      </c>
      <c r="E42">
        <v>622</v>
      </c>
      <c r="F42">
        <v>1032</v>
      </c>
      <c r="J42">
        <v>104</v>
      </c>
    </row>
    <row r="43" spans="1:10" x14ac:dyDescent="0.2">
      <c r="A43" t="s">
        <v>41</v>
      </c>
      <c r="B43" t="s">
        <v>40</v>
      </c>
      <c r="C43">
        <v>48</v>
      </c>
      <c r="D43">
        <v>401</v>
      </c>
      <c r="E43">
        <v>640</v>
      </c>
      <c r="F43">
        <v>1004</v>
      </c>
      <c r="J43">
        <v>87</v>
      </c>
    </row>
    <row r="44" spans="1:10" x14ac:dyDescent="0.2">
      <c r="A44" t="s">
        <v>41</v>
      </c>
      <c r="B44" t="s">
        <v>40</v>
      </c>
      <c r="C44">
        <v>41</v>
      </c>
      <c r="D44">
        <v>401</v>
      </c>
      <c r="E44">
        <v>657</v>
      </c>
      <c r="F44">
        <v>943</v>
      </c>
      <c r="J44">
        <v>76</v>
      </c>
    </row>
    <row r="45" spans="1:10" x14ac:dyDescent="0.2">
      <c r="A45" t="s">
        <v>41</v>
      </c>
      <c r="B45" t="s">
        <v>40</v>
      </c>
      <c r="C45">
        <v>10</v>
      </c>
      <c r="D45">
        <v>402</v>
      </c>
      <c r="E45">
        <v>454</v>
      </c>
      <c r="F45">
        <v>2154</v>
      </c>
      <c r="J45">
        <v>362</v>
      </c>
    </row>
    <row r="46" spans="1:10" x14ac:dyDescent="0.2">
      <c r="A46" t="s">
        <v>41</v>
      </c>
      <c r="B46" t="s">
        <v>40</v>
      </c>
      <c r="C46">
        <v>13</v>
      </c>
      <c r="D46">
        <v>402</v>
      </c>
      <c r="E46">
        <v>515</v>
      </c>
      <c r="F46">
        <v>2850</v>
      </c>
      <c r="J46">
        <v>502</v>
      </c>
    </row>
    <row r="47" spans="1:10" x14ac:dyDescent="0.2">
      <c r="A47" t="s">
        <v>41</v>
      </c>
      <c r="B47" t="s">
        <v>40</v>
      </c>
      <c r="C47">
        <v>23</v>
      </c>
      <c r="D47">
        <v>402</v>
      </c>
      <c r="E47">
        <v>537</v>
      </c>
      <c r="F47">
        <v>1008</v>
      </c>
      <c r="J47">
        <v>98</v>
      </c>
    </row>
    <row r="48" spans="1:10" x14ac:dyDescent="0.2">
      <c r="A48" t="s">
        <v>41</v>
      </c>
      <c r="B48" t="s">
        <v>40</v>
      </c>
      <c r="C48">
        <v>25</v>
      </c>
      <c r="D48">
        <v>402</v>
      </c>
      <c r="E48">
        <v>550</v>
      </c>
      <c r="F48">
        <v>936</v>
      </c>
      <c r="J48">
        <v>89</v>
      </c>
    </row>
    <row r="49" spans="1:10" x14ac:dyDescent="0.2">
      <c r="A49" t="s">
        <v>41</v>
      </c>
      <c r="B49" t="s">
        <v>40</v>
      </c>
      <c r="C49">
        <v>12</v>
      </c>
      <c r="D49">
        <v>402</v>
      </c>
      <c r="E49">
        <v>556</v>
      </c>
      <c r="F49">
        <v>1906</v>
      </c>
      <c r="J49">
        <v>238</v>
      </c>
    </row>
    <row r="50" spans="1:10" x14ac:dyDescent="0.2">
      <c r="A50" t="s">
        <v>41</v>
      </c>
      <c r="B50" t="s">
        <v>40</v>
      </c>
      <c r="C50">
        <v>21</v>
      </c>
      <c r="D50">
        <v>402</v>
      </c>
      <c r="E50">
        <v>557</v>
      </c>
      <c r="F50">
        <v>921</v>
      </c>
      <c r="J50">
        <v>78</v>
      </c>
    </row>
    <row r="51" spans="1:10" x14ac:dyDescent="0.2">
      <c r="A51" t="s">
        <v>41</v>
      </c>
      <c r="B51" t="s">
        <v>40</v>
      </c>
      <c r="C51">
        <v>11</v>
      </c>
      <c r="D51">
        <v>402</v>
      </c>
      <c r="E51">
        <v>606</v>
      </c>
      <c r="F51">
        <v>1854</v>
      </c>
      <c r="J51">
        <v>278</v>
      </c>
    </row>
    <row r="52" spans="1:10" x14ac:dyDescent="0.2">
      <c r="A52" t="s">
        <v>41</v>
      </c>
      <c r="B52" t="s">
        <v>40</v>
      </c>
      <c r="C52">
        <v>16</v>
      </c>
      <c r="D52">
        <v>402</v>
      </c>
      <c r="E52">
        <v>655</v>
      </c>
      <c r="F52">
        <v>2236</v>
      </c>
      <c r="J52">
        <v>327</v>
      </c>
    </row>
    <row r="53" spans="1:10" x14ac:dyDescent="0.2">
      <c r="A53" t="s">
        <v>41</v>
      </c>
      <c r="B53" t="s">
        <v>40</v>
      </c>
      <c r="C53">
        <v>22</v>
      </c>
      <c r="D53">
        <v>402</v>
      </c>
      <c r="E53">
        <v>717</v>
      </c>
      <c r="F53">
        <v>946</v>
      </c>
      <c r="J53">
        <v>61</v>
      </c>
    </row>
    <row r="54" spans="1:10" x14ac:dyDescent="0.2">
      <c r="A54" t="s">
        <v>41</v>
      </c>
      <c r="B54" t="s">
        <v>40</v>
      </c>
      <c r="C54">
        <v>26</v>
      </c>
      <c r="D54">
        <v>402</v>
      </c>
      <c r="E54">
        <v>721</v>
      </c>
      <c r="F54">
        <v>913</v>
      </c>
      <c r="J54">
        <v>55</v>
      </c>
    </row>
    <row r="55" spans="1:10" x14ac:dyDescent="0.2">
      <c r="A55" t="s">
        <v>41</v>
      </c>
      <c r="B55" t="s">
        <v>40</v>
      </c>
      <c r="C55">
        <v>21</v>
      </c>
      <c r="D55">
        <v>403</v>
      </c>
      <c r="E55">
        <v>539</v>
      </c>
      <c r="F55">
        <v>1921</v>
      </c>
      <c r="J55">
        <v>239</v>
      </c>
    </row>
    <row r="56" spans="1:10" x14ac:dyDescent="0.2">
      <c r="A56" t="s">
        <v>41</v>
      </c>
      <c r="B56" t="s">
        <v>40</v>
      </c>
      <c r="C56">
        <v>20</v>
      </c>
      <c r="D56">
        <v>403</v>
      </c>
      <c r="E56">
        <v>553</v>
      </c>
      <c r="F56">
        <v>1834</v>
      </c>
      <c r="J56">
        <v>204</v>
      </c>
    </row>
    <row r="57" spans="1:10" x14ac:dyDescent="0.2">
      <c r="A57" t="s">
        <v>41</v>
      </c>
      <c r="B57" t="s">
        <v>40</v>
      </c>
      <c r="C57">
        <v>23</v>
      </c>
      <c r="D57">
        <v>403</v>
      </c>
      <c r="E57">
        <v>623</v>
      </c>
      <c r="F57">
        <v>1819</v>
      </c>
      <c r="J57">
        <v>215</v>
      </c>
    </row>
    <row r="58" spans="1:10" x14ac:dyDescent="0.2">
      <c r="A58" t="s">
        <v>41</v>
      </c>
      <c r="B58" t="s">
        <v>40</v>
      </c>
      <c r="C58">
        <v>24</v>
      </c>
      <c r="D58">
        <v>403</v>
      </c>
      <c r="E58">
        <v>705</v>
      </c>
      <c r="F58">
        <v>1848</v>
      </c>
      <c r="J58">
        <v>185</v>
      </c>
    </row>
    <row r="59" spans="1:10" x14ac:dyDescent="0.2">
      <c r="A59" t="s">
        <v>41</v>
      </c>
      <c r="B59" t="s">
        <v>40</v>
      </c>
      <c r="C59">
        <v>22</v>
      </c>
      <c r="D59">
        <v>403</v>
      </c>
      <c r="E59">
        <v>725</v>
      </c>
      <c r="F59">
        <v>1909</v>
      </c>
      <c r="J59">
        <v>198</v>
      </c>
    </row>
    <row r="60" spans="1:10" x14ac:dyDescent="0.2">
      <c r="A60" t="s">
        <v>41</v>
      </c>
      <c r="B60" t="s">
        <v>40</v>
      </c>
      <c r="C60">
        <v>30</v>
      </c>
      <c r="D60">
        <v>403</v>
      </c>
      <c r="E60">
        <v>739</v>
      </c>
      <c r="F60">
        <v>1008</v>
      </c>
      <c r="J60">
        <v>51</v>
      </c>
    </row>
    <row r="61" spans="1:10" x14ac:dyDescent="0.2">
      <c r="A61" t="s">
        <v>41</v>
      </c>
      <c r="B61" t="s">
        <v>40</v>
      </c>
      <c r="C61">
        <v>3</v>
      </c>
      <c r="D61">
        <v>404</v>
      </c>
      <c r="E61">
        <v>432</v>
      </c>
      <c r="F61">
        <v>2614</v>
      </c>
      <c r="J61">
        <v>420</v>
      </c>
    </row>
    <row r="62" spans="1:10" x14ac:dyDescent="0.2">
      <c r="A62" t="s">
        <v>41</v>
      </c>
      <c r="B62" t="s">
        <v>40</v>
      </c>
      <c r="C62">
        <v>5</v>
      </c>
      <c r="D62">
        <v>404</v>
      </c>
      <c r="E62">
        <v>517</v>
      </c>
      <c r="F62">
        <v>2234</v>
      </c>
      <c r="J62">
        <v>355</v>
      </c>
    </row>
    <row r="63" spans="1:10" x14ac:dyDescent="0.2">
      <c r="A63" t="s">
        <v>41</v>
      </c>
      <c r="B63" t="s">
        <v>40</v>
      </c>
      <c r="C63">
        <v>2</v>
      </c>
      <c r="D63">
        <v>404</v>
      </c>
      <c r="E63">
        <v>523</v>
      </c>
      <c r="F63">
        <v>2634</v>
      </c>
      <c r="J63">
        <v>434</v>
      </c>
    </row>
    <row r="64" spans="1:10" x14ac:dyDescent="0.2">
      <c r="A64" t="s">
        <v>41</v>
      </c>
      <c r="B64" t="s">
        <v>40</v>
      </c>
      <c r="C64">
        <v>6</v>
      </c>
      <c r="D64">
        <v>404</v>
      </c>
      <c r="E64">
        <v>537</v>
      </c>
      <c r="F64">
        <v>2212</v>
      </c>
      <c r="J64">
        <v>337</v>
      </c>
    </row>
    <row r="65" spans="1:10" x14ac:dyDescent="0.2">
      <c r="A65" t="s">
        <v>41</v>
      </c>
      <c r="B65" t="s">
        <v>40</v>
      </c>
      <c r="C65">
        <v>23</v>
      </c>
      <c r="D65">
        <v>404</v>
      </c>
      <c r="E65">
        <v>540</v>
      </c>
      <c r="F65">
        <v>926</v>
      </c>
      <c r="J65">
        <v>97</v>
      </c>
    </row>
    <row r="66" spans="1:10" x14ac:dyDescent="0.2">
      <c r="A66" t="s">
        <v>41</v>
      </c>
      <c r="B66" t="s">
        <v>40</v>
      </c>
      <c r="C66">
        <v>7</v>
      </c>
      <c r="D66">
        <v>404</v>
      </c>
      <c r="E66">
        <v>605</v>
      </c>
      <c r="F66">
        <v>1936</v>
      </c>
      <c r="J66">
        <v>270</v>
      </c>
    </row>
    <row r="67" spans="1:10" x14ac:dyDescent="0.2">
      <c r="A67" t="s">
        <v>41</v>
      </c>
      <c r="B67" t="s">
        <v>40</v>
      </c>
      <c r="C67">
        <v>4</v>
      </c>
      <c r="D67">
        <v>404</v>
      </c>
      <c r="E67">
        <v>616</v>
      </c>
      <c r="F67">
        <v>2157</v>
      </c>
      <c r="J67">
        <v>312</v>
      </c>
    </row>
    <row r="68" spans="1:10" x14ac:dyDescent="0.2">
      <c r="A68" t="s">
        <v>41</v>
      </c>
      <c r="B68" t="s">
        <v>40</v>
      </c>
      <c r="C68">
        <v>1</v>
      </c>
      <c r="D68">
        <v>404</v>
      </c>
      <c r="E68">
        <v>636</v>
      </c>
      <c r="F68">
        <v>2202</v>
      </c>
      <c r="J68">
        <v>312</v>
      </c>
    </row>
    <row r="69" spans="1:10" x14ac:dyDescent="0.2">
      <c r="A69" t="s">
        <v>41</v>
      </c>
      <c r="B69" t="s">
        <v>40</v>
      </c>
      <c r="C69">
        <v>22</v>
      </c>
      <c r="D69">
        <v>404</v>
      </c>
      <c r="E69">
        <v>731</v>
      </c>
      <c r="F69">
        <v>1035</v>
      </c>
      <c r="J69">
        <v>73</v>
      </c>
    </row>
    <row r="70" spans="1:10" x14ac:dyDescent="0.2">
      <c r="A70" t="s">
        <v>41</v>
      </c>
      <c r="B70" t="s">
        <v>40</v>
      </c>
      <c r="C70">
        <v>81</v>
      </c>
      <c r="D70">
        <v>405</v>
      </c>
      <c r="E70">
        <v>525</v>
      </c>
      <c r="F70">
        <v>2519</v>
      </c>
      <c r="J70">
        <v>430</v>
      </c>
    </row>
    <row r="71" spans="1:10" x14ac:dyDescent="0.2">
      <c r="A71" t="s">
        <v>41</v>
      </c>
      <c r="B71" t="s">
        <v>40</v>
      </c>
      <c r="C71">
        <v>84</v>
      </c>
      <c r="D71">
        <v>405</v>
      </c>
      <c r="E71">
        <v>530</v>
      </c>
      <c r="F71">
        <v>2013</v>
      </c>
      <c r="J71">
        <v>326</v>
      </c>
    </row>
    <row r="72" spans="1:10" x14ac:dyDescent="0.2">
      <c r="A72" t="s">
        <v>41</v>
      </c>
      <c r="B72" t="s">
        <v>40</v>
      </c>
      <c r="C72">
        <v>83</v>
      </c>
      <c r="D72">
        <v>405</v>
      </c>
      <c r="E72">
        <v>549</v>
      </c>
      <c r="F72">
        <v>2015</v>
      </c>
      <c r="J72">
        <v>324</v>
      </c>
    </row>
    <row r="73" spans="1:10" x14ac:dyDescent="0.2">
      <c r="A73" t="s">
        <v>41</v>
      </c>
      <c r="B73" t="s">
        <v>40</v>
      </c>
      <c r="C73">
        <v>82</v>
      </c>
      <c r="D73">
        <v>405</v>
      </c>
      <c r="E73">
        <v>555</v>
      </c>
      <c r="F73">
        <v>2040</v>
      </c>
      <c r="J73">
        <v>301</v>
      </c>
    </row>
    <row r="74" spans="1:10" x14ac:dyDescent="0.2">
      <c r="A74" t="s">
        <v>41</v>
      </c>
      <c r="B74" t="s">
        <v>40</v>
      </c>
      <c r="C74">
        <v>30</v>
      </c>
      <c r="D74">
        <v>480</v>
      </c>
      <c r="E74">
        <v>502</v>
      </c>
      <c r="F74">
        <v>2219</v>
      </c>
      <c r="J74">
        <v>357</v>
      </c>
    </row>
    <row r="75" spans="1:10" x14ac:dyDescent="0.2">
      <c r="A75" t="s">
        <v>41</v>
      </c>
      <c r="B75" t="s">
        <v>40</v>
      </c>
      <c r="C75">
        <v>31</v>
      </c>
      <c r="D75">
        <v>480</v>
      </c>
      <c r="E75">
        <v>502</v>
      </c>
      <c r="F75">
        <v>2012</v>
      </c>
      <c r="J75">
        <v>283</v>
      </c>
    </row>
    <row r="76" spans="1:10" x14ac:dyDescent="0.2">
      <c r="A76" t="s">
        <v>41</v>
      </c>
      <c r="B76" t="s">
        <v>40</v>
      </c>
      <c r="C76">
        <v>32</v>
      </c>
      <c r="D76">
        <v>480</v>
      </c>
      <c r="E76">
        <v>515</v>
      </c>
      <c r="F76">
        <v>2534</v>
      </c>
      <c r="J76">
        <v>397</v>
      </c>
    </row>
    <row r="77" spans="1:10" x14ac:dyDescent="0.2">
      <c r="A77" t="s">
        <v>41</v>
      </c>
      <c r="B77" t="s">
        <v>40</v>
      </c>
      <c r="C77">
        <v>40</v>
      </c>
      <c r="D77">
        <v>480</v>
      </c>
      <c r="E77">
        <v>539</v>
      </c>
      <c r="F77">
        <v>1915</v>
      </c>
      <c r="J77">
        <v>272</v>
      </c>
    </row>
    <row r="78" spans="1:10" x14ac:dyDescent="0.2">
      <c r="A78" t="s">
        <v>41</v>
      </c>
      <c r="B78" t="s">
        <v>40</v>
      </c>
      <c r="C78">
        <v>35</v>
      </c>
      <c r="D78">
        <v>480</v>
      </c>
      <c r="E78">
        <v>541</v>
      </c>
      <c r="F78">
        <v>2246</v>
      </c>
      <c r="J78">
        <v>335</v>
      </c>
    </row>
    <row r="79" spans="1:10" x14ac:dyDescent="0.2">
      <c r="A79" t="s">
        <v>41</v>
      </c>
      <c r="B79" t="s">
        <v>40</v>
      </c>
      <c r="C79">
        <v>37</v>
      </c>
      <c r="D79">
        <v>480</v>
      </c>
      <c r="E79">
        <v>547</v>
      </c>
      <c r="F79">
        <v>1955</v>
      </c>
      <c r="J79">
        <v>275</v>
      </c>
    </row>
    <row r="80" spans="1:10" x14ac:dyDescent="0.2">
      <c r="A80" t="s">
        <v>41</v>
      </c>
      <c r="B80" t="s">
        <v>40</v>
      </c>
      <c r="C80">
        <v>58</v>
      </c>
      <c r="D80">
        <v>480</v>
      </c>
      <c r="E80">
        <v>552</v>
      </c>
      <c r="F80">
        <v>919</v>
      </c>
      <c r="J80">
        <v>78</v>
      </c>
    </row>
    <row r="81" spans="1:10" x14ac:dyDescent="0.2">
      <c r="A81" t="s">
        <v>41</v>
      </c>
      <c r="B81" t="s">
        <v>40</v>
      </c>
      <c r="C81">
        <v>42</v>
      </c>
      <c r="D81">
        <v>480</v>
      </c>
      <c r="E81">
        <v>605</v>
      </c>
      <c r="F81">
        <v>2214</v>
      </c>
      <c r="J81">
        <v>336</v>
      </c>
    </row>
    <row r="82" spans="1:10" x14ac:dyDescent="0.2">
      <c r="A82" t="s">
        <v>41</v>
      </c>
      <c r="B82" t="s">
        <v>40</v>
      </c>
      <c r="C82">
        <v>54</v>
      </c>
      <c r="D82">
        <v>480</v>
      </c>
      <c r="E82">
        <v>613</v>
      </c>
      <c r="F82">
        <v>1101</v>
      </c>
      <c r="J82">
        <v>109</v>
      </c>
    </row>
    <row r="83" spans="1:10" x14ac:dyDescent="0.2">
      <c r="A83" t="s">
        <v>41</v>
      </c>
      <c r="B83" t="s">
        <v>40</v>
      </c>
      <c r="C83">
        <v>41</v>
      </c>
      <c r="D83">
        <v>480</v>
      </c>
      <c r="E83">
        <v>615</v>
      </c>
      <c r="F83">
        <v>2452</v>
      </c>
      <c r="J83">
        <v>368</v>
      </c>
    </row>
    <row r="84" spans="1:10" x14ac:dyDescent="0.2">
      <c r="A84" t="s">
        <v>41</v>
      </c>
      <c r="B84" t="s">
        <v>40</v>
      </c>
      <c r="C84">
        <v>36</v>
      </c>
      <c r="D84">
        <v>480</v>
      </c>
      <c r="E84">
        <v>628</v>
      </c>
      <c r="F84">
        <v>2155</v>
      </c>
      <c r="J84">
        <v>329</v>
      </c>
    </row>
    <row r="85" spans="1:10" x14ac:dyDescent="0.2">
      <c r="A85" t="s">
        <v>41</v>
      </c>
      <c r="B85" t="s">
        <v>40</v>
      </c>
      <c r="C85">
        <v>33</v>
      </c>
      <c r="D85">
        <v>480</v>
      </c>
      <c r="E85">
        <v>641</v>
      </c>
      <c r="F85">
        <v>2451</v>
      </c>
      <c r="J85">
        <v>355</v>
      </c>
    </row>
    <row r="86" spans="1:10" x14ac:dyDescent="0.2">
      <c r="A86" t="s">
        <v>41</v>
      </c>
      <c r="B86" t="s">
        <v>40</v>
      </c>
      <c r="C86">
        <v>39</v>
      </c>
      <c r="D86">
        <v>480</v>
      </c>
      <c r="E86">
        <v>646</v>
      </c>
      <c r="F86">
        <v>1830</v>
      </c>
      <c r="J86">
        <v>224</v>
      </c>
    </row>
    <row r="87" spans="1:10" x14ac:dyDescent="0.2">
      <c r="A87" t="s">
        <v>41</v>
      </c>
      <c r="B87" t="s">
        <v>40</v>
      </c>
      <c r="C87">
        <v>55</v>
      </c>
      <c r="D87">
        <v>480</v>
      </c>
      <c r="E87">
        <v>647</v>
      </c>
      <c r="F87">
        <v>956</v>
      </c>
      <c r="J87">
        <v>79</v>
      </c>
    </row>
    <row r="88" spans="1:10" x14ac:dyDescent="0.2">
      <c r="A88" t="s">
        <v>41</v>
      </c>
      <c r="B88" t="s">
        <v>40</v>
      </c>
      <c r="C88">
        <v>38</v>
      </c>
      <c r="D88">
        <v>480</v>
      </c>
      <c r="E88">
        <v>720</v>
      </c>
      <c r="F88">
        <v>1944</v>
      </c>
      <c r="J88">
        <v>255</v>
      </c>
    </row>
    <row r="89" spans="1:10" x14ac:dyDescent="0.2">
      <c r="A89" t="s">
        <v>41</v>
      </c>
      <c r="B89" t="s">
        <v>40</v>
      </c>
      <c r="C89">
        <v>57</v>
      </c>
      <c r="D89">
        <v>480</v>
      </c>
      <c r="E89">
        <v>734</v>
      </c>
      <c r="F89">
        <v>946</v>
      </c>
      <c r="J89">
        <v>54</v>
      </c>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990000"/>
  </sheetPr>
  <dimension ref="A1:J53"/>
  <sheetViews>
    <sheetView workbookViewId="0">
      <selection activeCell="L55" sqref="L55"/>
    </sheetView>
  </sheetViews>
  <sheetFormatPr defaultRowHeight="12.75" x14ac:dyDescent="0.2"/>
  <sheetData>
    <row r="1" spans="1:10" x14ac:dyDescent="0.2">
      <c r="A1" s="5" t="s">
        <v>140</v>
      </c>
      <c r="B1" s="5" t="s">
        <v>141</v>
      </c>
      <c r="C1" s="5" t="s">
        <v>142</v>
      </c>
      <c r="D1" t="s">
        <v>70</v>
      </c>
      <c r="E1" t="s">
        <v>11</v>
      </c>
      <c r="F1" t="s">
        <v>12</v>
      </c>
      <c r="G1" s="115" t="s">
        <v>143</v>
      </c>
      <c r="H1" s="5" t="s">
        <v>144</v>
      </c>
      <c r="I1" s="5" t="s">
        <v>145</v>
      </c>
      <c r="J1" t="s">
        <v>16</v>
      </c>
    </row>
    <row r="4" spans="1:10" x14ac:dyDescent="0.2">
      <c r="A4" t="s">
        <v>39</v>
      </c>
      <c r="B4" t="s">
        <v>40</v>
      </c>
      <c r="C4">
        <v>5</v>
      </c>
      <c r="D4">
        <v>311</v>
      </c>
      <c r="E4">
        <v>513</v>
      </c>
      <c r="F4">
        <v>757</v>
      </c>
      <c r="J4">
        <v>112</v>
      </c>
    </row>
    <row r="5" spans="1:10" x14ac:dyDescent="0.2">
      <c r="A5" t="s">
        <v>39</v>
      </c>
      <c r="B5" t="s">
        <v>40</v>
      </c>
      <c r="C5">
        <v>1</v>
      </c>
      <c r="D5">
        <v>311</v>
      </c>
      <c r="E5">
        <v>520</v>
      </c>
      <c r="F5">
        <v>812</v>
      </c>
      <c r="J5">
        <v>128</v>
      </c>
    </row>
    <row r="6" spans="1:10" x14ac:dyDescent="0.2">
      <c r="A6" t="s">
        <v>39</v>
      </c>
      <c r="B6" t="s">
        <v>40</v>
      </c>
      <c r="C6">
        <v>2</v>
      </c>
      <c r="D6">
        <v>311</v>
      </c>
      <c r="E6">
        <v>610</v>
      </c>
      <c r="F6">
        <v>836</v>
      </c>
      <c r="J6">
        <v>105</v>
      </c>
    </row>
    <row r="7" spans="1:10" x14ac:dyDescent="0.2">
      <c r="A7" t="s">
        <v>39</v>
      </c>
      <c r="B7" t="s">
        <v>40</v>
      </c>
      <c r="C7">
        <v>4</v>
      </c>
      <c r="D7">
        <v>311</v>
      </c>
      <c r="E7">
        <v>618</v>
      </c>
      <c r="F7">
        <v>908</v>
      </c>
      <c r="J7">
        <v>112</v>
      </c>
    </row>
    <row r="8" spans="1:10" x14ac:dyDescent="0.2">
      <c r="A8" t="s">
        <v>39</v>
      </c>
      <c r="B8" t="s">
        <v>40</v>
      </c>
      <c r="C8">
        <v>3</v>
      </c>
      <c r="D8">
        <v>311</v>
      </c>
      <c r="E8">
        <v>623</v>
      </c>
      <c r="F8">
        <v>848</v>
      </c>
      <c r="J8">
        <v>105</v>
      </c>
    </row>
    <row r="9" spans="1:10" x14ac:dyDescent="0.2">
      <c r="A9" t="s">
        <v>39</v>
      </c>
      <c r="B9" t="s">
        <v>40</v>
      </c>
      <c r="C9">
        <v>20</v>
      </c>
      <c r="D9">
        <v>352</v>
      </c>
      <c r="E9">
        <v>444</v>
      </c>
      <c r="F9">
        <v>758</v>
      </c>
      <c r="J9">
        <v>163</v>
      </c>
    </row>
    <row r="10" spans="1:10" x14ac:dyDescent="0.2">
      <c r="A10" t="s">
        <v>39</v>
      </c>
      <c r="B10" t="s">
        <v>40</v>
      </c>
      <c r="C10">
        <v>13</v>
      </c>
      <c r="D10">
        <v>352</v>
      </c>
      <c r="E10">
        <v>447</v>
      </c>
      <c r="F10">
        <v>759</v>
      </c>
      <c r="J10">
        <v>163</v>
      </c>
    </row>
    <row r="11" spans="1:10" x14ac:dyDescent="0.2">
      <c r="A11" t="s">
        <v>39</v>
      </c>
      <c r="B11" t="s">
        <v>40</v>
      </c>
      <c r="C11">
        <v>14</v>
      </c>
      <c r="D11">
        <v>352</v>
      </c>
      <c r="E11">
        <v>512</v>
      </c>
      <c r="F11">
        <v>830</v>
      </c>
      <c r="J11">
        <v>163</v>
      </c>
    </row>
    <row r="12" spans="1:10" x14ac:dyDescent="0.2">
      <c r="A12" t="s">
        <v>39</v>
      </c>
      <c r="B12" t="s">
        <v>40</v>
      </c>
      <c r="C12">
        <v>11</v>
      </c>
      <c r="D12">
        <v>352</v>
      </c>
      <c r="E12">
        <v>540</v>
      </c>
      <c r="F12">
        <v>848</v>
      </c>
      <c r="J12">
        <v>146</v>
      </c>
    </row>
    <row r="13" spans="1:10" x14ac:dyDescent="0.2">
      <c r="A13" t="s">
        <v>39</v>
      </c>
      <c r="B13" t="s">
        <v>40</v>
      </c>
      <c r="C13">
        <v>15</v>
      </c>
      <c r="D13">
        <v>352</v>
      </c>
      <c r="E13">
        <v>549</v>
      </c>
      <c r="F13">
        <v>825</v>
      </c>
      <c r="J13">
        <v>109</v>
      </c>
    </row>
    <row r="14" spans="1:10" x14ac:dyDescent="0.2">
      <c r="A14" t="s">
        <v>39</v>
      </c>
      <c r="B14" t="s">
        <v>40</v>
      </c>
      <c r="C14">
        <v>16</v>
      </c>
      <c r="D14">
        <v>352</v>
      </c>
      <c r="E14">
        <v>555</v>
      </c>
      <c r="F14">
        <v>926</v>
      </c>
      <c r="J14">
        <v>122</v>
      </c>
    </row>
    <row r="15" spans="1:10" x14ac:dyDescent="0.2">
      <c r="A15" t="s">
        <v>39</v>
      </c>
      <c r="B15" t="s">
        <v>40</v>
      </c>
      <c r="C15">
        <v>19</v>
      </c>
      <c r="D15">
        <v>352</v>
      </c>
      <c r="E15">
        <v>606</v>
      </c>
      <c r="F15">
        <v>749</v>
      </c>
      <c r="J15">
        <v>84</v>
      </c>
    </row>
    <row r="16" spans="1:10" x14ac:dyDescent="0.2">
      <c r="A16" t="s">
        <v>39</v>
      </c>
      <c r="B16" t="s">
        <v>40</v>
      </c>
      <c r="C16">
        <v>12</v>
      </c>
      <c r="D16">
        <v>352</v>
      </c>
      <c r="E16">
        <v>609</v>
      </c>
      <c r="F16">
        <v>824</v>
      </c>
      <c r="J16">
        <v>95</v>
      </c>
    </row>
    <row r="17" spans="1:10" x14ac:dyDescent="0.2">
      <c r="A17" t="s">
        <v>39</v>
      </c>
      <c r="B17" t="s">
        <v>40</v>
      </c>
      <c r="C17">
        <v>18</v>
      </c>
      <c r="D17">
        <v>352</v>
      </c>
      <c r="E17">
        <v>628</v>
      </c>
      <c r="F17">
        <v>813</v>
      </c>
      <c r="J17">
        <v>84</v>
      </c>
    </row>
    <row r="18" spans="1:10" x14ac:dyDescent="0.2">
      <c r="A18" t="s">
        <v>39</v>
      </c>
      <c r="B18" t="s">
        <v>40</v>
      </c>
      <c r="C18">
        <v>17</v>
      </c>
      <c r="D18">
        <v>352</v>
      </c>
      <c r="E18">
        <v>632</v>
      </c>
      <c r="F18">
        <v>807</v>
      </c>
      <c r="J18">
        <v>81</v>
      </c>
    </row>
    <row r="19" spans="1:10" x14ac:dyDescent="0.2">
      <c r="A19" t="s">
        <v>39</v>
      </c>
      <c r="B19" t="s">
        <v>40</v>
      </c>
      <c r="C19">
        <v>10</v>
      </c>
      <c r="D19">
        <v>601</v>
      </c>
      <c r="E19">
        <v>352</v>
      </c>
      <c r="F19">
        <v>2003</v>
      </c>
      <c r="J19">
        <v>598</v>
      </c>
    </row>
    <row r="20" spans="1:10" x14ac:dyDescent="0.2">
      <c r="A20" t="s">
        <v>39</v>
      </c>
      <c r="B20" t="s">
        <v>40</v>
      </c>
      <c r="C20">
        <v>8</v>
      </c>
      <c r="D20">
        <v>601</v>
      </c>
      <c r="E20">
        <v>352</v>
      </c>
      <c r="F20">
        <v>1935</v>
      </c>
      <c r="J20">
        <v>564</v>
      </c>
    </row>
    <row r="21" spans="1:10" x14ac:dyDescent="0.2">
      <c r="A21" t="s">
        <v>39</v>
      </c>
      <c r="B21" t="s">
        <v>40</v>
      </c>
      <c r="C21">
        <v>11</v>
      </c>
      <c r="D21">
        <v>601</v>
      </c>
      <c r="E21">
        <v>412</v>
      </c>
      <c r="F21">
        <v>1926</v>
      </c>
      <c r="J21">
        <v>594</v>
      </c>
    </row>
    <row r="22" spans="1:10" x14ac:dyDescent="0.2">
      <c r="A22" t="s">
        <v>39</v>
      </c>
      <c r="B22" t="s">
        <v>40</v>
      </c>
      <c r="C22">
        <v>5</v>
      </c>
      <c r="D22">
        <v>601</v>
      </c>
      <c r="E22">
        <v>413</v>
      </c>
      <c r="F22">
        <v>1941</v>
      </c>
      <c r="J22">
        <v>570</v>
      </c>
    </row>
    <row r="23" spans="1:10" x14ac:dyDescent="0.2">
      <c r="A23" t="s">
        <v>39</v>
      </c>
      <c r="B23" t="s">
        <v>40</v>
      </c>
      <c r="C23">
        <v>2</v>
      </c>
      <c r="D23">
        <v>601</v>
      </c>
      <c r="E23">
        <v>421</v>
      </c>
      <c r="F23">
        <v>2000</v>
      </c>
      <c r="J23">
        <v>604</v>
      </c>
    </row>
    <row r="24" spans="1:10" x14ac:dyDescent="0.2">
      <c r="A24" t="s">
        <v>39</v>
      </c>
      <c r="B24" t="s">
        <v>40</v>
      </c>
      <c r="C24">
        <v>12</v>
      </c>
      <c r="D24">
        <v>601</v>
      </c>
      <c r="E24">
        <v>425</v>
      </c>
      <c r="F24">
        <v>2246</v>
      </c>
      <c r="J24">
        <v>657</v>
      </c>
    </row>
    <row r="25" spans="1:10" x14ac:dyDescent="0.2">
      <c r="A25" t="s">
        <v>39</v>
      </c>
      <c r="B25" t="s">
        <v>40</v>
      </c>
      <c r="C25">
        <v>13</v>
      </c>
      <c r="D25">
        <v>601</v>
      </c>
      <c r="E25">
        <v>433</v>
      </c>
      <c r="F25">
        <v>1920</v>
      </c>
      <c r="J25">
        <v>560</v>
      </c>
    </row>
    <row r="26" spans="1:10" x14ac:dyDescent="0.2">
      <c r="A26" t="s">
        <v>39</v>
      </c>
      <c r="B26" t="s">
        <v>40</v>
      </c>
      <c r="C26">
        <v>9</v>
      </c>
      <c r="D26">
        <v>601</v>
      </c>
      <c r="E26">
        <v>440</v>
      </c>
      <c r="F26">
        <v>1950</v>
      </c>
      <c r="J26">
        <v>532</v>
      </c>
    </row>
    <row r="27" spans="1:10" x14ac:dyDescent="0.2">
      <c r="A27" t="s">
        <v>39</v>
      </c>
      <c r="B27" t="s">
        <v>40</v>
      </c>
      <c r="C27">
        <v>1</v>
      </c>
      <c r="D27">
        <v>601</v>
      </c>
      <c r="E27">
        <v>445</v>
      </c>
      <c r="F27">
        <v>2143</v>
      </c>
      <c r="J27">
        <v>587</v>
      </c>
    </row>
    <row r="28" spans="1:10" x14ac:dyDescent="0.2">
      <c r="A28" t="s">
        <v>39</v>
      </c>
      <c r="B28" t="s">
        <v>40</v>
      </c>
      <c r="C28">
        <v>41</v>
      </c>
      <c r="D28">
        <v>601</v>
      </c>
      <c r="E28">
        <v>453</v>
      </c>
      <c r="F28">
        <v>843</v>
      </c>
      <c r="J28">
        <v>165</v>
      </c>
    </row>
    <row r="29" spans="1:10" x14ac:dyDescent="0.2">
      <c r="A29" t="s">
        <v>39</v>
      </c>
      <c r="B29" t="s">
        <v>40</v>
      </c>
      <c r="C29">
        <v>7</v>
      </c>
      <c r="D29">
        <v>601</v>
      </c>
      <c r="E29">
        <v>501</v>
      </c>
      <c r="F29">
        <v>2125</v>
      </c>
      <c r="J29">
        <v>627</v>
      </c>
    </row>
    <row r="30" spans="1:10" x14ac:dyDescent="0.2">
      <c r="A30" t="s">
        <v>39</v>
      </c>
      <c r="B30" t="s">
        <v>40</v>
      </c>
      <c r="C30">
        <v>22</v>
      </c>
      <c r="D30">
        <v>601</v>
      </c>
      <c r="E30">
        <v>506</v>
      </c>
      <c r="F30">
        <v>849</v>
      </c>
      <c r="J30">
        <v>170</v>
      </c>
    </row>
    <row r="31" spans="1:10" x14ac:dyDescent="0.2">
      <c r="A31" t="s">
        <v>39</v>
      </c>
      <c r="B31" t="s">
        <v>40</v>
      </c>
      <c r="C31">
        <v>3</v>
      </c>
      <c r="D31">
        <v>601</v>
      </c>
      <c r="E31">
        <v>509</v>
      </c>
      <c r="F31">
        <v>2013</v>
      </c>
      <c r="J31">
        <v>559</v>
      </c>
    </row>
    <row r="32" spans="1:10" x14ac:dyDescent="0.2">
      <c r="A32" t="s">
        <v>39</v>
      </c>
      <c r="B32" t="s">
        <v>40</v>
      </c>
      <c r="C32">
        <v>20</v>
      </c>
      <c r="D32">
        <v>601</v>
      </c>
      <c r="E32">
        <v>517</v>
      </c>
      <c r="F32">
        <v>1020</v>
      </c>
      <c r="J32">
        <v>233</v>
      </c>
    </row>
    <row r="33" spans="1:10" x14ac:dyDescent="0.2">
      <c r="A33" t="s">
        <v>39</v>
      </c>
      <c r="B33" t="s">
        <v>40</v>
      </c>
      <c r="C33">
        <v>34</v>
      </c>
      <c r="D33">
        <v>601</v>
      </c>
      <c r="E33">
        <v>524</v>
      </c>
      <c r="F33">
        <v>757</v>
      </c>
      <c r="J33">
        <v>99</v>
      </c>
    </row>
    <row r="34" spans="1:10" x14ac:dyDescent="0.2">
      <c r="A34" t="s">
        <v>39</v>
      </c>
      <c r="B34" t="s">
        <v>40</v>
      </c>
      <c r="C34">
        <v>26</v>
      </c>
      <c r="D34">
        <v>601</v>
      </c>
      <c r="E34">
        <v>533</v>
      </c>
      <c r="F34">
        <v>843</v>
      </c>
      <c r="J34">
        <v>139</v>
      </c>
    </row>
    <row r="35" spans="1:10" x14ac:dyDescent="0.2">
      <c r="A35" t="s">
        <v>39</v>
      </c>
      <c r="B35" t="s">
        <v>40</v>
      </c>
      <c r="C35">
        <v>42</v>
      </c>
      <c r="D35">
        <v>601</v>
      </c>
      <c r="E35">
        <v>533</v>
      </c>
      <c r="F35">
        <v>759</v>
      </c>
      <c r="J35">
        <v>100</v>
      </c>
    </row>
    <row r="36" spans="1:10" x14ac:dyDescent="0.2">
      <c r="A36" t="s">
        <v>39</v>
      </c>
      <c r="B36" t="s">
        <v>40</v>
      </c>
      <c r="C36">
        <v>15</v>
      </c>
      <c r="D36">
        <v>601</v>
      </c>
      <c r="E36">
        <v>535</v>
      </c>
      <c r="F36">
        <v>959</v>
      </c>
      <c r="J36">
        <v>178</v>
      </c>
    </row>
    <row r="37" spans="1:10" x14ac:dyDescent="0.2">
      <c r="A37" t="s">
        <v>39</v>
      </c>
      <c r="B37" t="s">
        <v>40</v>
      </c>
      <c r="C37">
        <v>21</v>
      </c>
      <c r="D37">
        <v>601</v>
      </c>
      <c r="E37">
        <v>538</v>
      </c>
      <c r="F37">
        <v>834</v>
      </c>
      <c r="J37">
        <v>137</v>
      </c>
    </row>
    <row r="38" spans="1:10" x14ac:dyDescent="0.2">
      <c r="A38" t="s">
        <v>39</v>
      </c>
      <c r="B38" t="s">
        <v>40</v>
      </c>
      <c r="C38">
        <v>28</v>
      </c>
      <c r="D38">
        <v>601</v>
      </c>
      <c r="E38">
        <v>538</v>
      </c>
      <c r="F38">
        <v>906</v>
      </c>
      <c r="J38">
        <v>159</v>
      </c>
    </row>
    <row r="39" spans="1:10" x14ac:dyDescent="0.2">
      <c r="A39" t="s">
        <v>39</v>
      </c>
      <c r="B39" t="s">
        <v>40</v>
      </c>
      <c r="C39">
        <v>30</v>
      </c>
      <c r="D39">
        <v>601</v>
      </c>
      <c r="E39">
        <v>549</v>
      </c>
      <c r="F39">
        <v>808</v>
      </c>
      <c r="J39">
        <v>86</v>
      </c>
    </row>
    <row r="40" spans="1:10" x14ac:dyDescent="0.2">
      <c r="A40" t="s">
        <v>39</v>
      </c>
      <c r="B40" t="s">
        <v>40</v>
      </c>
      <c r="C40">
        <v>27</v>
      </c>
      <c r="D40">
        <v>601</v>
      </c>
      <c r="E40">
        <v>552</v>
      </c>
      <c r="F40">
        <v>906</v>
      </c>
      <c r="J40">
        <v>129</v>
      </c>
    </row>
    <row r="41" spans="1:10" x14ac:dyDescent="0.2">
      <c r="A41" t="s">
        <v>39</v>
      </c>
      <c r="B41" t="s">
        <v>40</v>
      </c>
      <c r="C41">
        <v>38</v>
      </c>
      <c r="D41">
        <v>601</v>
      </c>
      <c r="E41">
        <v>555</v>
      </c>
      <c r="F41">
        <v>852</v>
      </c>
      <c r="J41">
        <v>136</v>
      </c>
    </row>
    <row r="42" spans="1:10" x14ac:dyDescent="0.2">
      <c r="A42" t="s">
        <v>39</v>
      </c>
      <c r="B42" t="s">
        <v>40</v>
      </c>
      <c r="C42">
        <v>4</v>
      </c>
      <c r="D42">
        <v>601</v>
      </c>
      <c r="E42">
        <v>555</v>
      </c>
      <c r="F42">
        <v>1934</v>
      </c>
      <c r="J42">
        <v>523</v>
      </c>
    </row>
    <row r="43" spans="1:10" x14ac:dyDescent="0.2">
      <c r="A43" t="s">
        <v>39</v>
      </c>
      <c r="B43" t="s">
        <v>40</v>
      </c>
      <c r="C43">
        <v>24</v>
      </c>
      <c r="D43">
        <v>601</v>
      </c>
      <c r="E43">
        <v>601</v>
      </c>
      <c r="F43">
        <v>937</v>
      </c>
      <c r="J43">
        <v>161</v>
      </c>
    </row>
    <row r="44" spans="1:10" x14ac:dyDescent="0.2">
      <c r="A44" t="s">
        <v>39</v>
      </c>
      <c r="B44" t="s">
        <v>40</v>
      </c>
      <c r="C44">
        <v>16</v>
      </c>
      <c r="D44">
        <v>601</v>
      </c>
      <c r="E44">
        <v>606</v>
      </c>
      <c r="F44">
        <v>948</v>
      </c>
      <c r="J44">
        <v>135</v>
      </c>
    </row>
    <row r="45" spans="1:10" x14ac:dyDescent="0.2">
      <c r="A45" t="s">
        <v>39</v>
      </c>
      <c r="B45" t="s">
        <v>40</v>
      </c>
      <c r="C45">
        <v>31</v>
      </c>
      <c r="D45">
        <v>601</v>
      </c>
      <c r="E45">
        <v>610</v>
      </c>
      <c r="F45">
        <v>907</v>
      </c>
      <c r="J45">
        <v>129</v>
      </c>
    </row>
    <row r="46" spans="1:10" x14ac:dyDescent="0.2">
      <c r="A46" t="s">
        <v>39</v>
      </c>
      <c r="B46" t="s">
        <v>40</v>
      </c>
      <c r="C46">
        <v>35</v>
      </c>
      <c r="D46">
        <v>601</v>
      </c>
      <c r="E46">
        <v>616</v>
      </c>
      <c r="F46">
        <v>1022</v>
      </c>
      <c r="J46">
        <v>157</v>
      </c>
    </row>
    <row r="47" spans="1:10" x14ac:dyDescent="0.2">
      <c r="A47" t="s">
        <v>39</v>
      </c>
      <c r="B47" t="s">
        <v>40</v>
      </c>
      <c r="C47">
        <v>29</v>
      </c>
      <c r="D47">
        <v>601</v>
      </c>
      <c r="E47">
        <v>622</v>
      </c>
      <c r="F47">
        <v>926</v>
      </c>
      <c r="J47">
        <v>119</v>
      </c>
    </row>
    <row r="48" spans="1:10" x14ac:dyDescent="0.2">
      <c r="A48" t="s">
        <v>39</v>
      </c>
      <c r="B48" t="s">
        <v>40</v>
      </c>
      <c r="C48">
        <v>32</v>
      </c>
      <c r="D48">
        <v>601</v>
      </c>
      <c r="E48">
        <v>627</v>
      </c>
      <c r="F48">
        <v>857</v>
      </c>
      <c r="J48">
        <v>113</v>
      </c>
    </row>
    <row r="49" spans="1:10" x14ac:dyDescent="0.2">
      <c r="A49" t="s">
        <v>39</v>
      </c>
      <c r="B49" t="s">
        <v>40</v>
      </c>
      <c r="C49">
        <v>39</v>
      </c>
      <c r="D49">
        <v>601</v>
      </c>
      <c r="E49">
        <v>634</v>
      </c>
      <c r="F49">
        <v>939</v>
      </c>
      <c r="J49">
        <v>130</v>
      </c>
    </row>
    <row r="50" spans="1:10" x14ac:dyDescent="0.2">
      <c r="A50" t="s">
        <v>39</v>
      </c>
      <c r="B50" t="s">
        <v>40</v>
      </c>
      <c r="C50">
        <v>40</v>
      </c>
      <c r="D50">
        <v>601</v>
      </c>
      <c r="E50">
        <v>643</v>
      </c>
      <c r="F50">
        <v>1010</v>
      </c>
      <c r="J50">
        <v>134</v>
      </c>
    </row>
    <row r="51" spans="1:10" x14ac:dyDescent="0.2">
      <c r="A51" t="s">
        <v>39</v>
      </c>
      <c r="B51" t="s">
        <v>40</v>
      </c>
      <c r="C51">
        <v>25</v>
      </c>
      <c r="D51">
        <v>601</v>
      </c>
      <c r="E51">
        <v>648</v>
      </c>
      <c r="F51">
        <v>802</v>
      </c>
      <c r="J51">
        <v>58</v>
      </c>
    </row>
    <row r="52" spans="1:10" x14ac:dyDescent="0.2">
      <c r="A52" t="s">
        <v>39</v>
      </c>
      <c r="B52" t="s">
        <v>40</v>
      </c>
      <c r="C52">
        <v>43</v>
      </c>
      <c r="D52">
        <v>601</v>
      </c>
      <c r="E52">
        <v>655</v>
      </c>
      <c r="F52">
        <v>951</v>
      </c>
      <c r="J52">
        <v>117</v>
      </c>
    </row>
    <row r="53" spans="1:10" x14ac:dyDescent="0.2">
      <c r="A53" t="s">
        <v>39</v>
      </c>
      <c r="B53" t="s">
        <v>40</v>
      </c>
      <c r="C53">
        <v>23</v>
      </c>
      <c r="D53">
        <v>601</v>
      </c>
      <c r="E53">
        <v>657</v>
      </c>
      <c r="F53">
        <v>820</v>
      </c>
      <c r="J53">
        <v>61</v>
      </c>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43"/>
  <sheetViews>
    <sheetView workbookViewId="0">
      <selection activeCell="O13" sqref="O13"/>
    </sheetView>
  </sheetViews>
  <sheetFormatPr defaultRowHeight="12.75" x14ac:dyDescent="0.2"/>
  <cols>
    <col min="10" max="10" width="4.42578125" customWidth="1"/>
    <col min="11" max="11" width="8.28515625" customWidth="1"/>
  </cols>
  <sheetData>
    <row r="1" spans="1:21" ht="13.5" thickBot="1" x14ac:dyDescent="0.25">
      <c r="J1" s="338"/>
      <c r="O1" s="572" t="s">
        <v>201</v>
      </c>
      <c r="P1" s="572"/>
      <c r="Q1" s="572"/>
      <c r="R1" s="572"/>
      <c r="S1" s="572"/>
    </row>
    <row r="2" spans="1:21" ht="13.5" thickBot="1" x14ac:dyDescent="0.25">
      <c r="A2" s="572" t="s">
        <v>73</v>
      </c>
      <c r="B2" s="572"/>
      <c r="C2" s="5" t="s">
        <v>63</v>
      </c>
      <c r="D2" s="5" t="s">
        <v>113</v>
      </c>
      <c r="E2" s="5" t="s">
        <v>129</v>
      </c>
      <c r="F2" s="5" t="s">
        <v>128</v>
      </c>
      <c r="G2" s="5" t="s">
        <v>205</v>
      </c>
      <c r="H2" s="5" t="s">
        <v>16</v>
      </c>
      <c r="J2" s="338"/>
      <c r="M2" s="340" t="s">
        <v>200</v>
      </c>
      <c r="O2" s="288"/>
      <c r="P2" s="288"/>
      <c r="Q2" s="288"/>
      <c r="R2" s="288"/>
      <c r="S2" s="288"/>
    </row>
    <row r="3" spans="1:21" ht="13.5" thickBot="1" x14ac:dyDescent="0.25">
      <c r="J3" s="338"/>
      <c r="O3" s="288"/>
      <c r="P3" s="288"/>
      <c r="Q3" s="288"/>
      <c r="R3" s="288"/>
      <c r="S3" s="288"/>
    </row>
    <row r="4" spans="1:21" ht="13.5" thickBot="1" x14ac:dyDescent="0.25">
      <c r="C4" s="339">
        <v>12</v>
      </c>
      <c r="D4" s="339">
        <v>9502</v>
      </c>
      <c r="E4">
        <v>10</v>
      </c>
      <c r="F4">
        <v>480</v>
      </c>
      <c r="G4">
        <v>444</v>
      </c>
      <c r="H4">
        <v>175</v>
      </c>
      <c r="J4" s="338"/>
      <c r="O4" s="288"/>
      <c r="P4" s="288"/>
      <c r="Q4" s="288"/>
      <c r="R4" s="288"/>
      <c r="S4" s="288"/>
    </row>
    <row r="5" spans="1:21" ht="13.5" thickBot="1" x14ac:dyDescent="0.25">
      <c r="C5" s="339">
        <v>51</v>
      </c>
      <c r="D5" s="339">
        <v>9575</v>
      </c>
      <c r="E5">
        <v>11</v>
      </c>
      <c r="F5">
        <v>480</v>
      </c>
      <c r="G5">
        <v>447</v>
      </c>
      <c r="H5">
        <v>159</v>
      </c>
      <c r="J5" s="338"/>
      <c r="O5" s="288"/>
      <c r="P5" s="288"/>
      <c r="Q5" s="288"/>
      <c r="R5" s="288"/>
      <c r="S5" s="288"/>
    </row>
    <row r="6" spans="1:21" ht="13.5" thickBot="1" x14ac:dyDescent="0.25">
      <c r="C6" s="339"/>
      <c r="D6" s="339"/>
      <c r="E6">
        <v>2</v>
      </c>
      <c r="F6">
        <v>480</v>
      </c>
      <c r="G6">
        <v>517</v>
      </c>
      <c r="H6">
        <v>294</v>
      </c>
      <c r="J6" s="338"/>
      <c r="O6" s="288"/>
      <c r="P6" s="288"/>
      <c r="Q6" s="288"/>
      <c r="R6" s="288"/>
      <c r="S6" s="288"/>
    </row>
    <row r="7" spans="1:21" ht="13.5" thickBot="1" x14ac:dyDescent="0.25">
      <c r="C7" s="339"/>
      <c r="D7" s="339"/>
      <c r="E7">
        <v>34</v>
      </c>
      <c r="F7">
        <v>480</v>
      </c>
      <c r="G7">
        <v>517</v>
      </c>
      <c r="H7">
        <v>287</v>
      </c>
      <c r="J7" s="338"/>
    </row>
    <row r="8" spans="1:21" ht="13.5" thickBot="1" x14ac:dyDescent="0.25">
      <c r="C8" s="339"/>
      <c r="D8" s="341"/>
      <c r="E8">
        <v>8</v>
      </c>
      <c r="F8">
        <v>620</v>
      </c>
      <c r="G8">
        <v>539</v>
      </c>
      <c r="H8">
        <v>519</v>
      </c>
      <c r="J8" s="338"/>
    </row>
    <row r="9" spans="1:21" x14ac:dyDescent="0.2">
      <c r="J9" s="338"/>
    </row>
    <row r="10" spans="1:21" x14ac:dyDescent="0.2">
      <c r="J10" s="338"/>
    </row>
    <row r="11" spans="1:21" x14ac:dyDescent="0.2">
      <c r="J11" s="338"/>
    </row>
    <row r="12" spans="1:21" x14ac:dyDescent="0.2">
      <c r="J12" s="338"/>
    </row>
    <row r="13" spans="1:21" x14ac:dyDescent="0.2">
      <c r="J13" s="338"/>
    </row>
    <row r="14" spans="1:21" x14ac:dyDescent="0.2">
      <c r="J14" s="338"/>
    </row>
    <row r="15" spans="1:21" x14ac:dyDescent="0.2">
      <c r="J15" s="338"/>
    </row>
    <row r="16" spans="1:21" x14ac:dyDescent="0.2">
      <c r="A16" s="338"/>
      <c r="B16" s="338"/>
      <c r="C16" s="338"/>
      <c r="D16" s="338"/>
      <c r="E16" s="338"/>
      <c r="F16" s="338"/>
      <c r="G16" s="338"/>
      <c r="H16" s="338"/>
      <c r="I16" s="338"/>
      <c r="J16" s="338"/>
      <c r="K16" s="338"/>
      <c r="L16" s="338"/>
      <c r="M16" s="338"/>
      <c r="N16" s="338"/>
      <c r="O16" s="338"/>
      <c r="P16" s="338"/>
      <c r="Q16" s="338"/>
      <c r="R16" s="338"/>
      <c r="S16" s="338"/>
      <c r="T16" s="338"/>
      <c r="U16" s="338"/>
    </row>
    <row r="17" spans="1:10" x14ac:dyDescent="0.2">
      <c r="A17" s="5" t="s">
        <v>140</v>
      </c>
      <c r="B17" s="5" t="s">
        <v>141</v>
      </c>
      <c r="C17" s="5" t="s">
        <v>142</v>
      </c>
      <c r="D17" t="s">
        <v>70</v>
      </c>
      <c r="E17" t="s">
        <v>11</v>
      </c>
      <c r="F17" t="s">
        <v>12</v>
      </c>
      <c r="G17" s="115" t="s">
        <v>143</v>
      </c>
      <c r="H17" s="5" t="s">
        <v>144</v>
      </c>
      <c r="I17" s="5" t="s">
        <v>145</v>
      </c>
      <c r="J17" t="s">
        <v>16</v>
      </c>
    </row>
    <row r="18" spans="1:10" x14ac:dyDescent="0.2">
      <c r="A18" t="s">
        <v>42</v>
      </c>
      <c r="B18" t="s">
        <v>40</v>
      </c>
      <c r="C18">
        <v>10</v>
      </c>
      <c r="D18">
        <v>480</v>
      </c>
      <c r="E18">
        <v>444</v>
      </c>
      <c r="F18">
        <v>1148</v>
      </c>
      <c r="G18">
        <v>12</v>
      </c>
      <c r="H18">
        <v>9502</v>
      </c>
      <c r="J18">
        <v>175</v>
      </c>
    </row>
    <row r="19" spans="1:10" x14ac:dyDescent="0.2">
      <c r="A19" t="s">
        <v>42</v>
      </c>
      <c r="B19" t="s">
        <v>40</v>
      </c>
      <c r="C19">
        <v>11</v>
      </c>
      <c r="D19">
        <v>480</v>
      </c>
      <c r="E19">
        <v>447</v>
      </c>
      <c r="F19">
        <v>1128</v>
      </c>
      <c r="G19">
        <v>51</v>
      </c>
      <c r="H19">
        <v>9575</v>
      </c>
      <c r="J19">
        <v>159</v>
      </c>
    </row>
    <row r="20" spans="1:10" x14ac:dyDescent="0.2">
      <c r="A20" t="s">
        <v>42</v>
      </c>
      <c r="B20" t="s">
        <v>40</v>
      </c>
      <c r="C20">
        <v>2</v>
      </c>
      <c r="D20">
        <v>480</v>
      </c>
      <c r="E20">
        <v>517</v>
      </c>
      <c r="F20">
        <v>1807</v>
      </c>
      <c r="J20">
        <v>294</v>
      </c>
    </row>
    <row r="21" spans="1:10" x14ac:dyDescent="0.2">
      <c r="A21" t="s">
        <v>42</v>
      </c>
      <c r="B21" t="s">
        <v>40</v>
      </c>
      <c r="C21">
        <v>34</v>
      </c>
      <c r="D21">
        <v>480</v>
      </c>
      <c r="E21">
        <v>517</v>
      </c>
      <c r="F21">
        <v>1938</v>
      </c>
      <c r="J21">
        <v>287</v>
      </c>
    </row>
    <row r="22" spans="1:10" x14ac:dyDescent="0.2">
      <c r="A22" t="s">
        <v>42</v>
      </c>
      <c r="B22" t="s">
        <v>40</v>
      </c>
      <c r="C22">
        <v>8</v>
      </c>
      <c r="D22">
        <v>620</v>
      </c>
      <c r="E22">
        <v>539</v>
      </c>
      <c r="F22">
        <v>2347</v>
      </c>
      <c r="J22">
        <v>519</v>
      </c>
    </row>
    <row r="23" spans="1:10" x14ac:dyDescent="0.2">
      <c r="A23" t="s">
        <v>42</v>
      </c>
      <c r="B23" t="s">
        <v>40</v>
      </c>
      <c r="C23">
        <v>56</v>
      </c>
      <c r="D23">
        <v>480</v>
      </c>
      <c r="E23">
        <v>553</v>
      </c>
      <c r="F23">
        <v>1101</v>
      </c>
      <c r="J23">
        <v>115</v>
      </c>
    </row>
    <row r="24" spans="1:10" x14ac:dyDescent="0.2">
      <c r="A24" t="s">
        <v>42</v>
      </c>
      <c r="B24" t="s">
        <v>40</v>
      </c>
      <c r="C24">
        <v>51</v>
      </c>
      <c r="D24">
        <v>480</v>
      </c>
      <c r="E24">
        <v>601</v>
      </c>
      <c r="F24">
        <v>1108</v>
      </c>
      <c r="J24">
        <v>115</v>
      </c>
    </row>
    <row r="25" spans="1:10" x14ac:dyDescent="0.2">
      <c r="A25" t="s">
        <v>42</v>
      </c>
      <c r="B25" t="s">
        <v>40</v>
      </c>
      <c r="C25">
        <v>4</v>
      </c>
      <c r="D25">
        <v>480</v>
      </c>
      <c r="E25">
        <v>617</v>
      </c>
      <c r="F25">
        <v>1732</v>
      </c>
      <c r="J25">
        <v>253</v>
      </c>
    </row>
    <row r="26" spans="1:10" x14ac:dyDescent="0.2">
      <c r="A26" t="s">
        <v>42</v>
      </c>
      <c r="B26" t="s">
        <v>40</v>
      </c>
      <c r="C26">
        <v>6</v>
      </c>
      <c r="D26">
        <v>480</v>
      </c>
      <c r="E26">
        <v>624</v>
      </c>
      <c r="F26">
        <v>2200</v>
      </c>
      <c r="J26">
        <v>330</v>
      </c>
    </row>
    <row r="27" spans="1:10" x14ac:dyDescent="0.2">
      <c r="A27" t="s">
        <v>42</v>
      </c>
      <c r="B27" t="s">
        <v>40</v>
      </c>
      <c r="C27">
        <v>81</v>
      </c>
      <c r="D27">
        <v>480</v>
      </c>
      <c r="E27">
        <v>626</v>
      </c>
      <c r="F27">
        <v>1035</v>
      </c>
      <c r="J27">
        <v>107</v>
      </c>
    </row>
    <row r="28" spans="1:10" x14ac:dyDescent="0.2">
      <c r="A28" t="s">
        <v>42</v>
      </c>
      <c r="B28" t="s">
        <v>40</v>
      </c>
      <c r="C28">
        <v>53</v>
      </c>
      <c r="D28">
        <v>480</v>
      </c>
      <c r="E28">
        <v>627</v>
      </c>
      <c r="F28">
        <v>936</v>
      </c>
      <c r="J28">
        <v>79</v>
      </c>
    </row>
    <row r="29" spans="1:10" x14ac:dyDescent="0.2">
      <c r="A29" t="s">
        <v>42</v>
      </c>
      <c r="B29" t="s">
        <v>40</v>
      </c>
      <c r="C29">
        <v>50</v>
      </c>
      <c r="D29">
        <v>480</v>
      </c>
      <c r="E29">
        <v>638</v>
      </c>
      <c r="F29">
        <v>915</v>
      </c>
      <c r="J29">
        <v>114</v>
      </c>
    </row>
    <row r="30" spans="1:10" x14ac:dyDescent="0.2">
      <c r="A30" t="s">
        <v>42</v>
      </c>
      <c r="B30" t="s">
        <v>40</v>
      </c>
      <c r="C30">
        <v>2</v>
      </c>
      <c r="D30">
        <v>620</v>
      </c>
      <c r="E30">
        <v>638</v>
      </c>
      <c r="F30">
        <v>2247</v>
      </c>
      <c r="J30">
        <v>464</v>
      </c>
    </row>
    <row r="31" spans="1:10" x14ac:dyDescent="0.2">
      <c r="A31" t="s">
        <v>42</v>
      </c>
      <c r="B31" t="s">
        <v>40</v>
      </c>
      <c r="C31">
        <v>82</v>
      </c>
      <c r="D31">
        <v>480</v>
      </c>
      <c r="E31">
        <v>642</v>
      </c>
      <c r="F31">
        <v>1110</v>
      </c>
      <c r="J31">
        <v>107</v>
      </c>
    </row>
    <row r="32" spans="1:10" x14ac:dyDescent="0.2">
      <c r="A32" t="s">
        <v>42</v>
      </c>
      <c r="B32" t="s">
        <v>40</v>
      </c>
      <c r="C32">
        <v>52</v>
      </c>
      <c r="D32">
        <v>480</v>
      </c>
      <c r="E32">
        <v>650</v>
      </c>
      <c r="F32">
        <v>1032</v>
      </c>
      <c r="J32">
        <v>112</v>
      </c>
    </row>
    <row r="33" spans="1:10" x14ac:dyDescent="0.2">
      <c r="A33" t="s">
        <v>42</v>
      </c>
      <c r="B33" t="s">
        <v>40</v>
      </c>
      <c r="C33">
        <v>1</v>
      </c>
      <c r="D33">
        <v>480</v>
      </c>
      <c r="E33">
        <v>655</v>
      </c>
      <c r="F33">
        <v>2615</v>
      </c>
      <c r="J33">
        <v>392</v>
      </c>
    </row>
    <row r="34" spans="1:10" x14ac:dyDescent="0.2">
      <c r="A34" t="s">
        <v>42</v>
      </c>
      <c r="B34" t="s">
        <v>40</v>
      </c>
      <c r="C34">
        <v>1</v>
      </c>
      <c r="D34">
        <v>620</v>
      </c>
      <c r="E34">
        <v>700</v>
      </c>
      <c r="F34">
        <v>1400</v>
      </c>
    </row>
    <row r="35" spans="1:10" x14ac:dyDescent="0.2">
      <c r="A35" t="s">
        <v>42</v>
      </c>
      <c r="B35" t="s">
        <v>40</v>
      </c>
      <c r="C35">
        <v>84</v>
      </c>
      <c r="D35">
        <v>480</v>
      </c>
      <c r="E35">
        <v>702</v>
      </c>
      <c r="F35">
        <v>1122</v>
      </c>
      <c r="J35">
        <v>102</v>
      </c>
    </row>
    <row r="36" spans="1:10" x14ac:dyDescent="0.2">
      <c r="A36" t="s">
        <v>42</v>
      </c>
      <c r="B36" t="s">
        <v>40</v>
      </c>
      <c r="C36">
        <v>15</v>
      </c>
      <c r="D36">
        <v>480</v>
      </c>
      <c r="E36">
        <v>707</v>
      </c>
      <c r="F36">
        <v>1016</v>
      </c>
      <c r="J36">
        <v>90</v>
      </c>
    </row>
    <row r="37" spans="1:10" x14ac:dyDescent="0.2">
      <c r="A37" t="s">
        <v>42</v>
      </c>
      <c r="B37" t="s">
        <v>40</v>
      </c>
      <c r="C37">
        <v>5</v>
      </c>
      <c r="D37">
        <v>480</v>
      </c>
      <c r="E37">
        <v>710</v>
      </c>
      <c r="F37">
        <v>2123</v>
      </c>
      <c r="J37">
        <v>330</v>
      </c>
    </row>
    <row r="38" spans="1:10" x14ac:dyDescent="0.2">
      <c r="A38" t="s">
        <v>42</v>
      </c>
      <c r="B38" t="s">
        <v>40</v>
      </c>
      <c r="C38">
        <v>92</v>
      </c>
      <c r="D38">
        <v>480</v>
      </c>
      <c r="E38">
        <v>719</v>
      </c>
      <c r="F38">
        <v>925</v>
      </c>
      <c r="J38">
        <v>61</v>
      </c>
    </row>
    <row r="39" spans="1:10" x14ac:dyDescent="0.2">
      <c r="A39" t="s">
        <v>42</v>
      </c>
      <c r="B39" t="s">
        <v>40</v>
      </c>
      <c r="C39">
        <v>12</v>
      </c>
      <c r="D39">
        <v>480</v>
      </c>
      <c r="E39">
        <v>727</v>
      </c>
      <c r="F39">
        <v>943</v>
      </c>
      <c r="J39">
        <v>57</v>
      </c>
    </row>
    <row r="40" spans="1:10" x14ac:dyDescent="0.2">
      <c r="A40" t="s">
        <v>42</v>
      </c>
      <c r="B40" t="s">
        <v>40</v>
      </c>
      <c r="C40">
        <v>7</v>
      </c>
      <c r="D40">
        <v>480</v>
      </c>
      <c r="E40">
        <v>730</v>
      </c>
      <c r="F40">
        <v>2033</v>
      </c>
      <c r="J40">
        <v>316</v>
      </c>
    </row>
    <row r="41" spans="1:10" x14ac:dyDescent="0.2">
      <c r="A41" t="s">
        <v>42</v>
      </c>
      <c r="B41" t="s">
        <v>40</v>
      </c>
      <c r="C41">
        <v>13</v>
      </c>
      <c r="D41">
        <v>480</v>
      </c>
      <c r="E41">
        <v>745</v>
      </c>
      <c r="F41">
        <v>919</v>
      </c>
      <c r="J41">
        <v>52</v>
      </c>
    </row>
    <row r="42" spans="1:10" x14ac:dyDescent="0.2">
      <c r="A42" t="s">
        <v>42</v>
      </c>
      <c r="B42" t="s">
        <v>40</v>
      </c>
      <c r="C42">
        <v>14</v>
      </c>
      <c r="D42">
        <v>480</v>
      </c>
      <c r="E42">
        <v>746</v>
      </c>
      <c r="F42">
        <v>1002</v>
      </c>
      <c r="J42">
        <v>66</v>
      </c>
    </row>
    <row r="43" spans="1:10" x14ac:dyDescent="0.2">
      <c r="A43" t="s">
        <v>42</v>
      </c>
      <c r="B43" t="s">
        <v>40</v>
      </c>
      <c r="C43">
        <v>3</v>
      </c>
      <c r="D43">
        <v>480</v>
      </c>
      <c r="E43">
        <v>816</v>
      </c>
      <c r="F43">
        <v>1841</v>
      </c>
      <c r="J43">
        <v>221</v>
      </c>
    </row>
  </sheetData>
  <sortState ref="A18:J43">
    <sortCondition ref="E18:E43"/>
  </sortState>
  <mergeCells count="2">
    <mergeCell ref="O1:S1"/>
    <mergeCell ref="A2:B2"/>
  </mergeCells>
  <dataValidations count="1">
    <dataValidation type="list" allowBlank="1" showInputMessage="1" showErrorMessage="1" sqref="A2:B2">
      <formula1>bustype</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3:A22"/>
  <sheetViews>
    <sheetView workbookViewId="0">
      <selection activeCell="G26" sqref="G26"/>
    </sheetView>
  </sheetViews>
  <sheetFormatPr defaultRowHeight="12.75" x14ac:dyDescent="0.2"/>
  <sheetData>
    <row r="3" spans="1:1" x14ac:dyDescent="0.2">
      <c r="A3" s="5" t="s">
        <v>196</v>
      </c>
    </row>
    <row r="4" spans="1:1" x14ac:dyDescent="0.2">
      <c r="A4" t="s">
        <v>197</v>
      </c>
    </row>
    <row r="7" spans="1:1" x14ac:dyDescent="0.2">
      <c r="A7" s="337" t="s">
        <v>198</v>
      </c>
    </row>
    <row r="8" spans="1:1" x14ac:dyDescent="0.2">
      <c r="A8" s="337" t="s">
        <v>199</v>
      </c>
    </row>
    <row r="10" spans="1:1" x14ac:dyDescent="0.2">
      <c r="A10" s="5" t="s">
        <v>206</v>
      </c>
    </row>
    <row r="11" spans="1:1" x14ac:dyDescent="0.2">
      <c r="A11" s="5" t="s">
        <v>207</v>
      </c>
    </row>
    <row r="13" spans="1:1" x14ac:dyDescent="0.2">
      <c r="A13" s="337" t="s">
        <v>211</v>
      </c>
    </row>
    <row r="14" spans="1:1" x14ac:dyDescent="0.2">
      <c r="A14" s="337" t="s">
        <v>209</v>
      </c>
    </row>
    <row r="15" spans="1:1" x14ac:dyDescent="0.2">
      <c r="A15" s="337" t="s">
        <v>208</v>
      </c>
    </row>
    <row r="16" spans="1:1" x14ac:dyDescent="0.2">
      <c r="A16" s="337" t="s">
        <v>210</v>
      </c>
    </row>
    <row r="18" spans="1:1" x14ac:dyDescent="0.2">
      <c r="A18" s="5" t="s">
        <v>212</v>
      </c>
    </row>
    <row r="19" spans="1:1" x14ac:dyDescent="0.2">
      <c r="A19" s="5" t="s">
        <v>213</v>
      </c>
    </row>
    <row r="22" spans="1:1" x14ac:dyDescent="0.2">
      <c r="A22" s="5" t="s">
        <v>214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12</vt:i4>
      </vt:variant>
    </vt:vector>
  </HeadingPairs>
  <TitlesOfParts>
    <vt:vector size="30" baseType="lpstr">
      <vt:lpstr>Explanation</vt:lpstr>
      <vt:lpstr>TS</vt:lpstr>
      <vt:lpstr>Tracksheet</vt:lpstr>
      <vt:lpstr>CROSS OFFS</vt:lpstr>
      <vt:lpstr>Calculations</vt:lpstr>
      <vt:lpstr>Fuel Sheet</vt:lpstr>
      <vt:lpstr>Calc2</vt:lpstr>
      <vt:lpstr>Open</vt:lpstr>
      <vt:lpstr>PG1</vt:lpstr>
      <vt:lpstr>PG2</vt:lpstr>
      <vt:lpstr>PG3</vt:lpstr>
      <vt:lpstr>PLEASE DO NOT C.O.R THESE BUSES</vt:lpstr>
      <vt:lpstr>bookoutsort</vt:lpstr>
      <vt:lpstr>Artics</vt:lpstr>
      <vt:lpstr>Low Floors</vt:lpstr>
      <vt:lpstr>Orions</vt:lpstr>
      <vt:lpstr>interface</vt:lpstr>
      <vt:lpstr>Questions </vt:lpstr>
      <vt:lpstr>bustype</vt:lpstr>
      <vt:lpstr>hold</vt:lpstr>
      <vt:lpstr>inspections</vt:lpstr>
      <vt:lpstr>interior</vt:lpstr>
      <vt:lpstr>List</vt:lpstr>
      <vt:lpstr>long</vt:lpstr>
      <vt:lpstr>off</vt:lpstr>
      <vt:lpstr>'CROSS OFFS'!Print_Area</vt:lpstr>
      <vt:lpstr>TS!Print_Area</vt:lpstr>
      <vt:lpstr>reline</vt:lpstr>
      <vt:lpstr>short</vt:lpstr>
      <vt:lpstr>yndrop</vt:lpstr>
    </vt:vector>
  </TitlesOfParts>
  <Company>BC Transit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Atkinson</dc:creator>
  <cp:lastModifiedBy>Daniel</cp:lastModifiedBy>
  <cp:lastPrinted>2013-02-28T23:33:09Z</cp:lastPrinted>
  <dcterms:created xsi:type="dcterms:W3CDTF">2002-06-18T22:57:24Z</dcterms:created>
  <dcterms:modified xsi:type="dcterms:W3CDTF">2013-03-12T06:01:11Z</dcterms:modified>
</cp:coreProperties>
</file>