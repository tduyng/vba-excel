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2035" windowHeight="4650" firstSheet="1" activeTab="1"/>
  </bookViews>
  <sheets>
    <sheet name="Sheet1" sheetId="1" state="hidden" r:id="rId1"/>
    <sheet name="HOME" sheetId="2" r:id="rId2"/>
  </sheets>
  <definedNames>
    <definedName name="myTable">Sheet1!$A$6:$C$45</definedName>
  </definedNames>
  <calcPr calcId="145621"/>
</workbook>
</file>

<file path=xl/calcChain.xml><?xml version="1.0" encoding="utf-8"?>
<calcChain xmlns="http://schemas.openxmlformats.org/spreadsheetml/2006/main">
  <c r="P20" i="1" l="1"/>
  <c r="O20" i="1"/>
  <c r="P18" i="1"/>
  <c r="O18" i="1"/>
  <c r="Q15" i="1"/>
  <c r="Q16" i="1"/>
  <c r="Q14" i="1"/>
  <c r="G13" i="1"/>
  <c r="G12" i="1"/>
</calcChain>
</file>

<file path=xl/sharedStrings.xml><?xml version="1.0" encoding="utf-8"?>
<sst xmlns="http://schemas.openxmlformats.org/spreadsheetml/2006/main" count="49" uniqueCount="18">
  <si>
    <t>Num Employees</t>
  </si>
  <si>
    <t>Name</t>
  </si>
  <si>
    <t>H1</t>
  </si>
  <si>
    <t>Price</t>
  </si>
  <si>
    <t>Micro Bus</t>
  </si>
  <si>
    <t>Mini Bus</t>
  </si>
  <si>
    <t>Num Employees:</t>
  </si>
  <si>
    <t>ppu</t>
  </si>
  <si>
    <t>3Microbus</t>
  </si>
  <si>
    <t>2Minibus</t>
  </si>
  <si>
    <t>1mic1mini</t>
  </si>
  <si>
    <t>Mini+H1</t>
  </si>
  <si>
    <t>2Micro</t>
  </si>
  <si>
    <t>Mini+Micro</t>
  </si>
  <si>
    <t>3Micro</t>
  </si>
  <si>
    <t>4micro</t>
  </si>
  <si>
    <t>2Mini</t>
  </si>
  <si>
    <t>mini+2micro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</si>
</sst>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Arial"/>
      <family val="2"/>
    </font>
    <font>
      <b/>
      <sz val="10"/>
      <color rgb="FF33333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applyFont="1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504825</xdr:colOff>
      <xdr:row>3</xdr:row>
      <xdr:rowOff>152400</xdr:rowOff>
    </xdr:from>
    <xdr:to>
      <xdr:col>12</xdr:col>
      <xdr:colOff>200025</xdr:colOff>
      <xdr:row>23</xdr:row>
      <xdr:rowOff>66675</xdr:rowOff>
    </xdr:to>
    <xdr:sp macro="[0]!opentrans" textlink="">
      <xdr:nvSpPr>
        <xdr:cNvPr id="2" name="Rounded Rectangle 1"/>
        <xdr:cNvSpPr/>
      </xdr:nvSpPr>
      <xdr:spPr>
        <a:xfrm>
          <a:off x="1114425" y="723900"/>
          <a:ext cx="6400800" cy="372427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/>
            <a:t>Click</a:t>
          </a:r>
          <a:r>
            <a:rPr lang="en-US" sz="4800" baseline="0"/>
            <a:t> here to calculate Transporation</a:t>
          </a:r>
          <a:endParaRPr lang="en-US" sz="4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45"/>
  <sheetViews>
    <sheetView zoomScale="115" zoomScaleNormal="115" workbookViewId="0">
      <selection activeCell="D15" sqref="D15"/>
    </sheetView>
  </sheetViews>
  <sheetFormatPr defaultRowHeight="15" x14ac:dyDescent="0.25"/>
  <cols>
    <col min="1" max="1" width="15.7109375" bestFit="1" customWidth="1"/>
    <col min="2" max="2" width="12" bestFit="1" customWidth="1"/>
    <col min="6" max="6" width="16.140625" bestFit="1" customWidth="1"/>
    <col min="7" max="7" width="14" customWidth="1"/>
  </cols>
  <sheetData>
    <row r="1" spans="1:17" x14ac:dyDescent="0.25">
      <c r="A1" s="1"/>
    </row>
    <row r="2" spans="1:17" x14ac:dyDescent="0.25">
      <c r="A2" s="1"/>
    </row>
    <row r="3" spans="1:17" x14ac:dyDescent="0.25">
      <c r="A3" s="1"/>
    </row>
    <row r="4" spans="1:17" x14ac:dyDescent="0.25">
      <c r="A4" s="1"/>
    </row>
    <row r="5" spans="1:17" x14ac:dyDescent="0.25">
      <c r="A5" s="2" t="s">
        <v>0</v>
      </c>
      <c r="B5" s="3" t="s">
        <v>1</v>
      </c>
      <c r="C5" s="3" t="s">
        <v>3</v>
      </c>
    </row>
    <row r="6" spans="1:17" x14ac:dyDescent="0.25">
      <c r="A6">
        <v>1</v>
      </c>
      <c r="B6" t="s">
        <v>2</v>
      </c>
      <c r="C6">
        <v>200</v>
      </c>
    </row>
    <row r="7" spans="1:17" x14ac:dyDescent="0.25">
      <c r="A7">
        <v>9</v>
      </c>
      <c r="B7" t="s">
        <v>4</v>
      </c>
      <c r="C7">
        <v>230</v>
      </c>
    </row>
    <row r="8" spans="1:17" x14ac:dyDescent="0.25">
      <c r="A8">
        <v>15</v>
      </c>
      <c r="B8" t="s">
        <v>5</v>
      </c>
      <c r="C8">
        <v>400</v>
      </c>
    </row>
    <row r="9" spans="1:17" x14ac:dyDescent="0.25">
      <c r="A9">
        <v>26</v>
      </c>
      <c r="B9" t="s">
        <v>5</v>
      </c>
      <c r="C9">
        <v>400</v>
      </c>
    </row>
    <row r="10" spans="1:17" x14ac:dyDescent="0.25">
      <c r="A10">
        <v>27</v>
      </c>
      <c r="B10" t="s">
        <v>12</v>
      </c>
      <c r="C10">
        <v>460</v>
      </c>
      <c r="F10" t="s">
        <v>6</v>
      </c>
      <c r="G10" s="6">
        <v>40</v>
      </c>
    </row>
    <row r="11" spans="1:17" x14ac:dyDescent="0.25">
      <c r="A11">
        <v>28</v>
      </c>
      <c r="B11" t="s">
        <v>12</v>
      </c>
      <c r="C11">
        <v>460</v>
      </c>
    </row>
    <row r="12" spans="1:17" x14ac:dyDescent="0.25">
      <c r="A12">
        <v>29</v>
      </c>
      <c r="B12" t="s">
        <v>11</v>
      </c>
      <c r="C12">
        <v>600</v>
      </c>
      <c r="F12" t="s">
        <v>1</v>
      </c>
      <c r="G12" s="4" t="str">
        <f>IF($G$10="","",VLOOKUP($G$10,myTable,2,1))</f>
        <v>Mini+Micro</v>
      </c>
    </row>
    <row r="13" spans="1:17" x14ac:dyDescent="0.25">
      <c r="A13">
        <v>30</v>
      </c>
      <c r="B13" t="s">
        <v>11</v>
      </c>
      <c r="C13">
        <v>600</v>
      </c>
      <c r="F13" t="s">
        <v>3</v>
      </c>
      <c r="G13" s="5">
        <f>IF($G$10="","",VLOOKUP($G$10,myTable,3,1))</f>
        <v>630</v>
      </c>
      <c r="Q13" t="s">
        <v>7</v>
      </c>
    </row>
    <row r="14" spans="1:17" x14ac:dyDescent="0.25">
      <c r="A14">
        <v>31</v>
      </c>
      <c r="B14" t="s">
        <v>11</v>
      </c>
      <c r="C14">
        <v>600</v>
      </c>
      <c r="N14" t="s">
        <v>2</v>
      </c>
      <c r="O14">
        <v>8</v>
      </c>
      <c r="P14">
        <v>200</v>
      </c>
      <c r="Q14">
        <f>P14/O14</f>
        <v>25</v>
      </c>
    </row>
    <row r="15" spans="1:17" x14ac:dyDescent="0.25">
      <c r="A15">
        <v>32</v>
      </c>
      <c r="B15" t="s">
        <v>11</v>
      </c>
      <c r="C15">
        <v>600</v>
      </c>
      <c r="N15" t="s">
        <v>4</v>
      </c>
      <c r="O15">
        <v>14</v>
      </c>
      <c r="P15">
        <v>230</v>
      </c>
      <c r="Q15">
        <f t="shared" ref="Q15:Q16" si="0">P15/O15</f>
        <v>16.428571428571427</v>
      </c>
    </row>
    <row r="16" spans="1:17" x14ac:dyDescent="0.25">
      <c r="A16">
        <v>33</v>
      </c>
      <c r="B16" t="s">
        <v>11</v>
      </c>
      <c r="C16">
        <v>600</v>
      </c>
      <c r="N16" t="s">
        <v>5</v>
      </c>
      <c r="O16">
        <v>26</v>
      </c>
      <c r="P16">
        <v>400</v>
      </c>
      <c r="Q16">
        <f t="shared" si="0"/>
        <v>15.384615384615385</v>
      </c>
    </row>
    <row r="17" spans="1:16" x14ac:dyDescent="0.25">
      <c r="A17">
        <v>34</v>
      </c>
      <c r="B17" t="s">
        <v>11</v>
      </c>
      <c r="C17">
        <v>600</v>
      </c>
    </row>
    <row r="18" spans="1:16" x14ac:dyDescent="0.25">
      <c r="A18">
        <v>35</v>
      </c>
      <c r="B18" t="s">
        <v>13</v>
      </c>
      <c r="C18">
        <v>630</v>
      </c>
      <c r="N18" t="s">
        <v>8</v>
      </c>
      <c r="O18">
        <f>14*3</f>
        <v>42</v>
      </c>
      <c r="P18">
        <f>230*3</f>
        <v>690</v>
      </c>
    </row>
    <row r="19" spans="1:16" x14ac:dyDescent="0.25">
      <c r="A19">
        <v>36</v>
      </c>
      <c r="B19" t="s">
        <v>13</v>
      </c>
      <c r="C19">
        <v>630</v>
      </c>
      <c r="N19" t="s">
        <v>9</v>
      </c>
      <c r="O19">
        <v>52</v>
      </c>
      <c r="P19">
        <v>800</v>
      </c>
    </row>
    <row r="20" spans="1:16" x14ac:dyDescent="0.25">
      <c r="A20">
        <v>37</v>
      </c>
      <c r="B20" t="s">
        <v>13</v>
      </c>
      <c r="C20">
        <v>630</v>
      </c>
      <c r="N20" t="s">
        <v>15</v>
      </c>
      <c r="O20">
        <f>14*4</f>
        <v>56</v>
      </c>
      <c r="P20">
        <f>230*4</f>
        <v>920</v>
      </c>
    </row>
    <row r="21" spans="1:16" x14ac:dyDescent="0.25">
      <c r="A21">
        <v>38</v>
      </c>
      <c r="B21" t="s">
        <v>13</v>
      </c>
      <c r="C21">
        <v>630</v>
      </c>
      <c r="N21" t="s">
        <v>17</v>
      </c>
      <c r="O21">
        <v>54</v>
      </c>
      <c r="P21">
        <v>860</v>
      </c>
    </row>
    <row r="22" spans="1:16" x14ac:dyDescent="0.25">
      <c r="A22">
        <v>39</v>
      </c>
      <c r="B22" t="s">
        <v>13</v>
      </c>
      <c r="C22">
        <v>630</v>
      </c>
      <c r="N22" t="s">
        <v>10</v>
      </c>
      <c r="O22">
        <v>40</v>
      </c>
      <c r="P22">
        <v>630</v>
      </c>
    </row>
    <row r="23" spans="1:16" x14ac:dyDescent="0.25">
      <c r="A23">
        <v>40</v>
      </c>
      <c r="B23" t="s">
        <v>13</v>
      </c>
      <c r="C23">
        <v>630</v>
      </c>
    </row>
    <row r="24" spans="1:16" x14ac:dyDescent="0.25">
      <c r="A24">
        <v>41</v>
      </c>
      <c r="B24" t="s">
        <v>14</v>
      </c>
      <c r="C24">
        <v>690</v>
      </c>
    </row>
    <row r="25" spans="1:16" x14ac:dyDescent="0.25">
      <c r="A25">
        <v>42</v>
      </c>
      <c r="B25" t="s">
        <v>14</v>
      </c>
      <c r="C25">
        <v>690</v>
      </c>
    </row>
    <row r="26" spans="1:16" x14ac:dyDescent="0.25">
      <c r="A26">
        <v>43</v>
      </c>
      <c r="B26" t="s">
        <v>16</v>
      </c>
      <c r="C26">
        <v>800</v>
      </c>
    </row>
    <row r="27" spans="1:16" x14ac:dyDescent="0.25">
      <c r="A27">
        <v>44</v>
      </c>
      <c r="B27" t="s">
        <v>16</v>
      </c>
      <c r="C27">
        <v>800</v>
      </c>
    </row>
    <row r="28" spans="1:16" x14ac:dyDescent="0.25">
      <c r="A28">
        <v>45</v>
      </c>
      <c r="B28" t="s">
        <v>16</v>
      </c>
      <c r="C28">
        <v>800</v>
      </c>
    </row>
    <row r="29" spans="1:16" x14ac:dyDescent="0.25">
      <c r="A29">
        <v>46</v>
      </c>
      <c r="B29" t="s">
        <v>16</v>
      </c>
      <c r="C29">
        <v>800</v>
      </c>
    </row>
    <row r="30" spans="1:16" x14ac:dyDescent="0.25">
      <c r="A30">
        <v>47</v>
      </c>
      <c r="B30" t="s">
        <v>16</v>
      </c>
      <c r="C30">
        <v>800</v>
      </c>
    </row>
    <row r="31" spans="1:16" x14ac:dyDescent="0.25">
      <c r="A31">
        <v>48</v>
      </c>
      <c r="B31" t="s">
        <v>16</v>
      </c>
      <c r="C31">
        <v>800</v>
      </c>
    </row>
    <row r="32" spans="1:16" x14ac:dyDescent="0.25">
      <c r="A32">
        <v>49</v>
      </c>
      <c r="B32" t="s">
        <v>16</v>
      </c>
      <c r="C32">
        <v>800</v>
      </c>
    </row>
    <row r="33" spans="1:3" x14ac:dyDescent="0.25">
      <c r="A33">
        <v>50</v>
      </c>
      <c r="B33" t="s">
        <v>16</v>
      </c>
      <c r="C33">
        <v>800</v>
      </c>
    </row>
    <row r="34" spans="1:3" x14ac:dyDescent="0.25">
      <c r="A34">
        <v>51</v>
      </c>
      <c r="B34" t="s">
        <v>16</v>
      </c>
      <c r="C34">
        <v>800</v>
      </c>
    </row>
    <row r="35" spans="1:3" x14ac:dyDescent="0.25">
      <c r="A35">
        <v>52</v>
      </c>
      <c r="B35" t="s">
        <v>17</v>
      </c>
      <c r="C35">
        <v>860</v>
      </c>
    </row>
    <row r="36" spans="1:3" x14ac:dyDescent="0.25">
      <c r="A36">
        <v>53</v>
      </c>
      <c r="B36" t="s">
        <v>17</v>
      </c>
      <c r="C36">
        <v>860</v>
      </c>
    </row>
    <row r="37" spans="1:3" x14ac:dyDescent="0.25">
      <c r="A37">
        <v>54</v>
      </c>
      <c r="B37" t="s">
        <v>17</v>
      </c>
      <c r="C37">
        <v>860</v>
      </c>
    </row>
    <row r="38" spans="1:3" x14ac:dyDescent="0.25">
      <c r="A38">
        <v>55</v>
      </c>
      <c r="B38" t="s">
        <v>15</v>
      </c>
      <c r="C38">
        <v>920</v>
      </c>
    </row>
    <row r="39" spans="1:3" x14ac:dyDescent="0.25">
      <c r="A39">
        <v>56</v>
      </c>
      <c r="B39" t="s">
        <v>15</v>
      </c>
      <c r="C39">
        <v>920</v>
      </c>
    </row>
    <row r="40" spans="1:3" x14ac:dyDescent="0.25">
      <c r="A40">
        <v>57</v>
      </c>
    </row>
    <row r="41" spans="1:3" x14ac:dyDescent="0.25">
      <c r="A41">
        <v>58</v>
      </c>
    </row>
    <row r="42" spans="1:3" x14ac:dyDescent="0.25">
      <c r="A42">
        <v>59</v>
      </c>
    </row>
    <row r="43" spans="1:3" x14ac:dyDescent="0.25">
      <c r="A43">
        <v>60</v>
      </c>
    </row>
    <row r="44" spans="1:3" x14ac:dyDescent="0.25">
      <c r="A44">
        <v>61</v>
      </c>
    </row>
    <row r="45" spans="1:3" x14ac:dyDescent="0.25">
      <c r="A45">
        <v>62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showRowColHeaders="0" tabSelected="1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HOME</vt:lpstr>
      <vt:lpstr>myTable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2013-12-01T02:01:44Z</dcterms:created>
  <dcterms:modified xsi:type="dcterms:W3CDTF">2013-12-01T02:58:40Z</dcterms:modified>
</cp:coreProperties>
</file>