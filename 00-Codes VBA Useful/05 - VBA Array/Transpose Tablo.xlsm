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0 - BIM\07 - EXCEL\00 - Code VBA useful\05 - Mang trong VBA\"/>
    </mc:Choice>
  </mc:AlternateContent>
  <bookViews>
    <workbookView xWindow="0" yWindow="0" windowWidth="38400" windowHeight="17010" activeTab="6"/>
  </bookViews>
  <sheets>
    <sheet name="Tirage_v1" sheetId="1" r:id="rId1"/>
    <sheet name="OR_v1" sheetId="2" r:id="rId2"/>
    <sheet name="chuot" sheetId="9" r:id="rId3"/>
    <sheet name="ga" sheetId="10" r:id="rId4"/>
    <sheet name="ngon" sheetId="11" r:id="rId5"/>
    <sheet name="DFilter" sheetId="14" r:id="rId6"/>
    <sheet name="Feuil4" sheetId="23" r:id="rId7"/>
    <sheet name="WEST" sheetId="19" r:id="rId8"/>
    <sheet name="CENTRAL" sheetId="20" r:id="rId9"/>
    <sheet name="EAST" sheetId="21" r:id="rId10"/>
    <sheet name="TONG HOP" sheetId="22" r:id="rId11"/>
  </sheets>
  <functionGroups builtInGroupCount="18"/>
  <definedNames>
    <definedName name="_xlnm._FilterDatabase" localSheetId="5" hidden="1">DFilter!$A$12:$G$31</definedName>
    <definedName name="Data">chuot!$A$1:$F$8</definedName>
    <definedName name="Data_filter">DFilter!$A$12:$G$31</definedName>
    <definedName name="Data2">ga!$A$2:$F$26</definedName>
    <definedName name="Data3">ngon!$A$2:$F$14</definedName>
    <definedName name="NameSheet">#REF!</definedName>
    <definedName name="Table2">Tirage_v1!$G$31:$G$46</definedName>
    <definedName name="TableTest">Tirage_v1!$H$4:$H$15</definedName>
    <definedName name="XOA">Tirage_v1!$A$11:$G$27</definedName>
  </definedNames>
  <calcPr calcId="171027"/>
</workbook>
</file>

<file path=xl/calcChain.xml><?xml version="1.0" encoding="utf-8"?>
<calcChain xmlns="http://schemas.openxmlformats.org/spreadsheetml/2006/main">
  <c r="G14" i="14" l="1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13" i="14"/>
  <c r="H10" i="1" l="1"/>
  <c r="G46" i="1"/>
  <c r="G44" i="1"/>
  <c r="G43" i="1"/>
  <c r="J15" i="1"/>
  <c r="H15" i="1" s="1"/>
  <c r="B1" i="1" l="1"/>
</calcChain>
</file>

<file path=xl/sharedStrings.xml><?xml version="1.0" encoding="utf-8"?>
<sst xmlns="http://schemas.openxmlformats.org/spreadsheetml/2006/main" count="738" uniqueCount="324">
  <si>
    <t>Nombre de Lignes Excel 2003</t>
  </si>
  <si>
    <t>La transposition se fait tant que le nombre de tirages n'excède pas ce nombre.</t>
  </si>
  <si>
    <t>Au dela de cette valeur, la transposition ne se fait plus.</t>
  </si>
  <si>
    <t>Rectangle 40</t>
  </si>
  <si>
    <t>Rectangle 41</t>
  </si>
  <si>
    <t>Rectangle 42</t>
  </si>
  <si>
    <t>Rectangle 43</t>
  </si>
  <si>
    <t>Enter Numbers</t>
  </si>
  <si>
    <t>Oder</t>
  </si>
  <si>
    <t>rep</t>
  </si>
  <si>
    <t>Regio</t>
  </si>
  <si>
    <t>unit</t>
  </si>
  <si>
    <t>unitcost</t>
  </si>
  <si>
    <t>Total</t>
  </si>
  <si>
    <t>a1</t>
  </si>
  <si>
    <t>b1</t>
  </si>
  <si>
    <t>c1</t>
  </si>
  <si>
    <t>d1</t>
  </si>
  <si>
    <t>e1</t>
  </si>
  <si>
    <t>f1</t>
  </si>
  <si>
    <t>a2</t>
  </si>
  <si>
    <t>b2</t>
  </si>
  <si>
    <t>c2</t>
  </si>
  <si>
    <t>d2</t>
  </si>
  <si>
    <t>e2</t>
  </si>
  <si>
    <t>f2</t>
  </si>
  <si>
    <t>a3</t>
  </si>
  <si>
    <t>b3</t>
  </si>
  <si>
    <t>c3</t>
  </si>
  <si>
    <t>d3</t>
  </si>
  <si>
    <t>e3</t>
  </si>
  <si>
    <t>f3</t>
  </si>
  <si>
    <t>a4</t>
  </si>
  <si>
    <t>b4</t>
  </si>
  <si>
    <t>c4</t>
  </si>
  <si>
    <t>d4</t>
  </si>
  <si>
    <t>e4</t>
  </si>
  <si>
    <t>f4</t>
  </si>
  <si>
    <t>a5</t>
  </si>
  <si>
    <t>b5</t>
  </si>
  <si>
    <t>c5</t>
  </si>
  <si>
    <t>d5</t>
  </si>
  <si>
    <t>e5</t>
  </si>
  <si>
    <t>f5</t>
  </si>
  <si>
    <t>a6</t>
  </si>
  <si>
    <t>b6</t>
  </si>
  <si>
    <t>c6</t>
  </si>
  <si>
    <t>d6</t>
  </si>
  <si>
    <t>e6</t>
  </si>
  <si>
    <t>f6</t>
  </si>
  <si>
    <t>a7</t>
  </si>
  <si>
    <t>b7</t>
  </si>
  <si>
    <t>c7</t>
  </si>
  <si>
    <t>d7</t>
  </si>
  <si>
    <t>e7</t>
  </si>
  <si>
    <t>f7</t>
  </si>
  <si>
    <t>a8</t>
  </si>
  <si>
    <t>b8</t>
  </si>
  <si>
    <t>c8</t>
  </si>
  <si>
    <t>d8</t>
  </si>
  <si>
    <t>e8</t>
  </si>
  <si>
    <t>f8</t>
  </si>
  <si>
    <t>a9</t>
  </si>
  <si>
    <t>b9</t>
  </si>
  <si>
    <t>c9</t>
  </si>
  <si>
    <t>d9</t>
  </si>
  <si>
    <t>e9</t>
  </si>
  <si>
    <t>f9</t>
  </si>
  <si>
    <t>a10</t>
  </si>
  <si>
    <t>b10</t>
  </si>
  <si>
    <t>c10</t>
  </si>
  <si>
    <t>d10</t>
  </si>
  <si>
    <t>e10</t>
  </si>
  <si>
    <t>f10</t>
  </si>
  <si>
    <t>a11</t>
  </si>
  <si>
    <t>b11</t>
  </si>
  <si>
    <t>c11</t>
  </si>
  <si>
    <t>d11</t>
  </si>
  <si>
    <t>e11</t>
  </si>
  <si>
    <t>f11</t>
  </si>
  <si>
    <t>a12</t>
  </si>
  <si>
    <t>b12</t>
  </si>
  <si>
    <t>c12</t>
  </si>
  <si>
    <t>d12</t>
  </si>
  <si>
    <t>e12</t>
  </si>
  <si>
    <t>f12</t>
  </si>
  <si>
    <t>a13</t>
  </si>
  <si>
    <t>b13</t>
  </si>
  <si>
    <t>c13</t>
  </si>
  <si>
    <t>d13</t>
  </si>
  <si>
    <t>e13</t>
  </si>
  <si>
    <t>f13</t>
  </si>
  <si>
    <t>a14</t>
  </si>
  <si>
    <t>b14</t>
  </si>
  <si>
    <t>c14</t>
  </si>
  <si>
    <t>d14</t>
  </si>
  <si>
    <t>e14</t>
  </si>
  <si>
    <t>f14</t>
  </si>
  <si>
    <t>a15</t>
  </si>
  <si>
    <t>b15</t>
  </si>
  <si>
    <t>c15</t>
  </si>
  <si>
    <t>d15</t>
  </si>
  <si>
    <t>e15</t>
  </si>
  <si>
    <t>f15</t>
  </si>
  <si>
    <t>a16</t>
  </si>
  <si>
    <t>b16</t>
  </si>
  <si>
    <t>c16</t>
  </si>
  <si>
    <t>d16</t>
  </si>
  <si>
    <t>e16</t>
  </si>
  <si>
    <t>f16</t>
  </si>
  <si>
    <t>a17</t>
  </si>
  <si>
    <t>b17</t>
  </si>
  <si>
    <t>c17</t>
  </si>
  <si>
    <t>d17</t>
  </si>
  <si>
    <t>e17</t>
  </si>
  <si>
    <t>f17</t>
  </si>
  <si>
    <t>a18</t>
  </si>
  <si>
    <t>b18</t>
  </si>
  <si>
    <t>c18</t>
  </si>
  <si>
    <t>d18</t>
  </si>
  <si>
    <t>e18</t>
  </si>
  <si>
    <t>f18</t>
  </si>
  <si>
    <t>a19</t>
  </si>
  <si>
    <t>b19</t>
  </si>
  <si>
    <t>c19</t>
  </si>
  <si>
    <t>d19</t>
  </si>
  <si>
    <t>e19</t>
  </si>
  <si>
    <t>f19</t>
  </si>
  <si>
    <t>a20</t>
  </si>
  <si>
    <t>b20</t>
  </si>
  <si>
    <t>c20</t>
  </si>
  <si>
    <t>d20</t>
  </si>
  <si>
    <t>e20</t>
  </si>
  <si>
    <t>f20</t>
  </si>
  <si>
    <t>a21</t>
  </si>
  <si>
    <t>b21</t>
  </si>
  <si>
    <t>c21</t>
  </si>
  <si>
    <t>d21</t>
  </si>
  <si>
    <t>e21</t>
  </si>
  <si>
    <t>f21</t>
  </si>
  <si>
    <t>a22</t>
  </si>
  <si>
    <t>b22</t>
  </si>
  <si>
    <t>c22</t>
  </si>
  <si>
    <t>d22</t>
  </si>
  <si>
    <t>e22</t>
  </si>
  <si>
    <t>f22</t>
  </si>
  <si>
    <t>a23</t>
  </si>
  <si>
    <t>b23</t>
  </si>
  <si>
    <t>c23</t>
  </si>
  <si>
    <t>d23</t>
  </si>
  <si>
    <t>e23</t>
  </si>
  <si>
    <t>f23</t>
  </si>
  <si>
    <t>a24</t>
  </si>
  <si>
    <t>b24</t>
  </si>
  <si>
    <t>c24</t>
  </si>
  <si>
    <t>d24</t>
  </si>
  <si>
    <t>e24</t>
  </si>
  <si>
    <t>f24</t>
  </si>
  <si>
    <t>a25</t>
  </si>
  <si>
    <t>b25</t>
  </si>
  <si>
    <t>c25</t>
  </si>
  <si>
    <t>d25</t>
  </si>
  <si>
    <t>e25</t>
  </si>
  <si>
    <t>f25</t>
  </si>
  <si>
    <t>a26</t>
  </si>
  <si>
    <t>b26</t>
  </si>
  <si>
    <t>c26</t>
  </si>
  <si>
    <t>d26</t>
  </si>
  <si>
    <t>e26</t>
  </si>
  <si>
    <t>f26</t>
  </si>
  <si>
    <t>a27</t>
  </si>
  <si>
    <t>b27</t>
  </si>
  <si>
    <t>c27</t>
  </si>
  <si>
    <t>d27</t>
  </si>
  <si>
    <t>e27</t>
  </si>
  <si>
    <t>f27</t>
  </si>
  <si>
    <t>a28</t>
  </si>
  <si>
    <t>b28</t>
  </si>
  <si>
    <t>c28</t>
  </si>
  <si>
    <t>d28</t>
  </si>
  <si>
    <t>e28</t>
  </si>
  <si>
    <t>f28</t>
  </si>
  <si>
    <t>a29</t>
  </si>
  <si>
    <t>b29</t>
  </si>
  <si>
    <t>c29</t>
  </si>
  <si>
    <t>d29</t>
  </si>
  <si>
    <t>e29</t>
  </si>
  <si>
    <t>f29</t>
  </si>
  <si>
    <t>a30</t>
  </si>
  <si>
    <t>b30</t>
  </si>
  <si>
    <t>c30</t>
  </si>
  <si>
    <t>d30</t>
  </si>
  <si>
    <t>e30</t>
  </si>
  <si>
    <t>f30</t>
  </si>
  <si>
    <t>a31</t>
  </si>
  <si>
    <t>b31</t>
  </si>
  <si>
    <t>c31</t>
  </si>
  <si>
    <t>d31</t>
  </si>
  <si>
    <t>e31</t>
  </si>
  <si>
    <t>f31</t>
  </si>
  <si>
    <t>a32</t>
  </si>
  <si>
    <t>b32</t>
  </si>
  <si>
    <t>c32</t>
  </si>
  <si>
    <t>d32</t>
  </si>
  <si>
    <t>e32</t>
  </si>
  <si>
    <t>f32</t>
  </si>
  <si>
    <t>a33</t>
  </si>
  <si>
    <t>b33</t>
  </si>
  <si>
    <t>c33</t>
  </si>
  <si>
    <t>d33</t>
  </si>
  <si>
    <t>e33</t>
  </si>
  <si>
    <t>f33</t>
  </si>
  <si>
    <t>a34</t>
  </si>
  <si>
    <t>b34</t>
  </si>
  <si>
    <t>c34</t>
  </si>
  <si>
    <t>d34</t>
  </si>
  <si>
    <t>e34</t>
  </si>
  <si>
    <t>f34</t>
  </si>
  <si>
    <t>a35</t>
  </si>
  <si>
    <t>b35</t>
  </si>
  <si>
    <t>c35</t>
  </si>
  <si>
    <t>d35</t>
  </si>
  <si>
    <t>e35</t>
  </si>
  <si>
    <t>f35</t>
  </si>
  <si>
    <t>a36</t>
  </si>
  <si>
    <t>b36</t>
  </si>
  <si>
    <t>c36</t>
  </si>
  <si>
    <t>d36</t>
  </si>
  <si>
    <t>e36</t>
  </si>
  <si>
    <t>f36</t>
  </si>
  <si>
    <t>a37</t>
  </si>
  <si>
    <t>b37</t>
  </si>
  <si>
    <t>c37</t>
  </si>
  <si>
    <t>d37</t>
  </si>
  <si>
    <t>e37</t>
  </si>
  <si>
    <t>f37</t>
  </si>
  <si>
    <t>a38</t>
  </si>
  <si>
    <t>b38</t>
  </si>
  <si>
    <t>c38</t>
  </si>
  <si>
    <t>d38</t>
  </si>
  <si>
    <t>e38</t>
  </si>
  <si>
    <t>f38</t>
  </si>
  <si>
    <t>a39</t>
  </si>
  <si>
    <t>b39</t>
  </si>
  <si>
    <t>c39</t>
  </si>
  <si>
    <t>d39</t>
  </si>
  <si>
    <t>e39</t>
  </si>
  <si>
    <t>f39</t>
  </si>
  <si>
    <t>a40</t>
  </si>
  <si>
    <t>b40</t>
  </si>
  <si>
    <t>c40</t>
  </si>
  <si>
    <t>d40</t>
  </si>
  <si>
    <t>e40</t>
  </si>
  <si>
    <t>f40</t>
  </si>
  <si>
    <t>a41</t>
  </si>
  <si>
    <t>b41</t>
  </si>
  <si>
    <t>c41</t>
  </si>
  <si>
    <t>d41</t>
  </si>
  <si>
    <t>e41</t>
  </si>
  <si>
    <t>f41</t>
  </si>
  <si>
    <t>a42</t>
  </si>
  <si>
    <t>b42</t>
  </si>
  <si>
    <t>c42</t>
  </si>
  <si>
    <t>d42</t>
  </si>
  <si>
    <t>e42</t>
  </si>
  <si>
    <t>f42</t>
  </si>
  <si>
    <t>a43</t>
  </si>
  <si>
    <t>b43</t>
  </si>
  <si>
    <t>c43</t>
  </si>
  <si>
    <t>d43</t>
  </si>
  <si>
    <t>e43</t>
  </si>
  <si>
    <t>f43</t>
  </si>
  <si>
    <t>a44</t>
  </si>
  <si>
    <t>b44</t>
  </si>
  <si>
    <t>c44</t>
  </si>
  <si>
    <t>d44</t>
  </si>
  <si>
    <t>e44</t>
  </si>
  <si>
    <t>f44</t>
  </si>
  <si>
    <t>a45</t>
  </si>
  <si>
    <t>b45</t>
  </si>
  <si>
    <t>c45</t>
  </si>
  <si>
    <t>d45</t>
  </si>
  <si>
    <t>e45</t>
  </si>
  <si>
    <t>f45</t>
  </si>
  <si>
    <t>Order date</t>
  </si>
  <si>
    <t>Region</t>
  </si>
  <si>
    <t>Rep</t>
  </si>
  <si>
    <t>Item</t>
  </si>
  <si>
    <t>Unit</t>
  </si>
  <si>
    <t>Unit cost</t>
  </si>
  <si>
    <t>WEST</t>
  </si>
  <si>
    <t>CENTRAL</t>
  </si>
  <si>
    <t>EAST</t>
  </si>
  <si>
    <t>Jones</t>
  </si>
  <si>
    <t>Binder</t>
  </si>
  <si>
    <t>Kivell</t>
  </si>
  <si>
    <t>Jardine</t>
  </si>
  <si>
    <t>Gill</t>
  </si>
  <si>
    <t>Sorvin</t>
  </si>
  <si>
    <t>Andrews</t>
  </si>
  <si>
    <t>Thomson</t>
  </si>
  <si>
    <t>Morgan</t>
  </si>
  <si>
    <t>Howard</t>
  </si>
  <si>
    <t>Parent</t>
  </si>
  <si>
    <t>Smith</t>
  </si>
  <si>
    <t>Pen</t>
  </si>
  <si>
    <t>Pencil</t>
  </si>
  <si>
    <t>File 1</t>
  </si>
  <si>
    <t>File 2</t>
  </si>
  <si>
    <t>File 3</t>
  </si>
  <si>
    <t>File 4</t>
  </si>
  <si>
    <t>File 5</t>
  </si>
  <si>
    <t>File 6</t>
  </si>
  <si>
    <t>File 7</t>
  </si>
  <si>
    <t>File 8</t>
  </si>
  <si>
    <t>File 9</t>
  </si>
  <si>
    <t>File 10</t>
  </si>
  <si>
    <t>File 11</t>
  </si>
  <si>
    <t>File 12</t>
  </si>
  <si>
    <t>File 13</t>
  </si>
  <si>
    <t>File 14</t>
  </si>
  <si>
    <t>File 15</t>
  </si>
  <si>
    <t>E:\00 - BIM\07 - EXCEL\00 - Code VBA useful\05 - Mang trong VBA\Template.xlsm</t>
  </si>
  <si>
    <t>E:\00 - BIM\07 - EXCEL\00 - Code VBA useful\05 - Mang trong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</si>
</sst>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3" fontId="0" fillId="0" borderId="0" xfId="0" applyNumberFormat="1"/>
    <xf numFmtId="3" fontId="1" fillId="0" borderId="0" xfId="0" applyNumberFormat="1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85725</xdr:rowOff>
    </xdr:from>
    <xdr:to>
      <xdr:col>3</xdr:col>
      <xdr:colOff>419100</xdr:colOff>
      <xdr:row>3</xdr:row>
      <xdr:rowOff>76200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FB2781A-F585-45ED-A912-3DEA72904C3D}"/>
            </a:ext>
          </a:extLst>
        </xdr:cNvPr>
        <xdr:cNvSpPr/>
      </xdr:nvSpPr>
      <xdr:spPr>
        <a:xfrm>
          <a:off x="952500" y="46672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704850</xdr:colOff>
      <xdr:row>3</xdr:row>
      <xdr:rowOff>47625</xdr:rowOff>
    </xdr:from>
    <xdr:to>
      <xdr:col>3</xdr:col>
      <xdr:colOff>571500</xdr:colOff>
      <xdr:row>4</xdr:row>
      <xdr:rowOff>38100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CF12D41-EF08-401D-A460-50BC5B315103}"/>
            </a:ext>
          </a:extLst>
        </xdr:cNvPr>
        <xdr:cNvSpPr/>
      </xdr:nvSpPr>
      <xdr:spPr>
        <a:xfrm>
          <a:off x="1104900" y="61912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752475</xdr:colOff>
      <xdr:row>4</xdr:row>
      <xdr:rowOff>180975</xdr:rowOff>
    </xdr:from>
    <xdr:to>
      <xdr:col>6</xdr:col>
      <xdr:colOff>190500</xdr:colOff>
      <xdr:row>5</xdr:row>
      <xdr:rowOff>171450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F2648E9-1586-4A66-B071-FBA9874FEC10}"/>
            </a:ext>
          </a:extLst>
        </xdr:cNvPr>
        <xdr:cNvSpPr/>
      </xdr:nvSpPr>
      <xdr:spPr>
        <a:xfrm>
          <a:off x="2676525" y="9429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609600</xdr:colOff>
      <xdr:row>28</xdr:row>
      <xdr:rowOff>180975</xdr:rowOff>
    </xdr:from>
    <xdr:to>
      <xdr:col>6</xdr:col>
      <xdr:colOff>47625</xdr:colOff>
      <xdr:row>29</xdr:row>
      <xdr:rowOff>171450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766B013B-BF2A-4322-9DD8-4778F4069792}"/>
            </a:ext>
          </a:extLst>
        </xdr:cNvPr>
        <xdr:cNvSpPr/>
      </xdr:nvSpPr>
      <xdr:spPr>
        <a:xfrm>
          <a:off x="2533650" y="49434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752475</xdr:colOff>
      <xdr:row>6</xdr:row>
      <xdr:rowOff>76200</xdr:rowOff>
    </xdr:from>
    <xdr:to>
      <xdr:col>6</xdr:col>
      <xdr:colOff>190500</xdr:colOff>
      <xdr:row>7</xdr:row>
      <xdr:rowOff>66675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5DAE775-7C36-49C8-99C5-B97CB9DD7AC8}"/>
            </a:ext>
          </a:extLst>
        </xdr:cNvPr>
        <xdr:cNvSpPr/>
      </xdr:nvSpPr>
      <xdr:spPr>
        <a:xfrm>
          <a:off x="2676525" y="1219200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752475</xdr:colOff>
      <xdr:row>7</xdr:row>
      <xdr:rowOff>161926</xdr:rowOff>
    </xdr:from>
    <xdr:to>
      <xdr:col>6</xdr:col>
      <xdr:colOff>209550</xdr:colOff>
      <xdr:row>8</xdr:row>
      <xdr:rowOff>85726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70095BDE-BCD5-443D-BB17-94DF7BCC54FF}"/>
            </a:ext>
          </a:extLst>
        </xdr:cNvPr>
        <xdr:cNvSpPr/>
      </xdr:nvSpPr>
      <xdr:spPr>
        <a:xfrm>
          <a:off x="2676525" y="1495426"/>
          <a:ext cx="647700" cy="114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742950</xdr:colOff>
      <xdr:row>4</xdr:row>
      <xdr:rowOff>104775</xdr:rowOff>
    </xdr:from>
    <xdr:to>
      <xdr:col>6</xdr:col>
      <xdr:colOff>1371600</xdr:colOff>
      <xdr:row>5</xdr:row>
      <xdr:rowOff>95250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1FE047E-0EA6-4A97-8BEF-058606F1AC1A}"/>
            </a:ext>
          </a:extLst>
        </xdr:cNvPr>
        <xdr:cNvSpPr/>
      </xdr:nvSpPr>
      <xdr:spPr>
        <a:xfrm>
          <a:off x="3857625" y="8667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742950</xdr:colOff>
      <xdr:row>5</xdr:row>
      <xdr:rowOff>180975</xdr:rowOff>
    </xdr:from>
    <xdr:to>
      <xdr:col>6</xdr:col>
      <xdr:colOff>1371600</xdr:colOff>
      <xdr:row>6</xdr:row>
      <xdr:rowOff>171450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876ACC67-3893-471F-9618-01293EFEDA92}"/>
            </a:ext>
          </a:extLst>
        </xdr:cNvPr>
        <xdr:cNvSpPr/>
      </xdr:nvSpPr>
      <xdr:spPr>
        <a:xfrm>
          <a:off x="3857625" y="11334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742950</xdr:colOff>
      <xdr:row>7</xdr:row>
      <xdr:rowOff>66675</xdr:rowOff>
    </xdr:from>
    <xdr:to>
      <xdr:col>6</xdr:col>
      <xdr:colOff>1371600</xdr:colOff>
      <xdr:row>8</xdr:row>
      <xdr:rowOff>38100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EA20DA0-0871-480B-80FC-CD4359DC6DAF}"/>
            </a:ext>
          </a:extLst>
        </xdr:cNvPr>
        <xdr:cNvSpPr/>
      </xdr:nvSpPr>
      <xdr:spPr>
        <a:xfrm>
          <a:off x="3857625" y="1400175"/>
          <a:ext cx="62865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9525</xdr:colOff>
      <xdr:row>9</xdr:row>
      <xdr:rowOff>28575</xdr:rowOff>
    </xdr:from>
    <xdr:to>
      <xdr:col>6</xdr:col>
      <xdr:colOff>209550</xdr:colOff>
      <xdr:row>10</xdr:row>
      <xdr:rowOff>19050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87201CF2-413D-4CC5-B250-391A3AD37FAD}"/>
            </a:ext>
          </a:extLst>
        </xdr:cNvPr>
        <xdr:cNvSpPr/>
      </xdr:nvSpPr>
      <xdr:spPr>
        <a:xfrm>
          <a:off x="2695575" y="17430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28575</xdr:colOff>
      <xdr:row>11</xdr:row>
      <xdr:rowOff>171450</xdr:rowOff>
    </xdr:from>
    <xdr:to>
      <xdr:col>6</xdr:col>
      <xdr:colOff>228600</xdr:colOff>
      <xdr:row>12</xdr:row>
      <xdr:rowOff>161925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A5B28EB6-A22C-49F1-A661-14D2BF2D061B}"/>
            </a:ext>
          </a:extLst>
        </xdr:cNvPr>
        <xdr:cNvSpPr/>
      </xdr:nvSpPr>
      <xdr:spPr>
        <a:xfrm>
          <a:off x="2714625" y="2266950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47625</xdr:colOff>
      <xdr:row>14</xdr:row>
      <xdr:rowOff>123825</xdr:rowOff>
    </xdr:from>
    <xdr:to>
      <xdr:col>6</xdr:col>
      <xdr:colOff>247650</xdr:colOff>
      <xdr:row>15</xdr:row>
      <xdr:rowOff>114300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94D4D070-1479-4AA2-A952-8B89DF1BE32C}"/>
            </a:ext>
          </a:extLst>
        </xdr:cNvPr>
        <xdr:cNvSpPr/>
      </xdr:nvSpPr>
      <xdr:spPr>
        <a:xfrm>
          <a:off x="2733675" y="279082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66675</xdr:colOff>
      <xdr:row>17</xdr:row>
      <xdr:rowOff>76200</xdr:rowOff>
    </xdr:from>
    <xdr:to>
      <xdr:col>6</xdr:col>
      <xdr:colOff>266700</xdr:colOff>
      <xdr:row>18</xdr:row>
      <xdr:rowOff>66675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8BF57843-13F5-4864-B39E-02319199862A}"/>
            </a:ext>
          </a:extLst>
        </xdr:cNvPr>
        <xdr:cNvSpPr/>
      </xdr:nvSpPr>
      <xdr:spPr>
        <a:xfrm>
          <a:off x="2752725" y="3314700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85725</xdr:colOff>
      <xdr:row>20</xdr:row>
      <xdr:rowOff>28575</xdr:rowOff>
    </xdr:from>
    <xdr:to>
      <xdr:col>6</xdr:col>
      <xdr:colOff>285750</xdr:colOff>
      <xdr:row>21</xdr:row>
      <xdr:rowOff>19050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370D0878-6D9A-4763-A84B-4219CA4285FE}"/>
            </a:ext>
          </a:extLst>
        </xdr:cNvPr>
        <xdr:cNvSpPr/>
      </xdr:nvSpPr>
      <xdr:spPr>
        <a:xfrm>
          <a:off x="2771775" y="38385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7</xdr:row>
      <xdr:rowOff>0</xdr:rowOff>
    </xdr:from>
    <xdr:to>
      <xdr:col>6</xdr:col>
      <xdr:colOff>733425</xdr:colOff>
      <xdr:row>8</xdr:row>
      <xdr:rowOff>180975</xdr:rowOff>
    </xdr:to>
    <xdr:sp macro="[0]!APPLY_FILTER_DATA" textlink="">
      <xdr:nvSpPr>
        <xdr:cNvPr id="2" name="Rectangle 1">
          <a:extLst>
            <a:ext uri="{FF2B5EF4-FFF2-40B4-BE49-F238E27FC236}">
              <a16:creationId xmlns:a16="http://schemas.microsoft.com/office/drawing/2014/main" id="{A6B07CA9-381D-4499-ADE3-255E9073B77B}"/>
            </a:ext>
          </a:extLst>
        </xdr:cNvPr>
        <xdr:cNvSpPr/>
      </xdr:nvSpPr>
      <xdr:spPr>
        <a:xfrm>
          <a:off x="4400550" y="1333500"/>
          <a:ext cx="1485900" cy="371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APPLY</a:t>
          </a:r>
          <a:r>
            <a:rPr lang="fr-FR" sz="1100" baseline="0"/>
            <a:t> FILTER</a:t>
          </a:r>
          <a:endParaRPr lang="fr-FR" sz="1100"/>
        </a:p>
      </xdr:txBody>
    </xdr:sp>
    <xdr:clientData/>
  </xdr:twoCellAnchor>
  <xdr:twoCellAnchor>
    <xdr:from>
      <xdr:col>7</xdr:col>
      <xdr:colOff>19050</xdr:colOff>
      <xdr:row>7</xdr:row>
      <xdr:rowOff>9525</xdr:rowOff>
    </xdr:from>
    <xdr:to>
      <xdr:col>7</xdr:col>
      <xdr:colOff>752475</xdr:colOff>
      <xdr:row>9</xdr:row>
      <xdr:rowOff>0</xdr:rowOff>
    </xdr:to>
    <xdr:sp macro="[0]!RESET_AUTOFILTER" textlink="">
      <xdr:nvSpPr>
        <xdr:cNvPr id="3" name="Rectangle 2">
          <a:extLst>
            <a:ext uri="{FF2B5EF4-FFF2-40B4-BE49-F238E27FC236}">
              <a16:creationId xmlns:a16="http://schemas.microsoft.com/office/drawing/2014/main" id="{DD7EFB58-8F3F-4BD0-8E10-9723A8431940}"/>
            </a:ext>
          </a:extLst>
        </xdr:cNvPr>
        <xdr:cNvSpPr/>
      </xdr:nvSpPr>
      <xdr:spPr>
        <a:xfrm>
          <a:off x="5934075" y="1343025"/>
          <a:ext cx="733425" cy="371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Reset Filter</a:t>
          </a:r>
        </a:p>
      </xdr:txBody>
    </xdr:sp>
    <xdr:clientData/>
  </xdr:twoCellAnchor>
  <xdr:twoCellAnchor>
    <xdr:from>
      <xdr:col>8</xdr:col>
      <xdr:colOff>38100</xdr:colOff>
      <xdr:row>7</xdr:row>
      <xdr:rowOff>19050</xdr:rowOff>
    </xdr:from>
    <xdr:to>
      <xdr:col>9</xdr:col>
      <xdr:colOff>752475</xdr:colOff>
      <xdr:row>9</xdr:row>
      <xdr:rowOff>0</xdr:rowOff>
    </xdr:to>
    <xdr:sp macro="[0]!SEPARATE_SHEETS_BY_FILTER" textlink="">
      <xdr:nvSpPr>
        <xdr:cNvPr id="4" name="Rectangle 3">
          <a:extLst>
            <a:ext uri="{FF2B5EF4-FFF2-40B4-BE49-F238E27FC236}">
              <a16:creationId xmlns:a16="http://schemas.microsoft.com/office/drawing/2014/main" id="{0923EB76-3D6D-40D5-925B-80E28B207E23}"/>
            </a:ext>
          </a:extLst>
        </xdr:cNvPr>
        <xdr:cNvSpPr/>
      </xdr:nvSpPr>
      <xdr:spPr>
        <a:xfrm>
          <a:off x="6715125" y="1352550"/>
          <a:ext cx="1476375" cy="3619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/>
            <a:t>Separate sheets</a:t>
          </a:r>
          <a:r>
            <a:rPr lang="fr-FR" sz="1000" baseline="0"/>
            <a:t> by filter</a:t>
          </a:r>
          <a:endParaRPr lang="fr-FR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5</xdr:row>
      <xdr:rowOff>38100</xdr:rowOff>
    </xdr:from>
    <xdr:to>
      <xdr:col>0</xdr:col>
      <xdr:colOff>1524000</xdr:colOff>
      <xdr:row>7</xdr:row>
      <xdr:rowOff>28575</xdr:rowOff>
    </xdr:to>
    <xdr:sp macro="[0]!SELECT_TEMPLATE" textlink="">
      <xdr:nvSpPr>
        <xdr:cNvPr id="2" name="Rectangle 1">
          <a:extLst>
            <a:ext uri="{FF2B5EF4-FFF2-40B4-BE49-F238E27FC236}">
              <a16:creationId xmlns:a16="http://schemas.microsoft.com/office/drawing/2014/main" id="{337CB03A-693A-42E9-BBC4-009646669EED}"/>
            </a:ext>
          </a:extLst>
        </xdr:cNvPr>
        <xdr:cNvSpPr/>
      </xdr:nvSpPr>
      <xdr:spPr>
        <a:xfrm>
          <a:off x="9525" y="990600"/>
          <a:ext cx="15144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Template</a:t>
          </a:r>
        </a:p>
      </xdr:txBody>
    </xdr:sp>
    <xdr:clientData/>
  </xdr:twoCellAnchor>
  <xdr:twoCellAnchor>
    <xdr:from>
      <xdr:col>0</xdr:col>
      <xdr:colOff>9525</xdr:colOff>
      <xdr:row>9</xdr:row>
      <xdr:rowOff>38100</xdr:rowOff>
    </xdr:from>
    <xdr:to>
      <xdr:col>0</xdr:col>
      <xdr:colOff>1524000</xdr:colOff>
      <xdr:row>11</xdr:row>
      <xdr:rowOff>28575</xdr:rowOff>
    </xdr:to>
    <xdr:sp macro="[0]!SELECT_DESTIANATION_FOLDER" textlink="">
      <xdr:nvSpPr>
        <xdr:cNvPr id="3" name="Rectangle 2">
          <a:extLst>
            <a:ext uri="{FF2B5EF4-FFF2-40B4-BE49-F238E27FC236}">
              <a16:creationId xmlns:a16="http://schemas.microsoft.com/office/drawing/2014/main" id="{391560F8-9BAD-4B22-AF71-064E174E1F53}"/>
            </a:ext>
          </a:extLst>
        </xdr:cNvPr>
        <xdr:cNvSpPr/>
      </xdr:nvSpPr>
      <xdr:spPr>
        <a:xfrm>
          <a:off x="9525" y="1752600"/>
          <a:ext cx="15144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Folder</a:t>
          </a:r>
        </a:p>
      </xdr:txBody>
    </xdr:sp>
    <xdr:clientData/>
  </xdr:twoCellAnchor>
  <xdr:twoCellAnchor>
    <xdr:from>
      <xdr:col>0</xdr:col>
      <xdr:colOff>9525</xdr:colOff>
      <xdr:row>13</xdr:row>
      <xdr:rowOff>38100</xdr:rowOff>
    </xdr:from>
    <xdr:to>
      <xdr:col>0</xdr:col>
      <xdr:colOff>1524000</xdr:colOff>
      <xdr:row>15</xdr:row>
      <xdr:rowOff>28575</xdr:rowOff>
    </xdr:to>
    <xdr:sp macro="[0]!COPY_FILE_EXCEL" textlink="">
      <xdr:nvSpPr>
        <xdr:cNvPr id="4" name="Rectangle 3">
          <a:extLst>
            <a:ext uri="{FF2B5EF4-FFF2-40B4-BE49-F238E27FC236}">
              <a16:creationId xmlns:a16="http://schemas.microsoft.com/office/drawing/2014/main" id="{16B3BD8C-AFAC-471C-AB44-9393EE68E0E4}"/>
            </a:ext>
          </a:extLst>
        </xdr:cNvPr>
        <xdr:cNvSpPr/>
      </xdr:nvSpPr>
      <xdr:spPr>
        <a:xfrm>
          <a:off x="9525" y="2514600"/>
          <a:ext cx="15144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rage"/>
  <dimension ref="A1:M200"/>
  <sheetViews>
    <sheetView showGridLines="0" zoomScaleNormal="100" workbookViewId="0">
      <selection activeCell="F51" sqref="F51"/>
    </sheetView>
  </sheetViews>
  <sheetFormatPr baseColWidth="10" defaultRowHeight="15" x14ac:dyDescent="0.25"/>
  <cols>
    <col min="1" max="1" width="4" bestFit="1" customWidth="1"/>
    <col min="2" max="2" width="2" style="1" bestFit="1" customWidth="1"/>
    <col min="6" max="6" width="6.42578125" style="3" bestFit="1" customWidth="1"/>
    <col min="7" max="7" width="71.28515625" bestFit="1" customWidth="1"/>
    <col min="8" max="8" width="9.5703125" style="5" bestFit="1" customWidth="1"/>
    <col min="9" max="11" width="2" bestFit="1" customWidth="1"/>
    <col min="13" max="17" width="12.140625" bestFit="1" customWidth="1"/>
    <col min="23" max="26" width="12.140625" bestFit="1" customWidth="1"/>
  </cols>
  <sheetData>
    <row r="1" spans="1:13" x14ac:dyDescent="0.25">
      <c r="A1">
        <v>88</v>
      </c>
      <c r="B1" s="2">
        <f>COUNTIF(A:A,0)</f>
        <v>0</v>
      </c>
      <c r="M1" t="s">
        <v>3</v>
      </c>
    </row>
    <row r="2" spans="1:13" x14ac:dyDescent="0.25">
      <c r="A2">
        <v>6</v>
      </c>
      <c r="F2" s="4">
        <v>65536</v>
      </c>
      <c r="G2" t="s">
        <v>0</v>
      </c>
      <c r="M2" t="s">
        <v>4</v>
      </c>
    </row>
    <row r="3" spans="1:13" x14ac:dyDescent="0.25">
      <c r="A3">
        <v>59</v>
      </c>
      <c r="G3" s="3" t="s">
        <v>1</v>
      </c>
      <c r="M3" t="s">
        <v>5</v>
      </c>
    </row>
    <row r="4" spans="1:13" x14ac:dyDescent="0.25">
      <c r="A4">
        <v>51</v>
      </c>
      <c r="G4" s="3" t="s">
        <v>2</v>
      </c>
      <c r="H4" s="6">
        <v>1</v>
      </c>
      <c r="J4" s="6">
        <v>1</v>
      </c>
      <c r="M4" t="s">
        <v>6</v>
      </c>
    </row>
    <row r="5" spans="1:13" x14ac:dyDescent="0.25">
      <c r="A5">
        <v>91</v>
      </c>
      <c r="H5" s="6">
        <v>2</v>
      </c>
      <c r="J5" s="6">
        <v>2</v>
      </c>
    </row>
    <row r="6" spans="1:13" x14ac:dyDescent="0.25">
      <c r="A6">
        <v>23</v>
      </c>
      <c r="H6" s="6">
        <v>3</v>
      </c>
      <c r="J6" s="6">
        <v>3</v>
      </c>
    </row>
    <row r="7" spans="1:13" x14ac:dyDescent="0.25">
      <c r="A7">
        <v>86</v>
      </c>
      <c r="H7" s="6">
        <v>4</v>
      </c>
      <c r="J7" s="6">
        <v>4</v>
      </c>
    </row>
    <row r="8" spans="1:13" x14ac:dyDescent="0.25">
      <c r="A8">
        <v>8</v>
      </c>
      <c r="H8" s="6"/>
      <c r="J8" s="6"/>
    </row>
    <row r="9" spans="1:13" x14ac:dyDescent="0.25">
      <c r="A9">
        <v>24</v>
      </c>
      <c r="H9" s="6"/>
      <c r="J9" s="6"/>
    </row>
    <row r="10" spans="1:13" x14ac:dyDescent="0.25">
      <c r="A10">
        <v>83</v>
      </c>
      <c r="H10" s="6" t="str">
        <f>""</f>
        <v/>
      </c>
      <c r="J10" s="6"/>
    </row>
    <row r="11" spans="1:13" x14ac:dyDescent="0.25">
      <c r="A11">
        <v>62</v>
      </c>
      <c r="H11" s="6"/>
      <c r="J11" s="6"/>
    </row>
    <row r="12" spans="1:13" x14ac:dyDescent="0.25">
      <c r="A12">
        <v>84</v>
      </c>
      <c r="H12" s="6"/>
      <c r="J12" s="6"/>
    </row>
    <row r="13" spans="1:13" x14ac:dyDescent="0.25">
      <c r="A13">
        <v>19</v>
      </c>
      <c r="H13" s="6"/>
      <c r="J13" s="6"/>
    </row>
    <row r="14" spans="1:13" x14ac:dyDescent="0.25">
      <c r="A14">
        <v>72</v>
      </c>
      <c r="H14" s="6"/>
      <c r="J14" s="6"/>
    </row>
    <row r="15" spans="1:13" x14ac:dyDescent="0.25">
      <c r="A15">
        <v>52</v>
      </c>
      <c r="H15" s="6" t="e">
        <f>IF(J15+K15=0,"",J15+K15)</f>
        <v>#VALUE!</v>
      </c>
      <c r="I15">
        <v>0</v>
      </c>
      <c r="J15" s="6" t="str">
        <f>IF(L15+M15=0,"",L15+M15)</f>
        <v/>
      </c>
      <c r="K15">
        <v>0</v>
      </c>
    </row>
    <row r="16" spans="1:13" x14ac:dyDescent="0.25">
      <c r="A16">
        <v>18</v>
      </c>
    </row>
    <row r="17" spans="1:13" x14ac:dyDescent="0.25">
      <c r="A17">
        <v>25</v>
      </c>
    </row>
    <row r="18" spans="1:13" x14ac:dyDescent="0.25">
      <c r="A18">
        <v>11</v>
      </c>
    </row>
    <row r="19" spans="1:13" x14ac:dyDescent="0.25">
      <c r="A19">
        <v>16</v>
      </c>
    </row>
    <row r="20" spans="1:13" x14ac:dyDescent="0.25">
      <c r="A20">
        <v>45</v>
      </c>
      <c r="M20" t="s">
        <v>3</v>
      </c>
    </row>
    <row r="21" spans="1:13" x14ac:dyDescent="0.25">
      <c r="A21">
        <v>13</v>
      </c>
      <c r="M21" t="s">
        <v>3</v>
      </c>
    </row>
    <row r="22" spans="1:13" x14ac:dyDescent="0.25">
      <c r="A22">
        <v>55</v>
      </c>
      <c r="M22" t="s">
        <v>3</v>
      </c>
    </row>
    <row r="23" spans="1:13" x14ac:dyDescent="0.25">
      <c r="A23">
        <v>60</v>
      </c>
      <c r="M23" t="s">
        <v>3</v>
      </c>
    </row>
    <row r="24" spans="1:13" x14ac:dyDescent="0.25">
      <c r="A24">
        <v>77</v>
      </c>
    </row>
    <row r="25" spans="1:13" x14ac:dyDescent="0.25">
      <c r="A25">
        <v>75</v>
      </c>
    </row>
    <row r="26" spans="1:13" x14ac:dyDescent="0.25">
      <c r="A26">
        <v>57</v>
      </c>
    </row>
    <row r="27" spans="1:13" x14ac:dyDescent="0.25">
      <c r="A27">
        <v>56</v>
      </c>
    </row>
    <row r="28" spans="1:13" x14ac:dyDescent="0.25">
      <c r="A28">
        <v>86</v>
      </c>
    </row>
    <row r="29" spans="1:13" x14ac:dyDescent="0.25">
      <c r="A29">
        <v>11</v>
      </c>
    </row>
    <row r="30" spans="1:13" x14ac:dyDescent="0.25">
      <c r="A30">
        <v>34</v>
      </c>
    </row>
    <row r="31" spans="1:13" x14ac:dyDescent="0.25">
      <c r="A31">
        <v>3</v>
      </c>
      <c r="G31">
        <v>1</v>
      </c>
    </row>
    <row r="32" spans="1:13" x14ac:dyDescent="0.25">
      <c r="A32">
        <v>25</v>
      </c>
      <c r="G32">
        <v>6</v>
      </c>
    </row>
    <row r="33" spans="1:7" hidden="1" x14ac:dyDescent="0.25">
      <c r="A33">
        <v>45</v>
      </c>
    </row>
    <row r="34" spans="1:7" hidden="1" x14ac:dyDescent="0.25">
      <c r="A34">
        <v>70</v>
      </c>
      <c r="G34">
        <v>8</v>
      </c>
    </row>
    <row r="35" spans="1:7" hidden="1" x14ac:dyDescent="0.25">
      <c r="A35">
        <v>64</v>
      </c>
      <c r="G35">
        <v>2</v>
      </c>
    </row>
    <row r="36" spans="1:7" hidden="1" x14ac:dyDescent="0.25">
      <c r="A36">
        <v>99</v>
      </c>
      <c r="F36" s="3">
        <v>5</v>
      </c>
      <c r="G36">
        <v>2</v>
      </c>
    </row>
    <row r="37" spans="1:7" x14ac:dyDescent="0.25">
      <c r="A37">
        <v>15</v>
      </c>
      <c r="F37" s="3">
        <v>3</v>
      </c>
    </row>
    <row r="38" spans="1:7" x14ac:dyDescent="0.25">
      <c r="A38">
        <v>37</v>
      </c>
    </row>
    <row r="39" spans="1:7" x14ac:dyDescent="0.25">
      <c r="A39">
        <v>35</v>
      </c>
      <c r="G39">
        <v>89</v>
      </c>
    </row>
    <row r="40" spans="1:7" x14ac:dyDescent="0.25">
      <c r="A40">
        <v>26</v>
      </c>
      <c r="G40">
        <v>3</v>
      </c>
    </row>
    <row r="41" spans="1:7" x14ac:dyDescent="0.25">
      <c r="A41">
        <v>67</v>
      </c>
      <c r="G41">
        <v>2</v>
      </c>
    </row>
    <row r="42" spans="1:7" x14ac:dyDescent="0.25">
      <c r="A42">
        <v>28</v>
      </c>
    </row>
    <row r="43" spans="1:7" x14ac:dyDescent="0.25">
      <c r="A43">
        <v>32</v>
      </c>
      <c r="G43" t="str">
        <f>""</f>
        <v/>
      </c>
    </row>
    <row r="44" spans="1:7" x14ac:dyDescent="0.25">
      <c r="A44">
        <v>43</v>
      </c>
      <c r="G44" t="str">
        <f>""</f>
        <v/>
      </c>
    </row>
    <row r="45" spans="1:7" x14ac:dyDescent="0.25">
      <c r="A45">
        <v>22</v>
      </c>
      <c r="G45">
        <v>51</v>
      </c>
    </row>
    <row r="46" spans="1:7" x14ac:dyDescent="0.25">
      <c r="A46">
        <v>23</v>
      </c>
      <c r="G46" t="str">
        <f>""</f>
        <v/>
      </c>
    </row>
    <row r="47" spans="1:7" x14ac:dyDescent="0.25">
      <c r="A47">
        <v>93</v>
      </c>
    </row>
    <row r="48" spans="1:7" x14ac:dyDescent="0.25">
      <c r="A48">
        <v>53</v>
      </c>
    </row>
    <row r="49" spans="1:1" x14ac:dyDescent="0.25">
      <c r="A49">
        <v>19</v>
      </c>
    </row>
    <row r="50" spans="1:1" x14ac:dyDescent="0.25">
      <c r="A50">
        <v>11</v>
      </c>
    </row>
    <row r="51" spans="1:1" x14ac:dyDescent="0.25">
      <c r="A51">
        <v>30</v>
      </c>
    </row>
    <row r="52" spans="1:1" x14ac:dyDescent="0.25">
      <c r="A52">
        <v>56</v>
      </c>
    </row>
    <row r="53" spans="1:1" x14ac:dyDescent="0.25">
      <c r="A53">
        <v>20</v>
      </c>
    </row>
    <row r="54" spans="1:1" x14ac:dyDescent="0.25">
      <c r="A54">
        <v>31</v>
      </c>
    </row>
    <row r="55" spans="1:1" x14ac:dyDescent="0.25">
      <c r="A55">
        <v>77</v>
      </c>
    </row>
    <row r="56" spans="1:1" x14ac:dyDescent="0.25">
      <c r="A56">
        <v>78</v>
      </c>
    </row>
    <row r="57" spans="1:1" x14ac:dyDescent="0.25">
      <c r="A57">
        <v>38</v>
      </c>
    </row>
    <row r="58" spans="1:1" x14ac:dyDescent="0.25">
      <c r="A58">
        <v>68</v>
      </c>
    </row>
    <row r="59" spans="1:1" x14ac:dyDescent="0.25">
      <c r="A59">
        <v>88</v>
      </c>
    </row>
    <row r="60" spans="1:1" x14ac:dyDescent="0.25">
      <c r="A60">
        <v>28</v>
      </c>
    </row>
    <row r="61" spans="1:1" x14ac:dyDescent="0.25">
      <c r="A61">
        <v>48</v>
      </c>
    </row>
    <row r="62" spans="1:1" x14ac:dyDescent="0.25">
      <c r="A62">
        <v>54</v>
      </c>
    </row>
    <row r="63" spans="1:1" x14ac:dyDescent="0.25">
      <c r="A63">
        <v>9</v>
      </c>
    </row>
    <row r="64" spans="1:1" x14ac:dyDescent="0.25">
      <c r="A64">
        <v>55</v>
      </c>
    </row>
    <row r="65" spans="1:1" x14ac:dyDescent="0.25">
      <c r="A65">
        <v>98</v>
      </c>
    </row>
    <row r="66" spans="1:1" x14ac:dyDescent="0.25">
      <c r="A66">
        <v>79</v>
      </c>
    </row>
    <row r="67" spans="1:1" x14ac:dyDescent="0.25">
      <c r="A67">
        <v>21</v>
      </c>
    </row>
    <row r="68" spans="1:1" x14ac:dyDescent="0.25">
      <c r="A68">
        <v>40</v>
      </c>
    </row>
    <row r="69" spans="1:1" x14ac:dyDescent="0.25">
      <c r="A69">
        <v>64</v>
      </c>
    </row>
    <row r="70" spans="1:1" x14ac:dyDescent="0.25">
      <c r="A70">
        <v>25</v>
      </c>
    </row>
    <row r="71" spans="1:1" x14ac:dyDescent="0.25">
      <c r="A71">
        <v>62</v>
      </c>
    </row>
    <row r="72" spans="1:1" x14ac:dyDescent="0.25">
      <c r="A72">
        <v>55</v>
      </c>
    </row>
    <row r="73" spans="1:1" x14ac:dyDescent="0.25">
      <c r="A73">
        <v>97</v>
      </c>
    </row>
    <row r="74" spans="1:1" x14ac:dyDescent="0.25">
      <c r="A74">
        <v>26</v>
      </c>
    </row>
    <row r="75" spans="1:1" x14ac:dyDescent="0.25">
      <c r="A75">
        <v>31</v>
      </c>
    </row>
    <row r="76" spans="1:1" x14ac:dyDescent="0.25">
      <c r="A76">
        <v>12</v>
      </c>
    </row>
    <row r="77" spans="1:1" x14ac:dyDescent="0.25">
      <c r="A77">
        <v>32</v>
      </c>
    </row>
    <row r="78" spans="1:1" x14ac:dyDescent="0.25">
      <c r="A78">
        <v>96</v>
      </c>
    </row>
    <row r="79" spans="1:1" x14ac:dyDescent="0.25">
      <c r="A79">
        <v>25</v>
      </c>
    </row>
    <row r="80" spans="1:1" x14ac:dyDescent="0.25">
      <c r="A80">
        <v>46</v>
      </c>
    </row>
    <row r="81" spans="1:1" x14ac:dyDescent="0.25">
      <c r="A81">
        <v>46</v>
      </c>
    </row>
    <row r="82" spans="1:1" x14ac:dyDescent="0.25">
      <c r="A82">
        <v>38</v>
      </c>
    </row>
    <row r="83" spans="1:1" x14ac:dyDescent="0.25">
      <c r="A83">
        <v>49</v>
      </c>
    </row>
    <row r="84" spans="1:1" x14ac:dyDescent="0.25">
      <c r="A84">
        <v>12</v>
      </c>
    </row>
    <row r="85" spans="1:1" x14ac:dyDescent="0.25">
      <c r="A85">
        <v>31</v>
      </c>
    </row>
    <row r="86" spans="1:1" x14ac:dyDescent="0.25">
      <c r="A86">
        <v>84</v>
      </c>
    </row>
    <row r="87" spans="1:1" x14ac:dyDescent="0.25">
      <c r="A87">
        <v>86</v>
      </c>
    </row>
    <row r="88" spans="1:1" x14ac:dyDescent="0.25">
      <c r="A88">
        <v>49</v>
      </c>
    </row>
    <row r="89" spans="1:1" x14ac:dyDescent="0.25">
      <c r="A89">
        <v>91</v>
      </c>
    </row>
    <row r="90" spans="1:1" x14ac:dyDescent="0.25">
      <c r="A90">
        <v>19</v>
      </c>
    </row>
    <row r="91" spans="1:1" x14ac:dyDescent="0.25">
      <c r="A91">
        <v>20</v>
      </c>
    </row>
    <row r="92" spans="1:1" x14ac:dyDescent="0.25">
      <c r="A92">
        <v>80</v>
      </c>
    </row>
    <row r="93" spans="1:1" x14ac:dyDescent="0.25">
      <c r="A93">
        <v>97</v>
      </c>
    </row>
    <row r="94" spans="1:1" x14ac:dyDescent="0.25">
      <c r="A94">
        <v>39</v>
      </c>
    </row>
    <row r="95" spans="1:1" x14ac:dyDescent="0.25">
      <c r="A95">
        <v>100</v>
      </c>
    </row>
    <row r="96" spans="1:1" x14ac:dyDescent="0.25">
      <c r="A96">
        <v>22</v>
      </c>
    </row>
    <row r="97" spans="1:1" x14ac:dyDescent="0.25">
      <c r="A97">
        <v>75</v>
      </c>
    </row>
    <row r="98" spans="1:1" x14ac:dyDescent="0.25">
      <c r="A98">
        <v>69</v>
      </c>
    </row>
    <row r="99" spans="1:1" x14ac:dyDescent="0.25">
      <c r="A99">
        <v>99</v>
      </c>
    </row>
    <row r="100" spans="1:1" x14ac:dyDescent="0.25">
      <c r="A100">
        <v>41</v>
      </c>
    </row>
    <row r="101" spans="1:1" x14ac:dyDescent="0.25">
      <c r="A101">
        <v>76</v>
      </c>
    </row>
    <row r="102" spans="1:1" x14ac:dyDescent="0.25">
      <c r="A102">
        <v>87</v>
      </c>
    </row>
    <row r="103" spans="1:1" x14ac:dyDescent="0.25">
      <c r="A103">
        <v>28</v>
      </c>
    </row>
    <row r="104" spans="1:1" x14ac:dyDescent="0.25">
      <c r="A104">
        <v>55</v>
      </c>
    </row>
    <row r="105" spans="1:1" x14ac:dyDescent="0.25">
      <c r="A105">
        <v>46</v>
      </c>
    </row>
    <row r="106" spans="1:1" x14ac:dyDescent="0.25">
      <c r="A106">
        <v>88</v>
      </c>
    </row>
    <row r="107" spans="1:1" x14ac:dyDescent="0.25">
      <c r="A107">
        <v>25</v>
      </c>
    </row>
    <row r="108" spans="1:1" x14ac:dyDescent="0.25">
      <c r="A108">
        <v>4</v>
      </c>
    </row>
    <row r="109" spans="1:1" x14ac:dyDescent="0.25">
      <c r="A109">
        <v>69</v>
      </c>
    </row>
    <row r="110" spans="1:1" x14ac:dyDescent="0.25">
      <c r="A110">
        <v>52</v>
      </c>
    </row>
    <row r="111" spans="1:1" x14ac:dyDescent="0.25">
      <c r="A111">
        <v>54</v>
      </c>
    </row>
    <row r="112" spans="1:1" x14ac:dyDescent="0.25">
      <c r="A112">
        <v>10</v>
      </c>
    </row>
    <row r="113" spans="1:1" x14ac:dyDescent="0.25">
      <c r="A113">
        <v>50</v>
      </c>
    </row>
    <row r="114" spans="1:1" x14ac:dyDescent="0.25">
      <c r="A114">
        <v>50</v>
      </c>
    </row>
    <row r="115" spans="1:1" x14ac:dyDescent="0.25">
      <c r="A115">
        <v>74</v>
      </c>
    </row>
    <row r="116" spans="1:1" x14ac:dyDescent="0.25">
      <c r="A116">
        <v>74</v>
      </c>
    </row>
    <row r="117" spans="1:1" x14ac:dyDescent="0.25">
      <c r="A117">
        <v>21</v>
      </c>
    </row>
    <row r="118" spans="1:1" x14ac:dyDescent="0.25">
      <c r="A118">
        <v>31</v>
      </c>
    </row>
    <row r="119" spans="1:1" x14ac:dyDescent="0.25">
      <c r="A119">
        <v>75</v>
      </c>
    </row>
    <row r="120" spans="1:1" x14ac:dyDescent="0.25">
      <c r="A120">
        <v>50</v>
      </c>
    </row>
    <row r="121" spans="1:1" x14ac:dyDescent="0.25">
      <c r="A121">
        <v>11</v>
      </c>
    </row>
    <row r="122" spans="1:1" x14ac:dyDescent="0.25">
      <c r="A122">
        <v>29</v>
      </c>
    </row>
    <row r="123" spans="1:1" x14ac:dyDescent="0.25">
      <c r="A123">
        <v>19</v>
      </c>
    </row>
    <row r="124" spans="1:1" x14ac:dyDescent="0.25">
      <c r="A124">
        <v>44</v>
      </c>
    </row>
    <row r="125" spans="1:1" x14ac:dyDescent="0.25">
      <c r="A125">
        <v>49</v>
      </c>
    </row>
    <row r="126" spans="1:1" x14ac:dyDescent="0.25">
      <c r="A126">
        <v>50</v>
      </c>
    </row>
    <row r="127" spans="1:1" x14ac:dyDescent="0.25">
      <c r="A127">
        <v>100</v>
      </c>
    </row>
    <row r="128" spans="1:1" x14ac:dyDescent="0.25">
      <c r="A128">
        <v>100</v>
      </c>
    </row>
    <row r="129" spans="1:1" x14ac:dyDescent="0.25">
      <c r="A129">
        <v>29</v>
      </c>
    </row>
    <row r="130" spans="1:1" x14ac:dyDescent="0.25">
      <c r="A130">
        <v>14</v>
      </c>
    </row>
    <row r="131" spans="1:1" x14ac:dyDescent="0.25">
      <c r="A131">
        <v>51</v>
      </c>
    </row>
    <row r="132" spans="1:1" x14ac:dyDescent="0.25">
      <c r="A132">
        <v>100</v>
      </c>
    </row>
    <row r="133" spans="1:1" x14ac:dyDescent="0.25">
      <c r="A133">
        <v>29</v>
      </c>
    </row>
    <row r="134" spans="1:1" x14ac:dyDescent="0.25">
      <c r="A134">
        <v>22</v>
      </c>
    </row>
    <row r="135" spans="1:1" x14ac:dyDescent="0.25">
      <c r="A135">
        <v>73</v>
      </c>
    </row>
    <row r="136" spans="1:1" x14ac:dyDescent="0.25">
      <c r="A136">
        <v>50</v>
      </c>
    </row>
    <row r="137" spans="1:1" x14ac:dyDescent="0.25">
      <c r="A137">
        <v>93</v>
      </c>
    </row>
    <row r="138" spans="1:1" x14ac:dyDescent="0.25">
      <c r="A138">
        <v>60</v>
      </c>
    </row>
    <row r="139" spans="1:1" x14ac:dyDescent="0.25">
      <c r="A139">
        <v>47</v>
      </c>
    </row>
    <row r="140" spans="1:1" x14ac:dyDescent="0.25">
      <c r="A140">
        <v>4</v>
      </c>
    </row>
    <row r="141" spans="1:1" x14ac:dyDescent="0.25">
      <c r="A141">
        <v>48</v>
      </c>
    </row>
    <row r="142" spans="1:1" x14ac:dyDescent="0.25">
      <c r="A142">
        <v>30</v>
      </c>
    </row>
    <row r="143" spans="1:1" x14ac:dyDescent="0.25">
      <c r="A143">
        <v>84</v>
      </c>
    </row>
    <row r="144" spans="1:1" x14ac:dyDescent="0.25">
      <c r="A144">
        <v>70</v>
      </c>
    </row>
    <row r="145" spans="1:1" x14ac:dyDescent="0.25">
      <c r="A145">
        <v>54</v>
      </c>
    </row>
    <row r="146" spans="1:1" x14ac:dyDescent="0.25">
      <c r="A146">
        <v>52</v>
      </c>
    </row>
    <row r="147" spans="1:1" x14ac:dyDescent="0.25">
      <c r="A147">
        <v>65</v>
      </c>
    </row>
    <row r="148" spans="1:1" x14ac:dyDescent="0.25">
      <c r="A148">
        <v>25</v>
      </c>
    </row>
    <row r="149" spans="1:1" x14ac:dyDescent="0.25">
      <c r="A149">
        <v>33</v>
      </c>
    </row>
    <row r="150" spans="1:1" x14ac:dyDescent="0.25">
      <c r="A150">
        <v>14</v>
      </c>
    </row>
    <row r="151" spans="1:1" x14ac:dyDescent="0.25">
      <c r="A151">
        <v>23</v>
      </c>
    </row>
    <row r="152" spans="1:1" x14ac:dyDescent="0.25">
      <c r="A152">
        <v>8</v>
      </c>
    </row>
    <row r="153" spans="1:1" x14ac:dyDescent="0.25">
      <c r="A153">
        <v>62</v>
      </c>
    </row>
    <row r="154" spans="1:1" x14ac:dyDescent="0.25">
      <c r="A154">
        <v>24</v>
      </c>
    </row>
    <row r="155" spans="1:1" x14ac:dyDescent="0.25">
      <c r="A155">
        <v>70</v>
      </c>
    </row>
    <row r="156" spans="1:1" x14ac:dyDescent="0.25">
      <c r="A156">
        <v>80</v>
      </c>
    </row>
    <row r="157" spans="1:1" x14ac:dyDescent="0.25">
      <c r="A157">
        <v>27</v>
      </c>
    </row>
    <row r="158" spans="1:1" x14ac:dyDescent="0.25">
      <c r="A158">
        <v>61</v>
      </c>
    </row>
    <row r="159" spans="1:1" x14ac:dyDescent="0.25">
      <c r="A159">
        <v>56</v>
      </c>
    </row>
    <row r="160" spans="1:1" x14ac:dyDescent="0.25">
      <c r="A160">
        <v>84</v>
      </c>
    </row>
    <row r="161" spans="1:1" x14ac:dyDescent="0.25">
      <c r="A161">
        <v>77</v>
      </c>
    </row>
    <row r="162" spans="1:1" x14ac:dyDescent="0.25">
      <c r="A162">
        <v>73</v>
      </c>
    </row>
    <row r="163" spans="1:1" x14ac:dyDescent="0.25">
      <c r="A163">
        <v>71</v>
      </c>
    </row>
    <row r="164" spans="1:1" x14ac:dyDescent="0.25">
      <c r="A164">
        <v>86</v>
      </c>
    </row>
    <row r="165" spans="1:1" x14ac:dyDescent="0.25">
      <c r="A165">
        <v>50</v>
      </c>
    </row>
    <row r="166" spans="1:1" x14ac:dyDescent="0.25">
      <c r="A166">
        <v>85</v>
      </c>
    </row>
    <row r="167" spans="1:1" x14ac:dyDescent="0.25">
      <c r="A167">
        <v>14</v>
      </c>
    </row>
    <row r="168" spans="1:1" x14ac:dyDescent="0.25">
      <c r="A168">
        <v>81</v>
      </c>
    </row>
    <row r="169" spans="1:1" x14ac:dyDescent="0.25">
      <c r="A169">
        <v>40</v>
      </c>
    </row>
    <row r="170" spans="1:1" x14ac:dyDescent="0.25">
      <c r="A170">
        <v>11</v>
      </c>
    </row>
    <row r="171" spans="1:1" x14ac:dyDescent="0.25">
      <c r="A171">
        <v>48</v>
      </c>
    </row>
    <row r="172" spans="1:1" x14ac:dyDescent="0.25">
      <c r="A172">
        <v>15</v>
      </c>
    </row>
    <row r="173" spans="1:1" x14ac:dyDescent="0.25">
      <c r="A173">
        <v>83</v>
      </c>
    </row>
    <row r="174" spans="1:1" x14ac:dyDescent="0.25">
      <c r="A174">
        <v>45</v>
      </c>
    </row>
    <row r="175" spans="1:1" x14ac:dyDescent="0.25">
      <c r="A175">
        <v>77</v>
      </c>
    </row>
    <row r="176" spans="1:1" x14ac:dyDescent="0.25">
      <c r="A176">
        <v>2</v>
      </c>
    </row>
    <row r="177" spans="1:1" x14ac:dyDescent="0.25">
      <c r="A177">
        <v>11</v>
      </c>
    </row>
    <row r="178" spans="1:1" x14ac:dyDescent="0.25">
      <c r="A178">
        <v>52</v>
      </c>
    </row>
    <row r="179" spans="1:1" x14ac:dyDescent="0.25">
      <c r="A179">
        <v>56</v>
      </c>
    </row>
    <row r="180" spans="1:1" x14ac:dyDescent="0.25">
      <c r="A180">
        <v>94</v>
      </c>
    </row>
    <row r="181" spans="1:1" x14ac:dyDescent="0.25">
      <c r="A181">
        <v>45</v>
      </c>
    </row>
    <row r="182" spans="1:1" x14ac:dyDescent="0.25">
      <c r="A182">
        <v>56</v>
      </c>
    </row>
    <row r="183" spans="1:1" x14ac:dyDescent="0.25">
      <c r="A183">
        <v>63</v>
      </c>
    </row>
    <row r="184" spans="1:1" x14ac:dyDescent="0.25">
      <c r="A184">
        <v>67</v>
      </c>
    </row>
    <row r="185" spans="1:1" x14ac:dyDescent="0.25">
      <c r="A185">
        <v>72</v>
      </c>
    </row>
    <row r="186" spans="1:1" x14ac:dyDescent="0.25">
      <c r="A186">
        <v>42</v>
      </c>
    </row>
    <row r="187" spans="1:1" x14ac:dyDescent="0.25">
      <c r="A187">
        <v>20</v>
      </c>
    </row>
    <row r="188" spans="1:1" x14ac:dyDescent="0.25">
      <c r="A188">
        <v>16</v>
      </c>
    </row>
    <row r="189" spans="1:1" x14ac:dyDescent="0.25">
      <c r="A189">
        <v>58</v>
      </c>
    </row>
    <row r="190" spans="1:1" x14ac:dyDescent="0.25">
      <c r="A190">
        <v>45</v>
      </c>
    </row>
    <row r="191" spans="1:1" x14ac:dyDescent="0.25">
      <c r="A191">
        <v>93</v>
      </c>
    </row>
    <row r="192" spans="1:1" x14ac:dyDescent="0.25">
      <c r="A192">
        <v>55</v>
      </c>
    </row>
    <row r="193" spans="1:1" x14ac:dyDescent="0.25">
      <c r="A193">
        <v>33</v>
      </c>
    </row>
    <row r="194" spans="1:1" x14ac:dyDescent="0.25">
      <c r="A194">
        <v>71</v>
      </c>
    </row>
    <row r="195" spans="1:1" x14ac:dyDescent="0.25">
      <c r="A195">
        <v>7</v>
      </c>
    </row>
    <row r="196" spans="1:1" x14ac:dyDescent="0.25">
      <c r="A196">
        <v>91</v>
      </c>
    </row>
    <row r="197" spans="1:1" x14ac:dyDescent="0.25">
      <c r="A197">
        <v>55</v>
      </c>
    </row>
    <row r="198" spans="1:1" x14ac:dyDescent="0.25">
      <c r="A198">
        <v>86</v>
      </c>
    </row>
    <row r="199" spans="1:1" x14ac:dyDescent="0.25">
      <c r="A199">
        <v>73</v>
      </c>
    </row>
    <row r="200" spans="1:1" x14ac:dyDescent="0.25">
      <c r="A200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C20"/>
  <sheetViews>
    <sheetView workbookViewId="0">
      <selection activeCell="G8" sqref="G8"/>
    </sheetView>
  </sheetViews>
  <sheetFormatPr baseColWidth="10" defaultRowHeight="15" x14ac:dyDescent="0.25"/>
  <cols>
    <col min="3" max="3" width="14.28515625" bestFit="1" customWidth="1"/>
    <col min="4" max="4" width="5.5703125" bestFit="1" customWidth="1"/>
    <col min="5" max="5" width="4.7109375" bestFit="1" customWidth="1"/>
    <col min="6" max="6" width="3.5703125" bestFit="1" customWidth="1"/>
    <col min="7" max="7" width="5.28515625" bestFit="1" customWidth="1"/>
    <col min="8" max="8" width="3" bestFit="1" customWidth="1"/>
    <col min="9" max="9" width="4.7109375" bestFit="1" customWidth="1"/>
    <col min="10" max="10" width="5.140625" bestFit="1" customWidth="1"/>
    <col min="11" max="11" width="10" bestFit="1" customWidth="1"/>
    <col min="16" max="16" width="7.7109375" bestFit="1" customWidth="1"/>
  </cols>
  <sheetData>
    <row r="5" spans="3:3" x14ac:dyDescent="0.25">
      <c r="C5" t="s">
        <v>7</v>
      </c>
    </row>
    <row r="6" spans="3:3" x14ac:dyDescent="0.25">
      <c r="C6">
        <v>1</v>
      </c>
    </row>
    <row r="7" spans="3:3" x14ac:dyDescent="0.25">
      <c r="C7">
        <v>2</v>
      </c>
    </row>
    <row r="8" spans="3:3" x14ac:dyDescent="0.25">
      <c r="C8">
        <v>3</v>
      </c>
    </row>
    <row r="9" spans="3:3" x14ac:dyDescent="0.25">
      <c r="C9">
        <v>4</v>
      </c>
    </row>
    <row r="10" spans="3:3" x14ac:dyDescent="0.25">
      <c r="C10">
        <v>5</v>
      </c>
    </row>
    <row r="11" spans="3:3" x14ac:dyDescent="0.25">
      <c r="C11">
        <v>6</v>
      </c>
    </row>
    <row r="12" spans="3:3" x14ac:dyDescent="0.25">
      <c r="C12">
        <v>7</v>
      </c>
    </row>
    <row r="13" spans="3:3" x14ac:dyDescent="0.25">
      <c r="C13">
        <v>8</v>
      </c>
    </row>
    <row r="14" spans="3:3" x14ac:dyDescent="0.25">
      <c r="C14">
        <v>9</v>
      </c>
    </row>
    <row r="15" spans="3:3" x14ac:dyDescent="0.25">
      <c r="C15">
        <v>10</v>
      </c>
    </row>
    <row r="16" spans="3:3" x14ac:dyDescent="0.25">
      <c r="C16">
        <v>11</v>
      </c>
    </row>
    <row r="17" spans="3:3" x14ac:dyDescent="0.25">
      <c r="C17">
        <v>12</v>
      </c>
    </row>
    <row r="18" spans="3:3" x14ac:dyDescent="0.25">
      <c r="C18">
        <v>13</v>
      </c>
    </row>
    <row r="19" spans="3:3" x14ac:dyDescent="0.25">
      <c r="C19">
        <v>14</v>
      </c>
    </row>
    <row r="20" spans="3:3" x14ac:dyDescent="0.25">
      <c r="C20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8"/>
  <sheetViews>
    <sheetView workbookViewId="0">
      <selection activeCell="D25" sqref="D25"/>
    </sheetView>
  </sheetViews>
  <sheetFormatPr baseColWidth="10" defaultRowHeight="15" x14ac:dyDescent="0.25"/>
  <cols>
    <col min="1" max="6" width="15.5703125" customWidth="1"/>
  </cols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</row>
    <row r="4" spans="1:6" x14ac:dyDescent="0.25">
      <c r="A4" t="s">
        <v>26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</row>
    <row r="5" spans="1:6" x14ac:dyDescent="0.25">
      <c r="A5" t="s">
        <v>32</v>
      </c>
      <c r="B5" t="s">
        <v>33</v>
      </c>
      <c r="C5" t="s">
        <v>34</v>
      </c>
      <c r="D5" t="s">
        <v>35</v>
      </c>
      <c r="E5" t="s">
        <v>36</v>
      </c>
      <c r="F5" t="s">
        <v>37</v>
      </c>
    </row>
    <row r="6" spans="1:6" x14ac:dyDescent="0.25">
      <c r="A6" t="s">
        <v>38</v>
      </c>
      <c r="B6" t="s">
        <v>39</v>
      </c>
      <c r="C6" t="s">
        <v>40</v>
      </c>
      <c r="D6" t="s">
        <v>41</v>
      </c>
      <c r="E6" t="s">
        <v>42</v>
      </c>
      <c r="F6" t="s">
        <v>43</v>
      </c>
    </row>
    <row r="7" spans="1:6" x14ac:dyDescent="0.25">
      <c r="A7" t="s">
        <v>44</v>
      </c>
      <c r="B7" t="s">
        <v>45</v>
      </c>
      <c r="C7" t="s">
        <v>46</v>
      </c>
      <c r="D7" t="s">
        <v>47</v>
      </c>
      <c r="E7" t="s">
        <v>48</v>
      </c>
      <c r="F7" t="s">
        <v>49</v>
      </c>
    </row>
    <row r="8" spans="1:6" x14ac:dyDescent="0.25">
      <c r="A8" t="s">
        <v>50</v>
      </c>
      <c r="B8" t="s">
        <v>51</v>
      </c>
      <c r="C8" t="s">
        <v>52</v>
      </c>
      <c r="D8" t="s">
        <v>53</v>
      </c>
      <c r="E8" t="s">
        <v>54</v>
      </c>
      <c r="F8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6"/>
  <sheetViews>
    <sheetView workbookViewId="0">
      <selection activeCell="A3" sqref="A3:D17"/>
    </sheetView>
  </sheetViews>
  <sheetFormatPr baseColWidth="10" defaultRowHeight="15" x14ac:dyDescent="0.25"/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1:6" x14ac:dyDescent="0.25">
      <c r="A3" t="s">
        <v>62</v>
      </c>
      <c r="B3" t="s">
        <v>63</v>
      </c>
      <c r="C3" t="s">
        <v>64</v>
      </c>
      <c r="D3" t="s">
        <v>65</v>
      </c>
      <c r="E3" t="s">
        <v>66</v>
      </c>
      <c r="F3" t="s">
        <v>67</v>
      </c>
    </row>
    <row r="4" spans="1:6" x14ac:dyDescent="0.25">
      <c r="A4" t="s">
        <v>68</v>
      </c>
      <c r="B4" t="s">
        <v>69</v>
      </c>
      <c r="C4" t="s">
        <v>70</v>
      </c>
      <c r="D4" t="s">
        <v>71</v>
      </c>
      <c r="E4" t="s">
        <v>72</v>
      </c>
      <c r="F4" t="s">
        <v>73</v>
      </c>
    </row>
    <row r="5" spans="1:6" x14ac:dyDescent="0.25">
      <c r="A5" t="s">
        <v>74</v>
      </c>
      <c r="B5" t="s">
        <v>75</v>
      </c>
      <c r="C5" t="s">
        <v>76</v>
      </c>
      <c r="D5" t="s">
        <v>77</v>
      </c>
      <c r="E5" t="s">
        <v>78</v>
      </c>
      <c r="F5" t="s">
        <v>79</v>
      </c>
    </row>
    <row r="6" spans="1:6" x14ac:dyDescent="0.25">
      <c r="A6" t="s">
        <v>80</v>
      </c>
      <c r="B6" t="s">
        <v>81</v>
      </c>
      <c r="C6" t="s">
        <v>82</v>
      </c>
      <c r="D6" t="s">
        <v>83</v>
      </c>
      <c r="E6" t="s">
        <v>84</v>
      </c>
      <c r="F6" t="s">
        <v>85</v>
      </c>
    </row>
    <row r="7" spans="1:6" x14ac:dyDescent="0.25">
      <c r="A7" t="s">
        <v>86</v>
      </c>
      <c r="B7" t="s">
        <v>87</v>
      </c>
      <c r="C7" t="s">
        <v>88</v>
      </c>
      <c r="D7" t="s">
        <v>89</v>
      </c>
      <c r="E7" t="s">
        <v>90</v>
      </c>
      <c r="F7" t="s">
        <v>91</v>
      </c>
    </row>
    <row r="8" spans="1:6" x14ac:dyDescent="0.25">
      <c r="A8" t="s">
        <v>92</v>
      </c>
      <c r="B8" t="s">
        <v>93</v>
      </c>
      <c r="C8" t="s">
        <v>94</v>
      </c>
      <c r="D8" t="s">
        <v>95</v>
      </c>
      <c r="E8" t="s">
        <v>96</v>
      </c>
      <c r="F8" t="s">
        <v>97</v>
      </c>
    </row>
    <row r="9" spans="1:6" x14ac:dyDescent="0.25">
      <c r="A9" t="s">
        <v>98</v>
      </c>
      <c r="B9" t="s">
        <v>99</v>
      </c>
      <c r="C9" t="s">
        <v>100</v>
      </c>
      <c r="D9" t="s">
        <v>101</v>
      </c>
      <c r="E9" t="s">
        <v>102</v>
      </c>
      <c r="F9" t="s">
        <v>103</v>
      </c>
    </row>
    <row r="10" spans="1:6" x14ac:dyDescent="0.25">
      <c r="A10" t="s">
        <v>104</v>
      </c>
      <c r="B10" t="s">
        <v>105</v>
      </c>
      <c r="C10" t="s">
        <v>106</v>
      </c>
      <c r="D10" t="s">
        <v>107</v>
      </c>
      <c r="E10" t="s">
        <v>108</v>
      </c>
      <c r="F10" t="s">
        <v>109</v>
      </c>
    </row>
    <row r="11" spans="1:6" x14ac:dyDescent="0.25">
      <c r="A11" t="s">
        <v>110</v>
      </c>
      <c r="B11" t="s">
        <v>111</v>
      </c>
      <c r="C11" t="s">
        <v>112</v>
      </c>
      <c r="D11" t="s">
        <v>113</v>
      </c>
      <c r="E11" t="s">
        <v>114</v>
      </c>
      <c r="F11" t="s">
        <v>115</v>
      </c>
    </row>
    <row r="12" spans="1:6" x14ac:dyDescent="0.25">
      <c r="A12" t="s">
        <v>116</v>
      </c>
      <c r="B12" t="s">
        <v>117</v>
      </c>
      <c r="C12" t="s">
        <v>118</v>
      </c>
      <c r="D12" t="s">
        <v>119</v>
      </c>
      <c r="E12" t="s">
        <v>120</v>
      </c>
      <c r="F12" t="s">
        <v>121</v>
      </c>
    </row>
    <row r="13" spans="1:6" x14ac:dyDescent="0.25">
      <c r="A13" t="s">
        <v>122</v>
      </c>
      <c r="B13" t="s">
        <v>123</v>
      </c>
      <c r="C13" t="s">
        <v>124</v>
      </c>
      <c r="D13" t="s">
        <v>125</v>
      </c>
      <c r="E13" t="s">
        <v>126</v>
      </c>
      <c r="F13" t="s">
        <v>127</v>
      </c>
    </row>
    <row r="14" spans="1:6" x14ac:dyDescent="0.25">
      <c r="A14" t="s">
        <v>128</v>
      </c>
      <c r="B14" t="s">
        <v>129</v>
      </c>
      <c r="C14" t="s">
        <v>130</v>
      </c>
      <c r="D14" t="s">
        <v>131</v>
      </c>
      <c r="E14" t="s">
        <v>132</v>
      </c>
      <c r="F14" t="s">
        <v>133</v>
      </c>
    </row>
    <row r="15" spans="1:6" x14ac:dyDescent="0.25">
      <c r="A15" t="s">
        <v>134</v>
      </c>
      <c r="B15" t="s">
        <v>135</v>
      </c>
      <c r="C15" t="s">
        <v>136</v>
      </c>
      <c r="D15" t="s">
        <v>137</v>
      </c>
      <c r="E15" t="s">
        <v>138</v>
      </c>
      <c r="F15" t="s">
        <v>139</v>
      </c>
    </row>
    <row r="16" spans="1:6" x14ac:dyDescent="0.25">
      <c r="A16" t="s">
        <v>140</v>
      </c>
      <c r="B16" t="s">
        <v>141</v>
      </c>
      <c r="C16" t="s">
        <v>142</v>
      </c>
      <c r="D16" t="s">
        <v>143</v>
      </c>
      <c r="E16" t="s">
        <v>144</v>
      </c>
      <c r="F16" t="s">
        <v>145</v>
      </c>
    </row>
    <row r="17" spans="1:6" x14ac:dyDescent="0.25">
      <c r="A17" t="s">
        <v>146</v>
      </c>
      <c r="B17" t="s">
        <v>147</v>
      </c>
      <c r="C17" t="s">
        <v>148</v>
      </c>
      <c r="D17" t="s">
        <v>149</v>
      </c>
      <c r="E17" t="s">
        <v>150</v>
      </c>
      <c r="F17" t="s">
        <v>151</v>
      </c>
    </row>
    <row r="18" spans="1:6" x14ac:dyDescent="0.25">
      <c r="A18" t="s">
        <v>152</v>
      </c>
      <c r="B18" t="s">
        <v>153</v>
      </c>
      <c r="C18" t="s">
        <v>154</v>
      </c>
      <c r="D18" t="s">
        <v>155</v>
      </c>
      <c r="E18" t="s">
        <v>156</v>
      </c>
      <c r="F18" t="s">
        <v>157</v>
      </c>
    </row>
    <row r="19" spans="1:6" x14ac:dyDescent="0.25">
      <c r="A19" t="s">
        <v>158</v>
      </c>
      <c r="B19" t="s">
        <v>159</v>
      </c>
      <c r="C19" t="s">
        <v>160</v>
      </c>
      <c r="D19" t="s">
        <v>161</v>
      </c>
      <c r="E19" t="s">
        <v>162</v>
      </c>
      <c r="F19" t="s">
        <v>163</v>
      </c>
    </row>
    <row r="20" spans="1:6" x14ac:dyDescent="0.25">
      <c r="A20" t="s">
        <v>164</v>
      </c>
      <c r="B20" t="s">
        <v>165</v>
      </c>
      <c r="C20" t="s">
        <v>166</v>
      </c>
      <c r="D20" t="s">
        <v>167</v>
      </c>
      <c r="E20" t="s">
        <v>168</v>
      </c>
      <c r="F20" t="s">
        <v>169</v>
      </c>
    </row>
    <row r="21" spans="1:6" x14ac:dyDescent="0.25">
      <c r="A21" t="s">
        <v>170</v>
      </c>
      <c r="B21" t="s">
        <v>171</v>
      </c>
      <c r="C21" t="s">
        <v>172</v>
      </c>
      <c r="D21" t="s">
        <v>173</v>
      </c>
      <c r="E21" t="s">
        <v>174</v>
      </c>
      <c r="F21" t="s">
        <v>175</v>
      </c>
    </row>
    <row r="22" spans="1:6" x14ac:dyDescent="0.25">
      <c r="A22" t="s">
        <v>176</v>
      </c>
      <c r="B22" t="s">
        <v>177</v>
      </c>
      <c r="C22" t="s">
        <v>178</v>
      </c>
      <c r="D22" t="s">
        <v>179</v>
      </c>
      <c r="E22" t="s">
        <v>180</v>
      </c>
      <c r="F22" t="s">
        <v>181</v>
      </c>
    </row>
    <row r="23" spans="1:6" x14ac:dyDescent="0.25">
      <c r="A23" t="s">
        <v>182</v>
      </c>
      <c r="B23" t="s">
        <v>183</v>
      </c>
      <c r="C23" t="s">
        <v>184</v>
      </c>
      <c r="D23" t="s">
        <v>185</v>
      </c>
      <c r="E23" t="s">
        <v>186</v>
      </c>
      <c r="F23" t="s">
        <v>187</v>
      </c>
    </row>
    <row r="24" spans="1:6" x14ac:dyDescent="0.25">
      <c r="A24" t="s">
        <v>188</v>
      </c>
      <c r="B24" t="s">
        <v>189</v>
      </c>
      <c r="C24" t="s">
        <v>190</v>
      </c>
      <c r="D24" t="s">
        <v>191</v>
      </c>
      <c r="E24" t="s">
        <v>192</v>
      </c>
      <c r="F24" t="s">
        <v>193</v>
      </c>
    </row>
    <row r="25" spans="1:6" x14ac:dyDescent="0.25">
      <c r="A25" t="s">
        <v>194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</row>
    <row r="26" spans="1:6" x14ac:dyDescent="0.25">
      <c r="A26" t="s">
        <v>200</v>
      </c>
      <c r="B26" t="s">
        <v>201</v>
      </c>
      <c r="C26" t="s">
        <v>202</v>
      </c>
      <c r="D26" t="s">
        <v>203</v>
      </c>
      <c r="E26" t="s">
        <v>204</v>
      </c>
      <c r="F26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14"/>
  <sheetViews>
    <sheetView workbookViewId="0">
      <selection activeCell="A2" sqref="A2:F14"/>
    </sheetView>
  </sheetViews>
  <sheetFormatPr baseColWidth="10" defaultRowHeight="15" x14ac:dyDescent="0.25"/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206</v>
      </c>
      <c r="B2" t="s">
        <v>207</v>
      </c>
      <c r="C2" t="s">
        <v>208</v>
      </c>
      <c r="D2" t="s">
        <v>209</v>
      </c>
      <c r="E2" t="s">
        <v>210</v>
      </c>
      <c r="F2" t="s">
        <v>211</v>
      </c>
    </row>
    <row r="3" spans="1:6" x14ac:dyDescent="0.25">
      <c r="A3" t="s">
        <v>212</v>
      </c>
      <c r="B3" t="s">
        <v>213</v>
      </c>
      <c r="C3" t="s">
        <v>214</v>
      </c>
      <c r="D3" t="s">
        <v>215</v>
      </c>
      <c r="E3" t="s">
        <v>216</v>
      </c>
      <c r="F3" t="s">
        <v>217</v>
      </c>
    </row>
    <row r="4" spans="1:6" x14ac:dyDescent="0.25">
      <c r="A4" t="s">
        <v>218</v>
      </c>
      <c r="B4" t="s">
        <v>219</v>
      </c>
      <c r="C4" t="s">
        <v>220</v>
      </c>
      <c r="D4" t="s">
        <v>221</v>
      </c>
      <c r="E4" t="s">
        <v>222</v>
      </c>
      <c r="F4" t="s">
        <v>223</v>
      </c>
    </row>
    <row r="5" spans="1:6" x14ac:dyDescent="0.25">
      <c r="A5" t="s">
        <v>224</v>
      </c>
      <c r="B5" t="s">
        <v>225</v>
      </c>
      <c r="C5" t="s">
        <v>226</v>
      </c>
      <c r="D5" t="s">
        <v>227</v>
      </c>
      <c r="E5" t="s">
        <v>228</v>
      </c>
      <c r="F5" t="s">
        <v>229</v>
      </c>
    </row>
    <row r="6" spans="1:6" x14ac:dyDescent="0.25">
      <c r="A6" t="s">
        <v>230</v>
      </c>
      <c r="B6" t="s">
        <v>231</v>
      </c>
      <c r="C6" t="s">
        <v>232</v>
      </c>
      <c r="D6" t="s">
        <v>233</v>
      </c>
      <c r="E6" t="s">
        <v>234</v>
      </c>
      <c r="F6" t="s">
        <v>235</v>
      </c>
    </row>
    <row r="7" spans="1:6" x14ac:dyDescent="0.25">
      <c r="A7" t="s">
        <v>236</v>
      </c>
      <c r="B7" t="s">
        <v>237</v>
      </c>
      <c r="C7" t="s">
        <v>238</v>
      </c>
      <c r="D7" t="s">
        <v>239</v>
      </c>
      <c r="E7" t="s">
        <v>240</v>
      </c>
      <c r="F7" t="s">
        <v>241</v>
      </c>
    </row>
    <row r="8" spans="1:6" x14ac:dyDescent="0.25">
      <c r="A8" t="s">
        <v>242</v>
      </c>
      <c r="B8" t="s">
        <v>243</v>
      </c>
      <c r="C8" t="s">
        <v>244</v>
      </c>
      <c r="D8" t="s">
        <v>245</v>
      </c>
      <c r="E8" t="s">
        <v>246</v>
      </c>
      <c r="F8" t="s">
        <v>247</v>
      </c>
    </row>
    <row r="9" spans="1:6" x14ac:dyDescent="0.25">
      <c r="A9" t="s">
        <v>248</v>
      </c>
      <c r="B9" t="s">
        <v>249</v>
      </c>
      <c r="C9" t="s">
        <v>250</v>
      </c>
      <c r="D9" t="s">
        <v>251</v>
      </c>
      <c r="E9" t="s">
        <v>252</v>
      </c>
      <c r="F9" t="s">
        <v>253</v>
      </c>
    </row>
    <row r="10" spans="1:6" x14ac:dyDescent="0.25">
      <c r="A10" t="s">
        <v>254</v>
      </c>
      <c r="B10" t="s">
        <v>255</v>
      </c>
      <c r="C10" t="s">
        <v>256</v>
      </c>
      <c r="D10" t="s">
        <v>257</v>
      </c>
      <c r="E10" t="s">
        <v>258</v>
      </c>
      <c r="F10" t="s">
        <v>259</v>
      </c>
    </row>
    <row r="11" spans="1:6" x14ac:dyDescent="0.25">
      <c r="A11" t="s">
        <v>260</v>
      </c>
      <c r="B11" t="s">
        <v>261</v>
      </c>
      <c r="C11" t="s">
        <v>262</v>
      </c>
      <c r="D11" t="s">
        <v>263</v>
      </c>
      <c r="E11" t="s">
        <v>264</v>
      </c>
      <c r="F11" t="s">
        <v>265</v>
      </c>
    </row>
    <row r="12" spans="1:6" x14ac:dyDescent="0.25">
      <c r="A12" t="s">
        <v>266</v>
      </c>
      <c r="B12" t="s">
        <v>267</v>
      </c>
      <c r="C12" t="s">
        <v>268</v>
      </c>
      <c r="D12" t="s">
        <v>269</v>
      </c>
      <c r="E12" t="s">
        <v>270</v>
      </c>
      <c r="F12" t="s">
        <v>271</v>
      </c>
    </row>
    <row r="13" spans="1:6" x14ac:dyDescent="0.25">
      <c r="A13" t="s">
        <v>272</v>
      </c>
      <c r="B13" t="s">
        <v>273</v>
      </c>
      <c r="C13" t="s">
        <v>274</v>
      </c>
      <c r="D13" t="s">
        <v>275</v>
      </c>
      <c r="E13" t="s">
        <v>276</v>
      </c>
      <c r="F13" t="s">
        <v>277</v>
      </c>
    </row>
    <row r="14" spans="1:6" x14ac:dyDescent="0.25">
      <c r="A14" t="s">
        <v>278</v>
      </c>
      <c r="B14" t="s">
        <v>279</v>
      </c>
      <c r="C14" t="s">
        <v>280</v>
      </c>
      <c r="D14" t="s">
        <v>281</v>
      </c>
      <c r="E14" t="s">
        <v>282</v>
      </c>
      <c r="F14" t="s">
        <v>283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9:G32"/>
  <sheetViews>
    <sheetView topLeftCell="A4" workbookViewId="0">
      <selection activeCell="K36" sqref="K36"/>
    </sheetView>
  </sheetViews>
  <sheetFormatPr baseColWidth="10" defaultRowHeight="15" x14ac:dyDescent="0.25"/>
  <cols>
    <col min="1" max="1" width="20.140625" customWidth="1"/>
  </cols>
  <sheetData>
    <row r="9" spans="1:7" x14ac:dyDescent="0.25">
      <c r="C9" t="s">
        <v>285</v>
      </c>
      <c r="D9" s="11" t="s">
        <v>291</v>
      </c>
    </row>
    <row r="10" spans="1:7" x14ac:dyDescent="0.25">
      <c r="D10" s="12" t="s">
        <v>294</v>
      </c>
    </row>
    <row r="12" spans="1:7" x14ac:dyDescent="0.25">
      <c r="A12" s="9" t="s">
        <v>284</v>
      </c>
      <c r="B12" s="9" t="s">
        <v>285</v>
      </c>
      <c r="C12" s="9" t="s">
        <v>286</v>
      </c>
      <c r="D12" s="9" t="s">
        <v>287</v>
      </c>
      <c r="E12" s="9" t="s">
        <v>288</v>
      </c>
      <c r="F12" s="9" t="s">
        <v>289</v>
      </c>
      <c r="G12" s="9" t="s">
        <v>13</v>
      </c>
    </row>
    <row r="13" spans="1:7" x14ac:dyDescent="0.25">
      <c r="A13" s="10">
        <v>4156</v>
      </c>
      <c r="B13" s="6" t="s">
        <v>290</v>
      </c>
      <c r="C13" s="6" t="s">
        <v>293</v>
      </c>
      <c r="D13" s="6" t="s">
        <v>306</v>
      </c>
      <c r="E13" s="6">
        <v>57</v>
      </c>
      <c r="F13" s="6">
        <v>10</v>
      </c>
      <c r="G13" s="6">
        <f>E13*F13</f>
        <v>570</v>
      </c>
    </row>
    <row r="14" spans="1:7" hidden="1" x14ac:dyDescent="0.25">
      <c r="A14" s="10">
        <v>53654</v>
      </c>
      <c r="B14" s="6" t="s">
        <v>291</v>
      </c>
      <c r="C14" s="6" t="s">
        <v>295</v>
      </c>
      <c r="D14" s="6" t="s">
        <v>294</v>
      </c>
      <c r="E14" s="6">
        <v>85</v>
      </c>
      <c r="F14" s="6">
        <v>20</v>
      </c>
      <c r="G14" s="6">
        <f t="shared" ref="G14:G31" si="0">E14*F14</f>
        <v>1700</v>
      </c>
    </row>
    <row r="15" spans="1:7" hidden="1" x14ac:dyDescent="0.25">
      <c r="A15" s="10">
        <v>12</v>
      </c>
      <c r="B15" s="6" t="s">
        <v>291</v>
      </c>
      <c r="C15" s="6" t="s">
        <v>296</v>
      </c>
      <c r="D15" s="6" t="s">
        <v>306</v>
      </c>
      <c r="E15" s="6">
        <v>97</v>
      </c>
      <c r="F15" s="6">
        <v>10</v>
      </c>
      <c r="G15" s="6">
        <f t="shared" si="0"/>
        <v>970</v>
      </c>
    </row>
    <row r="16" spans="1:7" hidden="1" x14ac:dyDescent="0.25">
      <c r="A16" s="10">
        <v>2828</v>
      </c>
      <c r="B16" s="6" t="s">
        <v>291</v>
      </c>
      <c r="C16" s="6" t="s">
        <v>297</v>
      </c>
      <c r="D16" s="6" t="s">
        <v>305</v>
      </c>
      <c r="E16" s="6">
        <v>74</v>
      </c>
      <c r="F16" s="6">
        <v>30</v>
      </c>
      <c r="G16" s="6">
        <f t="shared" si="0"/>
        <v>2220</v>
      </c>
    </row>
    <row r="17" spans="1:7" x14ac:dyDescent="0.25">
      <c r="A17" s="10">
        <v>2828</v>
      </c>
      <c r="B17" s="6" t="s">
        <v>292</v>
      </c>
      <c r="C17" s="6" t="s">
        <v>298</v>
      </c>
      <c r="D17" s="6" t="s">
        <v>294</v>
      </c>
      <c r="E17" s="6">
        <v>43</v>
      </c>
      <c r="F17" s="6">
        <v>20</v>
      </c>
      <c r="G17" s="6">
        <f t="shared" si="0"/>
        <v>860</v>
      </c>
    </row>
    <row r="18" spans="1:7" hidden="1" x14ac:dyDescent="0.25">
      <c r="A18" s="10">
        <v>2888</v>
      </c>
      <c r="B18" s="6" t="s">
        <v>291</v>
      </c>
      <c r="C18" s="6" t="s">
        <v>293</v>
      </c>
      <c r="D18" s="6" t="s">
        <v>305</v>
      </c>
      <c r="E18" s="6">
        <v>66</v>
      </c>
      <c r="F18" s="6">
        <v>30</v>
      </c>
      <c r="G18" s="6">
        <f t="shared" si="0"/>
        <v>1980</v>
      </c>
    </row>
    <row r="19" spans="1:7" x14ac:dyDescent="0.25">
      <c r="A19" s="10">
        <v>2888</v>
      </c>
      <c r="B19" s="6" t="s">
        <v>290</v>
      </c>
      <c r="C19" s="6" t="s">
        <v>299</v>
      </c>
      <c r="D19" s="6" t="s">
        <v>306</v>
      </c>
      <c r="E19" s="6">
        <v>74</v>
      </c>
      <c r="F19" s="6">
        <v>10</v>
      </c>
      <c r="G19" s="6">
        <f t="shared" si="0"/>
        <v>740</v>
      </c>
    </row>
    <row r="20" spans="1:7" x14ac:dyDescent="0.25">
      <c r="A20" s="10">
        <v>288</v>
      </c>
      <c r="B20" s="6" t="s">
        <v>290</v>
      </c>
      <c r="C20" s="6" t="s">
        <v>296</v>
      </c>
      <c r="D20" s="6" t="s">
        <v>306</v>
      </c>
      <c r="E20" s="6">
        <v>43</v>
      </c>
      <c r="F20" s="6">
        <v>10</v>
      </c>
      <c r="G20" s="6">
        <f t="shared" si="0"/>
        <v>430</v>
      </c>
    </row>
    <row r="21" spans="1:7" x14ac:dyDescent="0.25">
      <c r="A21" s="10">
        <v>686767</v>
      </c>
      <c r="B21" s="6" t="s">
        <v>290</v>
      </c>
      <c r="C21" s="6" t="s">
        <v>300</v>
      </c>
      <c r="D21" s="6" t="s">
        <v>306</v>
      </c>
      <c r="E21" s="6">
        <v>54</v>
      </c>
      <c r="F21" s="6">
        <v>10</v>
      </c>
      <c r="G21" s="6">
        <f t="shared" si="0"/>
        <v>540</v>
      </c>
    </row>
    <row r="22" spans="1:7" x14ac:dyDescent="0.25">
      <c r="A22" s="10">
        <v>7676</v>
      </c>
      <c r="B22" s="6" t="s">
        <v>292</v>
      </c>
      <c r="C22" s="6" t="s">
        <v>293</v>
      </c>
      <c r="D22" s="6" t="s">
        <v>306</v>
      </c>
      <c r="E22" s="6">
        <v>97</v>
      </c>
      <c r="F22" s="6">
        <v>10</v>
      </c>
      <c r="G22" s="6">
        <f t="shared" si="0"/>
        <v>970</v>
      </c>
    </row>
    <row r="23" spans="1:7" x14ac:dyDescent="0.25">
      <c r="A23" s="10">
        <v>7676</v>
      </c>
      <c r="B23" s="6" t="s">
        <v>290</v>
      </c>
      <c r="C23" s="6" t="s">
        <v>301</v>
      </c>
      <c r="D23" s="6" t="s">
        <v>306</v>
      </c>
      <c r="E23" s="6">
        <v>89</v>
      </c>
      <c r="F23" s="6">
        <v>10</v>
      </c>
      <c r="G23" s="6">
        <f t="shared" si="0"/>
        <v>890</v>
      </c>
    </row>
    <row r="24" spans="1:7" x14ac:dyDescent="0.25">
      <c r="A24" s="10">
        <v>388</v>
      </c>
      <c r="B24" s="6" t="s">
        <v>292</v>
      </c>
      <c r="C24" s="6" t="s">
        <v>302</v>
      </c>
      <c r="D24" s="6" t="s">
        <v>294</v>
      </c>
      <c r="E24" s="6">
        <v>52</v>
      </c>
      <c r="F24" s="6">
        <v>20</v>
      </c>
      <c r="G24" s="6">
        <f t="shared" si="0"/>
        <v>1040</v>
      </c>
    </row>
    <row r="25" spans="1:7" x14ac:dyDescent="0.25">
      <c r="A25" s="10">
        <v>3838</v>
      </c>
      <c r="B25" s="6" t="s">
        <v>292</v>
      </c>
      <c r="C25" s="6" t="s">
        <v>303</v>
      </c>
      <c r="D25" s="6" t="s">
        <v>294</v>
      </c>
      <c r="E25" s="6">
        <v>74</v>
      </c>
      <c r="F25" s="6">
        <v>20</v>
      </c>
      <c r="G25" s="6">
        <f t="shared" si="0"/>
        <v>1480</v>
      </c>
    </row>
    <row r="26" spans="1:7" x14ac:dyDescent="0.25">
      <c r="A26" s="10">
        <v>4484</v>
      </c>
      <c r="B26" s="6" t="s">
        <v>292</v>
      </c>
      <c r="C26" s="6" t="s">
        <v>293</v>
      </c>
      <c r="D26" s="6" t="s">
        <v>294</v>
      </c>
      <c r="E26" s="6">
        <v>42</v>
      </c>
      <c r="F26" s="6">
        <v>20</v>
      </c>
      <c r="G26" s="6">
        <f t="shared" si="0"/>
        <v>840</v>
      </c>
    </row>
    <row r="27" spans="1:7" x14ac:dyDescent="0.25">
      <c r="A27" s="10">
        <v>484</v>
      </c>
      <c r="B27" s="6" t="s">
        <v>292</v>
      </c>
      <c r="C27" s="6" t="s">
        <v>304</v>
      </c>
      <c r="D27" s="6" t="s">
        <v>294</v>
      </c>
      <c r="E27" s="6">
        <v>93</v>
      </c>
      <c r="F27" s="6">
        <v>20</v>
      </c>
      <c r="G27" s="6">
        <f t="shared" si="0"/>
        <v>1860</v>
      </c>
    </row>
    <row r="28" spans="1:7" hidden="1" x14ac:dyDescent="0.25">
      <c r="A28" s="10">
        <v>7878</v>
      </c>
      <c r="B28" s="6" t="s">
        <v>291</v>
      </c>
      <c r="C28" s="6" t="s">
        <v>293</v>
      </c>
      <c r="D28" s="6" t="s">
        <v>305</v>
      </c>
      <c r="E28" s="6">
        <v>73</v>
      </c>
      <c r="F28" s="6">
        <v>30</v>
      </c>
      <c r="G28" s="6">
        <f t="shared" si="0"/>
        <v>2190</v>
      </c>
    </row>
    <row r="29" spans="1:7" hidden="1" x14ac:dyDescent="0.25">
      <c r="A29" s="10">
        <v>7878</v>
      </c>
      <c r="B29" s="6" t="s">
        <v>291</v>
      </c>
      <c r="C29" s="6" t="s">
        <v>301</v>
      </c>
      <c r="D29" s="6" t="s">
        <v>305</v>
      </c>
      <c r="E29" s="6">
        <v>69</v>
      </c>
      <c r="F29" s="6">
        <v>30</v>
      </c>
      <c r="G29" s="6">
        <f t="shared" si="0"/>
        <v>2070</v>
      </c>
    </row>
    <row r="30" spans="1:7" hidden="1" x14ac:dyDescent="0.25">
      <c r="A30" s="10">
        <v>7878</v>
      </c>
      <c r="B30" s="6" t="s">
        <v>291</v>
      </c>
      <c r="C30" s="6" t="s">
        <v>300</v>
      </c>
      <c r="D30" s="6" t="s">
        <v>305</v>
      </c>
      <c r="E30" s="6">
        <v>88</v>
      </c>
      <c r="F30" s="6">
        <v>30</v>
      </c>
      <c r="G30" s="6">
        <f t="shared" si="0"/>
        <v>2640</v>
      </c>
    </row>
    <row r="31" spans="1:7" hidden="1" x14ac:dyDescent="0.25">
      <c r="A31" s="10">
        <v>88686</v>
      </c>
      <c r="B31" s="6" t="s">
        <v>291</v>
      </c>
      <c r="C31" s="6" t="s">
        <v>295</v>
      </c>
      <c r="D31" s="6" t="s">
        <v>305</v>
      </c>
      <c r="E31" s="6">
        <v>75</v>
      </c>
      <c r="F31" s="6">
        <v>30</v>
      </c>
      <c r="G31" s="6">
        <f t="shared" si="0"/>
        <v>2250</v>
      </c>
    </row>
    <row r="32" spans="1:7" x14ac:dyDescent="0.25">
      <c r="A32" s="8"/>
    </row>
  </sheetData>
  <autoFilter ref="A12:G31">
    <filterColumn colId="1">
      <filters>
        <filter val="East"/>
        <filter val="West"/>
      </filters>
    </filterColumn>
  </autoFilter>
  <dataValidations count="2">
    <dataValidation type="list" allowBlank="1" showInputMessage="1" showErrorMessage="1" sqref="D9">
      <formula1>"WEST, CENTRAL,EAST"</formula1>
    </dataValidation>
    <dataValidation type="list" allowBlank="1" showInputMessage="1" showErrorMessage="1" sqref="D10">
      <formula1>"Pencil, Binder, Pen"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6"/>
  <sheetViews>
    <sheetView tabSelected="1" workbookViewId="0">
      <selection activeCell="A22" sqref="A22"/>
    </sheetView>
  </sheetViews>
  <sheetFormatPr baseColWidth="10" defaultRowHeight="15" x14ac:dyDescent="0.25"/>
  <cols>
    <col min="1" max="1" width="120" customWidth="1"/>
  </cols>
  <sheetData>
    <row r="1" spans="1:2" x14ac:dyDescent="0.25">
      <c r="A1" t="s">
        <v>322</v>
      </c>
    </row>
    <row r="2" spans="1:2" x14ac:dyDescent="0.25">
      <c r="A2" t="s">
        <v>323</v>
      </c>
      <c r="B2" t="s">
        <v>307</v>
      </c>
    </row>
    <row r="3" spans="1:2" x14ac:dyDescent="0.25">
      <c r="B3" t="s">
        <v>308</v>
      </c>
    </row>
    <row r="4" spans="1:2" x14ac:dyDescent="0.25">
      <c r="B4" t="s">
        <v>309</v>
      </c>
    </row>
    <row r="5" spans="1:2" x14ac:dyDescent="0.25">
      <c r="B5" t="s">
        <v>310</v>
      </c>
    </row>
    <row r="6" spans="1:2" x14ac:dyDescent="0.25">
      <c r="B6" t="s">
        <v>311</v>
      </c>
    </row>
    <row r="7" spans="1:2" x14ac:dyDescent="0.25">
      <c r="B7" t="s">
        <v>312</v>
      </c>
    </row>
    <row r="8" spans="1:2" x14ac:dyDescent="0.25">
      <c r="B8" t="s">
        <v>313</v>
      </c>
    </row>
    <row r="9" spans="1:2" x14ac:dyDescent="0.25">
      <c r="B9" t="s">
        <v>314</v>
      </c>
    </row>
    <row r="10" spans="1:2" x14ac:dyDescent="0.25">
      <c r="B10" t="s">
        <v>315</v>
      </c>
    </row>
    <row r="11" spans="1:2" x14ac:dyDescent="0.25">
      <c r="B11" t="s">
        <v>316</v>
      </c>
    </row>
    <row r="12" spans="1:2" x14ac:dyDescent="0.25">
      <c r="B12" t="s">
        <v>317</v>
      </c>
    </row>
    <row r="13" spans="1:2" x14ac:dyDescent="0.25">
      <c r="B13" t="s">
        <v>318</v>
      </c>
    </row>
    <row r="14" spans="1:2" x14ac:dyDescent="0.25">
      <c r="B14" t="s">
        <v>319</v>
      </c>
    </row>
    <row r="15" spans="1:2" x14ac:dyDescent="0.25">
      <c r="B15" t="s">
        <v>320</v>
      </c>
    </row>
    <row r="16" spans="1:2" x14ac:dyDescent="0.25">
      <c r="B16" t="s">
        <v>321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G6"/>
  <sheetViews>
    <sheetView workbookViewId="0">
      <selection activeCell="I12" sqref="A2:I12"/>
    </sheetView>
  </sheetViews>
  <sheetFormatPr baseColWidth="10" defaultRowHeight="15" x14ac:dyDescent="0.25"/>
  <sheetData>
    <row r="1" spans="1:7" x14ac:dyDescent="0.25">
      <c r="A1" s="9" t="s">
        <v>284</v>
      </c>
      <c r="B1" s="9" t="s">
        <v>285</v>
      </c>
      <c r="C1" s="9" t="s">
        <v>286</v>
      </c>
      <c r="D1" s="9" t="s">
        <v>287</v>
      </c>
      <c r="E1" s="9" t="s">
        <v>288</v>
      </c>
      <c r="F1" s="9" t="s">
        <v>289</v>
      </c>
      <c r="G1" s="9" t="s">
        <v>13</v>
      </c>
    </row>
    <row r="2" spans="1:7" x14ac:dyDescent="0.25">
      <c r="A2" s="10">
        <v>4156</v>
      </c>
      <c r="B2" s="6" t="s">
        <v>290</v>
      </c>
      <c r="C2" s="6" t="s">
        <v>293</v>
      </c>
      <c r="D2" s="6" t="s">
        <v>306</v>
      </c>
      <c r="E2" s="6">
        <v>57</v>
      </c>
      <c r="F2" s="6">
        <v>10</v>
      </c>
      <c r="G2" s="6">
        <v>570</v>
      </c>
    </row>
    <row r="3" spans="1:7" x14ac:dyDescent="0.25">
      <c r="A3" s="10">
        <v>2888</v>
      </c>
      <c r="B3" s="6" t="s">
        <v>290</v>
      </c>
      <c r="C3" s="6" t="s">
        <v>299</v>
      </c>
      <c r="D3" s="6" t="s">
        <v>306</v>
      </c>
      <c r="E3" s="6">
        <v>74</v>
      </c>
      <c r="F3" s="6">
        <v>10</v>
      </c>
      <c r="G3" s="6">
        <v>740</v>
      </c>
    </row>
    <row r="4" spans="1:7" x14ac:dyDescent="0.25">
      <c r="A4" s="10">
        <v>288</v>
      </c>
      <c r="B4" s="6" t="s">
        <v>290</v>
      </c>
      <c r="C4" s="6" t="s">
        <v>296</v>
      </c>
      <c r="D4" s="6" t="s">
        <v>306</v>
      </c>
      <c r="E4" s="6">
        <v>43</v>
      </c>
      <c r="F4" s="6">
        <v>10</v>
      </c>
      <c r="G4" s="6">
        <v>430</v>
      </c>
    </row>
    <row r="5" spans="1:7" x14ac:dyDescent="0.25">
      <c r="A5" s="10">
        <v>686767</v>
      </c>
      <c r="B5" s="6" t="s">
        <v>290</v>
      </c>
      <c r="C5" s="6" t="s">
        <v>300</v>
      </c>
      <c r="D5" s="6" t="s">
        <v>306</v>
      </c>
      <c r="E5" s="6">
        <v>54</v>
      </c>
      <c r="F5" s="6">
        <v>10</v>
      </c>
      <c r="G5" s="6">
        <v>540</v>
      </c>
    </row>
    <row r="6" spans="1:7" x14ac:dyDescent="0.25">
      <c r="A6" s="10">
        <v>7676</v>
      </c>
      <c r="B6" s="6" t="s">
        <v>290</v>
      </c>
      <c r="C6" s="6" t="s">
        <v>301</v>
      </c>
      <c r="D6" s="6" t="s">
        <v>306</v>
      </c>
      <c r="E6" s="6">
        <v>89</v>
      </c>
      <c r="F6" s="6">
        <v>10</v>
      </c>
      <c r="G6" s="6">
        <v>890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9"/>
  <sheetViews>
    <sheetView workbookViewId="0"/>
  </sheetViews>
  <sheetFormatPr baseColWidth="10" defaultRowHeight="15" x14ac:dyDescent="0.25"/>
  <sheetData>
    <row r="1" spans="1:7" x14ac:dyDescent="0.25">
      <c r="A1" s="9" t="s">
        <v>284</v>
      </c>
      <c r="B1" s="9" t="s">
        <v>285</v>
      </c>
      <c r="C1" s="9" t="s">
        <v>286</v>
      </c>
      <c r="D1" s="9" t="s">
        <v>287</v>
      </c>
      <c r="E1" s="9" t="s">
        <v>288</v>
      </c>
      <c r="F1" s="9" t="s">
        <v>289</v>
      </c>
      <c r="G1" s="9" t="s">
        <v>13</v>
      </c>
    </row>
    <row r="2" spans="1:7" x14ac:dyDescent="0.25">
      <c r="A2" s="10">
        <v>53654</v>
      </c>
      <c r="B2" s="6" t="s">
        <v>291</v>
      </c>
      <c r="C2" s="6" t="s">
        <v>295</v>
      </c>
      <c r="D2" s="6" t="s">
        <v>294</v>
      </c>
      <c r="E2" s="6">
        <v>85</v>
      </c>
      <c r="F2" s="6">
        <v>20</v>
      </c>
      <c r="G2" s="6">
        <v>1700</v>
      </c>
    </row>
    <row r="3" spans="1:7" x14ac:dyDescent="0.25">
      <c r="A3" s="10">
        <v>12</v>
      </c>
      <c r="B3" s="6" t="s">
        <v>291</v>
      </c>
      <c r="C3" s="6" t="s">
        <v>296</v>
      </c>
      <c r="D3" s="6" t="s">
        <v>306</v>
      </c>
      <c r="E3" s="6">
        <v>97</v>
      </c>
      <c r="F3" s="6">
        <v>10</v>
      </c>
      <c r="G3" s="6">
        <v>970</v>
      </c>
    </row>
    <row r="4" spans="1:7" x14ac:dyDescent="0.25">
      <c r="A4" s="10">
        <v>2828</v>
      </c>
      <c r="B4" s="6" t="s">
        <v>291</v>
      </c>
      <c r="C4" s="6" t="s">
        <v>297</v>
      </c>
      <c r="D4" s="6" t="s">
        <v>305</v>
      </c>
      <c r="E4" s="6">
        <v>74</v>
      </c>
      <c r="F4" s="6">
        <v>30</v>
      </c>
      <c r="G4" s="6">
        <v>2220</v>
      </c>
    </row>
    <row r="5" spans="1:7" x14ac:dyDescent="0.25">
      <c r="A5" s="10">
        <v>2888</v>
      </c>
      <c r="B5" s="6" t="s">
        <v>291</v>
      </c>
      <c r="C5" s="6" t="s">
        <v>293</v>
      </c>
      <c r="D5" s="6" t="s">
        <v>305</v>
      </c>
      <c r="E5" s="6">
        <v>66</v>
      </c>
      <c r="F5" s="6">
        <v>30</v>
      </c>
      <c r="G5" s="6">
        <v>1980</v>
      </c>
    </row>
    <row r="6" spans="1:7" x14ac:dyDescent="0.25">
      <c r="A6" s="10">
        <v>7878</v>
      </c>
      <c r="B6" s="6" t="s">
        <v>291</v>
      </c>
      <c r="C6" s="6" t="s">
        <v>293</v>
      </c>
      <c r="D6" s="6" t="s">
        <v>305</v>
      </c>
      <c r="E6" s="6">
        <v>73</v>
      </c>
      <c r="F6" s="6">
        <v>30</v>
      </c>
      <c r="G6" s="6">
        <v>2190</v>
      </c>
    </row>
    <row r="7" spans="1:7" x14ac:dyDescent="0.25">
      <c r="A7" s="10">
        <v>7878</v>
      </c>
      <c r="B7" s="6" t="s">
        <v>291</v>
      </c>
      <c r="C7" s="6" t="s">
        <v>301</v>
      </c>
      <c r="D7" s="6" t="s">
        <v>305</v>
      </c>
      <c r="E7" s="6">
        <v>69</v>
      </c>
      <c r="F7" s="6">
        <v>30</v>
      </c>
      <c r="G7" s="6">
        <v>2070</v>
      </c>
    </row>
    <row r="8" spans="1:7" x14ac:dyDescent="0.25">
      <c r="A8" s="10">
        <v>7878</v>
      </c>
      <c r="B8" s="6" t="s">
        <v>291</v>
      </c>
      <c r="C8" s="6" t="s">
        <v>300</v>
      </c>
      <c r="D8" s="6" t="s">
        <v>305</v>
      </c>
      <c r="E8" s="6">
        <v>88</v>
      </c>
      <c r="F8" s="6">
        <v>30</v>
      </c>
      <c r="G8" s="6">
        <v>2640</v>
      </c>
    </row>
    <row r="9" spans="1:7" x14ac:dyDescent="0.25">
      <c r="A9" s="10">
        <v>88686</v>
      </c>
      <c r="B9" s="6" t="s">
        <v>291</v>
      </c>
      <c r="C9" s="6" t="s">
        <v>295</v>
      </c>
      <c r="D9" s="6" t="s">
        <v>305</v>
      </c>
      <c r="E9" s="6">
        <v>75</v>
      </c>
      <c r="F9" s="6">
        <v>30</v>
      </c>
      <c r="G9" s="6">
        <v>2250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7"/>
  <sheetViews>
    <sheetView workbookViewId="0"/>
  </sheetViews>
  <sheetFormatPr baseColWidth="10" defaultRowHeight="15" x14ac:dyDescent="0.25"/>
  <sheetData>
    <row r="1" spans="1:7" x14ac:dyDescent="0.25">
      <c r="A1" s="9" t="s">
        <v>284</v>
      </c>
      <c r="B1" s="9" t="s">
        <v>285</v>
      </c>
      <c r="C1" s="9" t="s">
        <v>286</v>
      </c>
      <c r="D1" s="9" t="s">
        <v>287</v>
      </c>
      <c r="E1" s="9" t="s">
        <v>288</v>
      </c>
      <c r="F1" s="9" t="s">
        <v>289</v>
      </c>
      <c r="G1" s="9" t="s">
        <v>13</v>
      </c>
    </row>
    <row r="2" spans="1:7" x14ac:dyDescent="0.25">
      <c r="A2" s="10">
        <v>2828</v>
      </c>
      <c r="B2" s="6" t="s">
        <v>292</v>
      </c>
      <c r="C2" s="6" t="s">
        <v>298</v>
      </c>
      <c r="D2" s="6" t="s">
        <v>294</v>
      </c>
      <c r="E2" s="6">
        <v>43</v>
      </c>
      <c r="F2" s="6">
        <v>20</v>
      </c>
      <c r="G2" s="6">
        <v>860</v>
      </c>
    </row>
    <row r="3" spans="1:7" x14ac:dyDescent="0.25">
      <c r="A3" s="10">
        <v>7676</v>
      </c>
      <c r="B3" s="6" t="s">
        <v>292</v>
      </c>
      <c r="C3" s="6" t="s">
        <v>293</v>
      </c>
      <c r="D3" s="6" t="s">
        <v>306</v>
      </c>
      <c r="E3" s="6">
        <v>97</v>
      </c>
      <c r="F3" s="6">
        <v>10</v>
      </c>
      <c r="G3" s="6">
        <v>970</v>
      </c>
    </row>
    <row r="4" spans="1:7" x14ac:dyDescent="0.25">
      <c r="A4" s="10">
        <v>388</v>
      </c>
      <c r="B4" s="6" t="s">
        <v>292</v>
      </c>
      <c r="C4" s="6" t="s">
        <v>302</v>
      </c>
      <c r="D4" s="6" t="s">
        <v>294</v>
      </c>
      <c r="E4" s="6">
        <v>52</v>
      </c>
      <c r="F4" s="6">
        <v>20</v>
      </c>
      <c r="G4" s="6">
        <v>1040</v>
      </c>
    </row>
    <row r="5" spans="1:7" x14ac:dyDescent="0.25">
      <c r="A5" s="10">
        <v>3838</v>
      </c>
      <c r="B5" s="6" t="s">
        <v>292</v>
      </c>
      <c r="C5" s="6" t="s">
        <v>303</v>
      </c>
      <c r="D5" s="6" t="s">
        <v>294</v>
      </c>
      <c r="E5" s="6">
        <v>74</v>
      </c>
      <c r="F5" s="6">
        <v>20</v>
      </c>
      <c r="G5" s="6">
        <v>1480</v>
      </c>
    </row>
    <row r="6" spans="1:7" x14ac:dyDescent="0.25">
      <c r="A6" s="10">
        <v>4484</v>
      </c>
      <c r="B6" s="6" t="s">
        <v>292</v>
      </c>
      <c r="C6" s="6" t="s">
        <v>293</v>
      </c>
      <c r="D6" s="6" t="s">
        <v>294</v>
      </c>
      <c r="E6" s="6">
        <v>42</v>
      </c>
      <c r="F6" s="6">
        <v>20</v>
      </c>
      <c r="G6" s="6">
        <v>840</v>
      </c>
    </row>
    <row r="7" spans="1:7" x14ac:dyDescent="0.25">
      <c r="A7" s="10">
        <v>484</v>
      </c>
      <c r="B7" s="6" t="s">
        <v>292</v>
      </c>
      <c r="C7" s="6" t="s">
        <v>304</v>
      </c>
      <c r="D7" s="6" t="s">
        <v>294</v>
      </c>
      <c r="E7" s="6">
        <v>93</v>
      </c>
      <c r="F7" s="6">
        <v>20</v>
      </c>
      <c r="G7" s="6">
        <v>1860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46"/>
  <sheetViews>
    <sheetView workbookViewId="0">
      <selection activeCell="G20" sqref="G20"/>
    </sheetView>
  </sheetViews>
  <sheetFormatPr baseColWidth="10" defaultRowHeight="15" x14ac:dyDescent="0.25"/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</row>
    <row r="4" spans="1:6" x14ac:dyDescent="0.25">
      <c r="A4" t="s">
        <v>26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</row>
    <row r="5" spans="1:6" x14ac:dyDescent="0.25">
      <c r="A5" t="s">
        <v>32</v>
      </c>
      <c r="B5" t="s">
        <v>33</v>
      </c>
      <c r="C5" t="s">
        <v>34</v>
      </c>
      <c r="D5" t="s">
        <v>35</v>
      </c>
      <c r="E5" t="s">
        <v>36</v>
      </c>
      <c r="F5" t="s">
        <v>37</v>
      </c>
    </row>
    <row r="6" spans="1:6" x14ac:dyDescent="0.25">
      <c r="A6" t="s">
        <v>38</v>
      </c>
      <c r="B6" t="s">
        <v>39</v>
      </c>
      <c r="C6" t="s">
        <v>40</v>
      </c>
      <c r="D6" t="s">
        <v>41</v>
      </c>
      <c r="E6" t="s">
        <v>42</v>
      </c>
      <c r="F6" t="s">
        <v>43</v>
      </c>
    </row>
    <row r="7" spans="1:6" x14ac:dyDescent="0.25">
      <c r="A7" t="s">
        <v>44</v>
      </c>
      <c r="B7" t="s">
        <v>45</v>
      </c>
      <c r="C7" t="s">
        <v>46</v>
      </c>
      <c r="D7" t="s">
        <v>47</v>
      </c>
      <c r="E7" t="s">
        <v>48</v>
      </c>
      <c r="F7" t="s">
        <v>49</v>
      </c>
    </row>
    <row r="8" spans="1:6" x14ac:dyDescent="0.25">
      <c r="A8" t="s">
        <v>50</v>
      </c>
      <c r="B8" t="s">
        <v>51</v>
      </c>
      <c r="C8" t="s">
        <v>52</v>
      </c>
      <c r="D8" t="s">
        <v>53</v>
      </c>
      <c r="E8" t="s">
        <v>54</v>
      </c>
      <c r="F8" t="s">
        <v>55</v>
      </c>
    </row>
    <row r="9" spans="1:6" x14ac:dyDescent="0.25">
      <c r="A9" t="s">
        <v>56</v>
      </c>
      <c r="B9" t="s">
        <v>57</v>
      </c>
      <c r="C9" t="s">
        <v>58</v>
      </c>
      <c r="D9" t="s">
        <v>59</v>
      </c>
      <c r="E9" t="s">
        <v>60</v>
      </c>
      <c r="F9" t="s">
        <v>61</v>
      </c>
    </row>
    <row r="10" spans="1:6" x14ac:dyDescent="0.25">
      <c r="A10" t="s">
        <v>62</v>
      </c>
      <c r="B10" t="s">
        <v>63</v>
      </c>
      <c r="C10" t="s">
        <v>64</v>
      </c>
      <c r="D10" t="s">
        <v>65</v>
      </c>
      <c r="E10" t="s">
        <v>66</v>
      </c>
      <c r="F10" t="s">
        <v>67</v>
      </c>
    </row>
    <row r="11" spans="1:6" x14ac:dyDescent="0.25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 t="s">
        <v>73</v>
      </c>
    </row>
    <row r="12" spans="1:6" x14ac:dyDescent="0.25">
      <c r="A12" t="s">
        <v>74</v>
      </c>
      <c r="B12" t="s">
        <v>75</v>
      </c>
      <c r="C12" t="s">
        <v>76</v>
      </c>
      <c r="D12" t="s">
        <v>77</v>
      </c>
      <c r="E12" t="s">
        <v>78</v>
      </c>
      <c r="F12" t="s">
        <v>79</v>
      </c>
    </row>
    <row r="13" spans="1:6" x14ac:dyDescent="0.25">
      <c r="A13" t="s">
        <v>80</v>
      </c>
      <c r="B13" t="s">
        <v>81</v>
      </c>
      <c r="C13" t="s">
        <v>82</v>
      </c>
      <c r="D13" t="s">
        <v>83</v>
      </c>
      <c r="E13" t="s">
        <v>84</v>
      </c>
      <c r="F13" t="s">
        <v>85</v>
      </c>
    </row>
    <row r="14" spans="1:6" x14ac:dyDescent="0.25">
      <c r="A14" t="s">
        <v>86</v>
      </c>
      <c r="B14" t="s">
        <v>87</v>
      </c>
      <c r="C14" t="s">
        <v>88</v>
      </c>
      <c r="D14" t="s">
        <v>89</v>
      </c>
      <c r="E14" t="s">
        <v>90</v>
      </c>
      <c r="F14" t="s">
        <v>91</v>
      </c>
    </row>
    <row r="15" spans="1:6" x14ac:dyDescent="0.25">
      <c r="A15" t="s">
        <v>92</v>
      </c>
      <c r="B15" t="s">
        <v>93</v>
      </c>
      <c r="C15" t="s">
        <v>94</v>
      </c>
      <c r="D15" t="s">
        <v>95</v>
      </c>
      <c r="E15" t="s">
        <v>96</v>
      </c>
      <c r="F15" t="s">
        <v>97</v>
      </c>
    </row>
    <row r="16" spans="1:6" x14ac:dyDescent="0.25">
      <c r="A16" t="s">
        <v>98</v>
      </c>
      <c r="B16" t="s">
        <v>99</v>
      </c>
      <c r="C16" t="s">
        <v>100</v>
      </c>
      <c r="D16" t="s">
        <v>101</v>
      </c>
      <c r="E16" t="s">
        <v>102</v>
      </c>
      <c r="F16" t="s">
        <v>103</v>
      </c>
    </row>
    <row r="17" spans="1:6" x14ac:dyDescent="0.25">
      <c r="A17" t="s">
        <v>104</v>
      </c>
      <c r="B17" t="s">
        <v>105</v>
      </c>
      <c r="C17" t="s">
        <v>106</v>
      </c>
      <c r="D17" t="s">
        <v>107</v>
      </c>
      <c r="E17" t="s">
        <v>108</v>
      </c>
      <c r="F17" t="s">
        <v>109</v>
      </c>
    </row>
    <row r="18" spans="1:6" x14ac:dyDescent="0.25">
      <c r="A18" t="s">
        <v>110</v>
      </c>
      <c r="B18" t="s">
        <v>111</v>
      </c>
      <c r="C18" t="s">
        <v>112</v>
      </c>
      <c r="D18" t="s">
        <v>113</v>
      </c>
      <c r="E18" t="s">
        <v>114</v>
      </c>
      <c r="F18" t="s">
        <v>115</v>
      </c>
    </row>
    <row r="19" spans="1:6" x14ac:dyDescent="0.25">
      <c r="A19" t="s">
        <v>116</v>
      </c>
      <c r="B19" t="s">
        <v>117</v>
      </c>
      <c r="C19" t="s">
        <v>118</v>
      </c>
      <c r="D19" t="s">
        <v>119</v>
      </c>
      <c r="E19" t="s">
        <v>120</v>
      </c>
      <c r="F19" t="s">
        <v>121</v>
      </c>
    </row>
    <row r="20" spans="1:6" x14ac:dyDescent="0.25">
      <c r="A20" t="s">
        <v>122</v>
      </c>
      <c r="B20" t="s">
        <v>123</v>
      </c>
      <c r="C20" t="s">
        <v>124</v>
      </c>
      <c r="D20" t="s">
        <v>125</v>
      </c>
      <c r="E20" t="s">
        <v>126</v>
      </c>
      <c r="F20" t="s">
        <v>127</v>
      </c>
    </row>
    <row r="21" spans="1:6" x14ac:dyDescent="0.25">
      <c r="A21" t="s">
        <v>128</v>
      </c>
      <c r="B21" t="s">
        <v>129</v>
      </c>
      <c r="C21" t="s">
        <v>130</v>
      </c>
      <c r="D21" t="s">
        <v>131</v>
      </c>
      <c r="E21" t="s">
        <v>132</v>
      </c>
      <c r="F21" t="s">
        <v>133</v>
      </c>
    </row>
    <row r="22" spans="1:6" x14ac:dyDescent="0.25">
      <c r="A22" t="s">
        <v>134</v>
      </c>
      <c r="B22" t="s">
        <v>135</v>
      </c>
      <c r="C22" t="s">
        <v>136</v>
      </c>
      <c r="D22" t="s">
        <v>137</v>
      </c>
      <c r="E22" t="s">
        <v>138</v>
      </c>
      <c r="F22" t="s">
        <v>139</v>
      </c>
    </row>
    <row r="23" spans="1:6" x14ac:dyDescent="0.25">
      <c r="A23" t="s">
        <v>140</v>
      </c>
      <c r="B23" t="s">
        <v>141</v>
      </c>
      <c r="C23" t="s">
        <v>142</v>
      </c>
      <c r="D23" t="s">
        <v>143</v>
      </c>
      <c r="E23" t="s">
        <v>144</v>
      </c>
      <c r="F23" t="s">
        <v>145</v>
      </c>
    </row>
    <row r="24" spans="1:6" x14ac:dyDescent="0.25">
      <c r="A24" t="s">
        <v>146</v>
      </c>
      <c r="B24" t="s">
        <v>147</v>
      </c>
      <c r="C24" t="s">
        <v>148</v>
      </c>
      <c r="D24" t="s">
        <v>149</v>
      </c>
      <c r="E24" t="s">
        <v>150</v>
      </c>
      <c r="F24" t="s">
        <v>151</v>
      </c>
    </row>
    <row r="25" spans="1:6" x14ac:dyDescent="0.25">
      <c r="A25" t="s">
        <v>152</v>
      </c>
      <c r="B25" t="s">
        <v>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 t="s">
        <v>158</v>
      </c>
      <c r="B26" t="s">
        <v>159</v>
      </c>
      <c r="C26" t="s">
        <v>160</v>
      </c>
      <c r="D26" t="s">
        <v>161</v>
      </c>
      <c r="E26" t="s">
        <v>162</v>
      </c>
      <c r="F26" t="s">
        <v>163</v>
      </c>
    </row>
    <row r="27" spans="1:6" x14ac:dyDescent="0.25">
      <c r="A27" t="s">
        <v>164</v>
      </c>
      <c r="B27" t="s">
        <v>165</v>
      </c>
      <c r="C27" t="s">
        <v>166</v>
      </c>
      <c r="D27" t="s">
        <v>167</v>
      </c>
      <c r="E27" t="s">
        <v>168</v>
      </c>
      <c r="F27" t="s">
        <v>169</v>
      </c>
    </row>
    <row r="28" spans="1:6" x14ac:dyDescent="0.25">
      <c r="A28" t="s">
        <v>170</v>
      </c>
      <c r="B28" t="s">
        <v>171</v>
      </c>
      <c r="C28" t="s">
        <v>172</v>
      </c>
      <c r="D28" t="s">
        <v>173</v>
      </c>
      <c r="E28" t="s">
        <v>174</v>
      </c>
      <c r="F28" t="s">
        <v>175</v>
      </c>
    </row>
    <row r="29" spans="1:6" x14ac:dyDescent="0.25">
      <c r="A29" t="s">
        <v>176</v>
      </c>
      <c r="B29" t="s">
        <v>177</v>
      </c>
      <c r="C29" t="s">
        <v>178</v>
      </c>
      <c r="D29" t="s">
        <v>179</v>
      </c>
      <c r="E29" t="s">
        <v>180</v>
      </c>
      <c r="F29" t="s">
        <v>181</v>
      </c>
    </row>
    <row r="30" spans="1:6" x14ac:dyDescent="0.25">
      <c r="A30" t="s">
        <v>182</v>
      </c>
      <c r="B30" t="s">
        <v>183</v>
      </c>
      <c r="C30" t="s">
        <v>184</v>
      </c>
      <c r="D30" t="s">
        <v>185</v>
      </c>
      <c r="E30" t="s">
        <v>186</v>
      </c>
      <c r="F30" t="s">
        <v>187</v>
      </c>
    </row>
    <row r="31" spans="1:6" x14ac:dyDescent="0.25">
      <c r="A31" t="s">
        <v>188</v>
      </c>
      <c r="B31" t="s">
        <v>189</v>
      </c>
      <c r="C31" t="s">
        <v>190</v>
      </c>
      <c r="D31" t="s">
        <v>191</v>
      </c>
      <c r="E31" t="s">
        <v>192</v>
      </c>
      <c r="F31" t="s">
        <v>193</v>
      </c>
    </row>
    <row r="32" spans="1:6" x14ac:dyDescent="0.25">
      <c r="A32" t="s">
        <v>194</v>
      </c>
      <c r="B32" t="s">
        <v>195</v>
      </c>
      <c r="C32" t="s">
        <v>196</v>
      </c>
      <c r="D32" t="s">
        <v>197</v>
      </c>
      <c r="E32" t="s">
        <v>198</v>
      </c>
      <c r="F32" t="s">
        <v>199</v>
      </c>
    </row>
    <row r="33" spans="1:6" x14ac:dyDescent="0.25">
      <c r="A33" t="s">
        <v>200</v>
      </c>
      <c r="B33" t="s">
        <v>201</v>
      </c>
      <c r="C33" t="s">
        <v>202</v>
      </c>
      <c r="D33" t="s">
        <v>203</v>
      </c>
      <c r="E33" t="s">
        <v>204</v>
      </c>
      <c r="F33" t="s">
        <v>205</v>
      </c>
    </row>
    <row r="34" spans="1:6" x14ac:dyDescent="0.25">
      <c r="A34" t="s">
        <v>206</v>
      </c>
      <c r="B34" t="s">
        <v>207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 t="s">
        <v>212</v>
      </c>
      <c r="B35" t="s">
        <v>213</v>
      </c>
      <c r="C35" t="s">
        <v>214</v>
      </c>
      <c r="D35" t="s">
        <v>215</v>
      </c>
      <c r="E35" t="s">
        <v>216</v>
      </c>
      <c r="F35" t="s">
        <v>217</v>
      </c>
    </row>
    <row r="36" spans="1:6" x14ac:dyDescent="0.25">
      <c r="A36" t="s">
        <v>218</v>
      </c>
      <c r="B36" t="s">
        <v>219</v>
      </c>
      <c r="C36" t="s">
        <v>220</v>
      </c>
      <c r="D36" t="s">
        <v>221</v>
      </c>
      <c r="E36" t="s">
        <v>222</v>
      </c>
      <c r="F36" t="s">
        <v>223</v>
      </c>
    </row>
    <row r="37" spans="1:6" x14ac:dyDescent="0.25">
      <c r="A37" t="s">
        <v>224</v>
      </c>
      <c r="B37" t="s">
        <v>225</v>
      </c>
      <c r="C37" t="s">
        <v>226</v>
      </c>
      <c r="D37" t="s">
        <v>227</v>
      </c>
      <c r="E37" t="s">
        <v>228</v>
      </c>
      <c r="F37" t="s">
        <v>229</v>
      </c>
    </row>
    <row r="38" spans="1:6" x14ac:dyDescent="0.25">
      <c r="A38" t="s">
        <v>230</v>
      </c>
      <c r="B38" t="s">
        <v>231</v>
      </c>
      <c r="C38" t="s">
        <v>232</v>
      </c>
      <c r="D38" t="s">
        <v>233</v>
      </c>
      <c r="E38" t="s">
        <v>234</v>
      </c>
      <c r="F38" t="s">
        <v>235</v>
      </c>
    </row>
    <row r="39" spans="1:6" x14ac:dyDescent="0.25">
      <c r="A39" t="s">
        <v>236</v>
      </c>
      <c r="B39" t="s">
        <v>237</v>
      </c>
      <c r="C39" t="s">
        <v>238</v>
      </c>
      <c r="D39" t="s">
        <v>239</v>
      </c>
      <c r="E39" t="s">
        <v>240</v>
      </c>
      <c r="F39" t="s">
        <v>241</v>
      </c>
    </row>
    <row r="40" spans="1:6" x14ac:dyDescent="0.25">
      <c r="A40" t="s">
        <v>242</v>
      </c>
      <c r="B40" t="s">
        <v>243</v>
      </c>
      <c r="C40" t="s">
        <v>244</v>
      </c>
      <c r="D40" t="s">
        <v>245</v>
      </c>
      <c r="E40" t="s">
        <v>246</v>
      </c>
      <c r="F40" t="s">
        <v>247</v>
      </c>
    </row>
    <row r="41" spans="1:6" x14ac:dyDescent="0.25">
      <c r="A41" t="s">
        <v>248</v>
      </c>
      <c r="B41" t="s">
        <v>249</v>
      </c>
      <c r="C41" t="s">
        <v>250</v>
      </c>
      <c r="D41" t="s">
        <v>251</v>
      </c>
      <c r="E41" t="s">
        <v>252</v>
      </c>
      <c r="F41" t="s">
        <v>253</v>
      </c>
    </row>
    <row r="42" spans="1:6" x14ac:dyDescent="0.25">
      <c r="A42" t="s">
        <v>254</v>
      </c>
      <c r="B42" t="s">
        <v>255</v>
      </c>
      <c r="C42" t="s">
        <v>256</v>
      </c>
      <c r="D42" t="s">
        <v>257</v>
      </c>
      <c r="E42" t="s">
        <v>258</v>
      </c>
      <c r="F42" t="s">
        <v>259</v>
      </c>
    </row>
    <row r="43" spans="1:6" x14ac:dyDescent="0.25">
      <c r="A43" t="s">
        <v>260</v>
      </c>
      <c r="B43" t="s">
        <v>261</v>
      </c>
      <c r="C43" t="s">
        <v>262</v>
      </c>
      <c r="D43" t="s">
        <v>263</v>
      </c>
      <c r="E43" t="s">
        <v>264</v>
      </c>
      <c r="F43" t="s">
        <v>265</v>
      </c>
    </row>
    <row r="44" spans="1:6" x14ac:dyDescent="0.25">
      <c r="A44" t="s">
        <v>266</v>
      </c>
      <c r="B44" t="s">
        <v>267</v>
      </c>
      <c r="C44" t="s">
        <v>268</v>
      </c>
      <c r="D44" t="s">
        <v>269</v>
      </c>
      <c r="E44" t="s">
        <v>270</v>
      </c>
      <c r="F44" t="s">
        <v>271</v>
      </c>
    </row>
    <row r="45" spans="1:6" x14ac:dyDescent="0.25">
      <c r="A45" t="s">
        <v>272</v>
      </c>
      <c r="B45" t="s">
        <v>273</v>
      </c>
      <c r="C45" t="s">
        <v>274</v>
      </c>
      <c r="D45" t="s">
        <v>275</v>
      </c>
      <c r="E45" t="s">
        <v>276</v>
      </c>
      <c r="F45" t="s">
        <v>277</v>
      </c>
    </row>
    <row r="46" spans="1:6" x14ac:dyDescent="0.25">
      <c r="A46" t="s">
        <v>278</v>
      </c>
      <c r="B46" t="s">
        <v>279</v>
      </c>
      <c r="C46" t="s">
        <v>280</v>
      </c>
      <c r="D46" t="s">
        <v>281</v>
      </c>
      <c r="E46" t="s">
        <v>282</v>
      </c>
      <c r="F46" t="s">
        <v>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7</vt:i4>
      </vt:variant>
    </vt:vector>
  </HeadingPairs>
  <TitlesOfParts>
    <vt:vector size="18" baseType="lpstr">
      <vt:lpstr>Tirage_v1</vt:lpstr>
      <vt:lpstr>OR_v1</vt:lpstr>
      <vt:lpstr>chuot</vt:lpstr>
      <vt:lpstr>ga</vt:lpstr>
      <vt:lpstr>ngon</vt:lpstr>
      <vt:lpstr>DFilter</vt:lpstr>
      <vt:lpstr>Feuil4</vt:lpstr>
      <vt:lpstr>WEST</vt:lpstr>
      <vt:lpstr>CENTRAL</vt:lpstr>
      <vt:lpstr>EAST</vt:lpstr>
      <vt:lpstr>TONG HOP</vt:lpstr>
      <vt:lpstr>Data</vt:lpstr>
      <vt:lpstr>Data_filter</vt:lpstr>
      <vt:lpstr>Data2</vt:lpstr>
      <vt:lpstr>Data3</vt:lpstr>
      <vt:lpstr>Table2</vt:lpstr>
      <vt:lpstr>TableTest</vt:lpstr>
      <vt:lpstr>XOA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Arevine SARL 2</dc:creator>
  <cp:lastModifiedBy>NGUYEN Tien-duy</cp:lastModifiedBy>
  <dcterms:created xsi:type="dcterms:W3CDTF">2013-05-27T00:03:47Z</dcterms:created>
  <dcterms:modified xsi:type="dcterms:W3CDTF">2019-04-29T13:01:33Z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ry_1" visible="true" label="try" onAction="try" imageMso="ListMacros"/>
      </mso:documentControls>
    </mso:qat>
  </mso:ribbon>
</mso:customUI>
</file>