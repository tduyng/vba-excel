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 - BIM\07 - EXCEL\00 - Code VBA useful\96 - VBA Codes general\"/>
    </mc:Choice>
  </mc:AlternateContent>
  <bookViews>
    <workbookView xWindow="0" yWindow="0" windowWidth="38400" windowHeight="16710"/>
  </bookViews>
  <sheets>
    <sheet name="Feuil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  <c r="E2" i="1"/>
  <c r="E4" i="1"/>
  <c r="E5" i="1"/>
  <c r="E6" i="1"/>
  <c r="E7" i="1"/>
  <c r="E8" i="1"/>
  <c r="G8" i="1" s="1"/>
  <c r="E9" i="1"/>
  <c r="E10" i="1"/>
  <c r="G10" i="1" s="1"/>
  <c r="E12" i="1"/>
  <c r="G12" i="1" s="1"/>
  <c r="E13" i="1"/>
  <c r="G13" i="1" s="1"/>
  <c r="E14" i="1"/>
  <c r="G14" i="1" s="1"/>
  <c r="E15" i="1"/>
  <c r="G15" i="1" s="1"/>
  <c r="E16" i="1"/>
  <c r="G16" i="1" s="1"/>
  <c r="E17" i="1"/>
  <c r="G17" i="1" s="1"/>
  <c r="E18" i="1"/>
  <c r="G18" i="1" s="1"/>
  <c r="E19" i="1"/>
  <c r="G19" i="1" s="1"/>
  <c r="E3" i="1"/>
  <c r="E11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1" i="1"/>
  <c r="B20" i="1" l="1"/>
  <c r="A20" i="1"/>
  <c r="G7" i="1"/>
  <c r="G6" i="1"/>
  <c r="G5" i="1"/>
  <c r="G4" i="1"/>
  <c r="G3" i="1"/>
  <c r="G11" i="1"/>
  <c r="G9" i="1"/>
  <c r="G2" i="1"/>
  <c r="E1" i="1"/>
  <c r="G1" i="1" l="1"/>
</calcChain>
</file>

<file path=xl/sharedStrings.xml><?xml version="1.0" encoding="utf-8"?>
<sst xmlns="http://schemas.openxmlformats.org/spreadsheetml/2006/main" count="7" uniqueCount="7">
  <si>
    <t>A</t>
  </si>
  <si>
    <t>App.Vlookup</t>
  </si>
  <si>
    <t>App.WorksheetFuntion.Vlookup</t>
  </si>
  <si>
    <t>Rng.Formula</t>
  </si>
  <si>
    <t>Formula direct</t>
  </si>
  <si>
    <t>Rng du lieu</t>
  </si>
  <si>
    <t>Value serach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</si>
</sst>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5" borderId="0" xfId="0" applyFont="1" applyFill="1"/>
    <xf numFmtId="0" fontId="0" fillId="0" borderId="0" xfId="0" applyAlignment="1">
      <alignment horizontal="center"/>
    </xf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42"/>
  <sheetViews>
    <sheetView tabSelected="1" workbookViewId="0">
      <selection activeCell="D1" sqref="D1:E19"/>
    </sheetView>
  </sheetViews>
  <sheetFormatPr baseColWidth="10" defaultRowHeight="15" x14ac:dyDescent="0.25"/>
  <cols>
    <col min="3" max="3" width="18.42578125" customWidth="1"/>
    <col min="6" max="6" width="22.28515625" customWidth="1"/>
    <col min="7" max="7" width="28.42578125" customWidth="1"/>
    <col min="8" max="9" width="17.7109375" customWidth="1"/>
  </cols>
  <sheetData>
    <row r="1" spans="1:16" x14ac:dyDescent="0.25">
      <c r="A1">
        <v>0.139917225034635</v>
      </c>
      <c r="B1">
        <f ca="1">RAND()</f>
        <v>0.72180667366335394</v>
      </c>
      <c r="C1" s="7" t="str">
        <f>CHAR(64+ROW())</f>
        <v>A</v>
      </c>
      <c r="D1" s="5" t="str">
        <f>CHAR(64+ROW())</f>
        <v>A</v>
      </c>
      <c r="E1" s="5">
        <f>A1</f>
        <v>0.139917225034635</v>
      </c>
      <c r="F1" s="1">
        <f>VLOOKUP($C1, $D$1:$E$19,2,0)</f>
        <v>0.139917225034635</v>
      </c>
      <c r="G1">
        <f>VLOOKUP($C1,$D$1:$E$19,2,0)</f>
        <v>0.139917225034635</v>
      </c>
      <c r="H1" s="3">
        <v>0.139917225034635</v>
      </c>
      <c r="I1" s="2">
        <v>0.139917225034635</v>
      </c>
      <c r="K1">
        <v>0.139917225034635</v>
      </c>
      <c r="L1">
        <v>0.139917225034635</v>
      </c>
      <c r="O1" t="s">
        <v>0</v>
      </c>
      <c r="P1">
        <v>1</v>
      </c>
    </row>
    <row r="2" spans="1:16" x14ac:dyDescent="0.25">
      <c r="A2">
        <v>0.26798537521508481</v>
      </c>
      <c r="B2">
        <f t="shared" ref="B2:B19" ca="1" si="0">RAND()</f>
        <v>0.87852928591438806</v>
      </c>
      <c r="C2" s="7" t="str">
        <f t="shared" ref="C2:D20" si="1">CHAR(64+ROW())</f>
        <v>B</v>
      </c>
      <c r="D2" s="5" t="str">
        <f t="shared" si="1"/>
        <v>B</v>
      </c>
      <c r="E2" s="5">
        <f t="shared" ref="E2:E19" si="2">A2</f>
        <v>0.26798537521508481</v>
      </c>
      <c r="F2" s="1">
        <f>VLOOKUP($C2, $D$1:$E$19,2,0)</f>
        <v>0.26798537521508481</v>
      </c>
      <c r="G2">
        <f t="shared" ref="G2:G19" si="3">VLOOKUP($C2,$D$1:$E$19,2,0)</f>
        <v>0.26798537521508481</v>
      </c>
      <c r="H2" s="3">
        <v>0.26798537521508481</v>
      </c>
      <c r="I2" s="2">
        <v>0.26798537521508481</v>
      </c>
      <c r="P2">
        <v>2</v>
      </c>
    </row>
    <row r="3" spans="1:16" x14ac:dyDescent="0.25">
      <c r="A3">
        <v>0.70000518398054878</v>
      </c>
      <c r="B3">
        <f t="shared" ca="1" si="0"/>
        <v>0.33261124005726517</v>
      </c>
      <c r="C3" s="7" t="str">
        <f t="shared" si="1"/>
        <v>C</v>
      </c>
      <c r="D3" s="5" t="str">
        <f t="shared" si="1"/>
        <v>C</v>
      </c>
      <c r="E3" s="5">
        <f t="shared" si="2"/>
        <v>0.70000518398054878</v>
      </c>
      <c r="F3" s="1">
        <f>VLOOKUP($C3, $D$1:$E$19,2,0)</f>
        <v>0.70000518398054878</v>
      </c>
      <c r="G3">
        <f t="shared" si="3"/>
        <v>0.70000518398054878</v>
      </c>
      <c r="H3" s="3">
        <v>0.70000518398054878</v>
      </c>
      <c r="I3" s="2">
        <v>0.70000518398054878</v>
      </c>
      <c r="P3">
        <v>3</v>
      </c>
    </row>
    <row r="4" spans="1:16" x14ac:dyDescent="0.25">
      <c r="A4">
        <v>0.42587701570032821</v>
      </c>
      <c r="B4">
        <f t="shared" ca="1" si="0"/>
        <v>0.43453279733037442</v>
      </c>
      <c r="C4" s="7" t="str">
        <f t="shared" si="1"/>
        <v>D</v>
      </c>
      <c r="D4" s="5" t="str">
        <f t="shared" si="1"/>
        <v>D</v>
      </c>
      <c r="E4" s="5">
        <f t="shared" si="2"/>
        <v>0.42587701570032821</v>
      </c>
      <c r="F4" s="1">
        <f>VLOOKUP($C4, $D$1:$E$19,2,0)</f>
        <v>0.42587701570032821</v>
      </c>
      <c r="G4">
        <f t="shared" si="3"/>
        <v>0.42587701570032821</v>
      </c>
      <c r="H4" s="3">
        <v>0.42587701570032821</v>
      </c>
      <c r="I4" s="2">
        <v>0.42587701570032821</v>
      </c>
      <c r="P4">
        <v>4</v>
      </c>
    </row>
    <row r="5" spans="1:16" x14ac:dyDescent="0.25">
      <c r="A5">
        <v>0.10804132802998523</v>
      </c>
      <c r="B5">
        <f t="shared" ca="1" si="0"/>
        <v>0.26613130542349983</v>
      </c>
      <c r="C5" s="7" t="str">
        <f t="shared" si="1"/>
        <v>E</v>
      </c>
      <c r="D5" s="5" t="str">
        <f t="shared" si="1"/>
        <v>E</v>
      </c>
      <c r="E5" s="5">
        <f t="shared" si="2"/>
        <v>0.10804132802998523</v>
      </c>
      <c r="F5" s="1">
        <f>VLOOKUP($C5, $D$1:$E$19,2,0)</f>
        <v>0.10804132802998523</v>
      </c>
      <c r="G5">
        <f t="shared" si="3"/>
        <v>0.10804132802998523</v>
      </c>
      <c r="H5" s="3">
        <v>0.10804132802998523</v>
      </c>
      <c r="I5" s="2">
        <v>0.10804132802998523</v>
      </c>
      <c r="P5">
        <v>5</v>
      </c>
    </row>
    <row r="6" spans="1:16" x14ac:dyDescent="0.25">
      <c r="A6">
        <v>0.25963063522236618</v>
      </c>
      <c r="B6">
        <f t="shared" ca="1" si="0"/>
        <v>0.40342287877852234</v>
      </c>
      <c r="C6" s="7" t="str">
        <f t="shared" si="1"/>
        <v>F</v>
      </c>
      <c r="D6" s="5" t="str">
        <f t="shared" si="1"/>
        <v>F</v>
      </c>
      <c r="E6" s="5">
        <f t="shared" si="2"/>
        <v>0.25963063522236618</v>
      </c>
      <c r="F6" s="1">
        <f>VLOOKUP($C6, $D$1:$E$19,2,0)</f>
        <v>0.25963063522236618</v>
      </c>
      <c r="G6">
        <f t="shared" si="3"/>
        <v>0.25963063522236618</v>
      </c>
      <c r="H6" s="3">
        <v>0.25963063522236618</v>
      </c>
      <c r="I6" s="2">
        <v>0.25963063522236618</v>
      </c>
      <c r="P6">
        <v>6</v>
      </c>
    </row>
    <row r="7" spans="1:16" x14ac:dyDescent="0.25">
      <c r="A7">
        <v>0.2011576161872507</v>
      </c>
      <c r="B7">
        <f t="shared" ca="1" si="0"/>
        <v>0.92068271113604805</v>
      </c>
      <c r="C7" s="7" t="str">
        <f t="shared" si="1"/>
        <v>G</v>
      </c>
      <c r="D7" s="5" t="str">
        <f t="shared" si="1"/>
        <v>G</v>
      </c>
      <c r="E7" s="5">
        <f t="shared" si="2"/>
        <v>0.2011576161872507</v>
      </c>
      <c r="F7" s="1">
        <f>VLOOKUP($C7, $D$1:$E$19,2,0)</f>
        <v>0.2011576161872507</v>
      </c>
      <c r="G7">
        <f t="shared" si="3"/>
        <v>0.2011576161872507</v>
      </c>
      <c r="H7" s="3">
        <v>0.2011576161872507</v>
      </c>
      <c r="I7" s="2">
        <v>0.2011576161872507</v>
      </c>
      <c r="P7">
        <v>7</v>
      </c>
    </row>
    <row r="8" spans="1:16" x14ac:dyDescent="0.25">
      <c r="A8">
        <v>0.74130310609954231</v>
      </c>
      <c r="B8">
        <f t="shared" ca="1" si="0"/>
        <v>0.49419956098293216</v>
      </c>
      <c r="C8" s="7" t="str">
        <f t="shared" si="1"/>
        <v>H</v>
      </c>
      <c r="D8" s="5" t="str">
        <f t="shared" si="1"/>
        <v>H</v>
      </c>
      <c r="E8" s="5">
        <f t="shared" si="2"/>
        <v>0.74130310609954231</v>
      </c>
      <c r="F8" s="1">
        <f>VLOOKUP($C8, $D$1:$E$19,2,0)</f>
        <v>0.74130310609954231</v>
      </c>
      <c r="G8">
        <f t="shared" si="3"/>
        <v>0.74130310609954231</v>
      </c>
      <c r="H8" s="3">
        <v>0.74130310609954231</v>
      </c>
      <c r="I8" s="2">
        <v>0.74130310609954231</v>
      </c>
      <c r="P8">
        <v>8</v>
      </c>
    </row>
    <row r="9" spans="1:16" x14ac:dyDescent="0.25">
      <c r="A9">
        <v>0.85554606286213808</v>
      </c>
      <c r="B9">
        <f t="shared" ca="1" si="0"/>
        <v>0.11674729444944798</v>
      </c>
      <c r="C9" s="7" t="str">
        <f t="shared" si="1"/>
        <v>I</v>
      </c>
      <c r="D9" s="5" t="str">
        <f t="shared" si="1"/>
        <v>I</v>
      </c>
      <c r="E9" s="5">
        <f t="shared" si="2"/>
        <v>0.85554606286213808</v>
      </c>
      <c r="F9" s="1">
        <f>VLOOKUP($C9, $D$1:$E$19,2,0)</f>
        <v>0.85554606286213808</v>
      </c>
      <c r="G9">
        <f t="shared" si="3"/>
        <v>0.85554606286213808</v>
      </c>
      <c r="H9" s="3">
        <v>0.85554606286213808</v>
      </c>
      <c r="I9" s="2">
        <v>0.85554606286213808</v>
      </c>
      <c r="P9">
        <v>9</v>
      </c>
    </row>
    <row r="10" spans="1:16" x14ac:dyDescent="0.25">
      <c r="A10">
        <v>0.64193238627295068</v>
      </c>
      <c r="B10">
        <f t="shared" ca="1" si="0"/>
        <v>0.44857064404589508</v>
      </c>
      <c r="C10" s="7" t="str">
        <f t="shared" si="1"/>
        <v>J</v>
      </c>
      <c r="D10" s="5" t="str">
        <f t="shared" si="1"/>
        <v>J</v>
      </c>
      <c r="E10" s="5">
        <f t="shared" si="2"/>
        <v>0.64193238627295068</v>
      </c>
      <c r="F10" s="1">
        <f>VLOOKUP($C10, $D$1:$E$19,2,0)</f>
        <v>0.64193238627295068</v>
      </c>
      <c r="G10">
        <f t="shared" si="3"/>
        <v>0.64193238627295068</v>
      </c>
      <c r="H10" s="3">
        <v>0.64193238627295068</v>
      </c>
      <c r="I10" s="2">
        <v>0.64193238627295068</v>
      </c>
      <c r="P10">
        <v>10</v>
      </c>
    </row>
    <row r="11" spans="1:16" x14ac:dyDescent="0.25">
      <c r="A11">
        <v>0.64579107607905606</v>
      </c>
      <c r="B11">
        <f t="shared" ca="1" si="0"/>
        <v>0.58701267087444675</v>
      </c>
      <c r="C11" s="7" t="str">
        <f t="shared" si="1"/>
        <v>K</v>
      </c>
      <c r="D11" s="5" t="str">
        <f t="shared" si="1"/>
        <v>K</v>
      </c>
      <c r="E11" s="5">
        <f t="shared" si="2"/>
        <v>0.64579107607905606</v>
      </c>
      <c r="F11" s="1">
        <f>VLOOKUP($C11, $D$1:$E$19,2,0)</f>
        <v>0.64579107607905606</v>
      </c>
      <c r="G11">
        <f t="shared" si="3"/>
        <v>0.64579107607905606</v>
      </c>
      <c r="H11" s="3">
        <v>0.64579107607905606</v>
      </c>
      <c r="I11" s="2">
        <v>0.64579107607905606</v>
      </c>
      <c r="P11">
        <v>11</v>
      </c>
    </row>
    <row r="12" spans="1:16" x14ac:dyDescent="0.25">
      <c r="A12">
        <v>0.27070227860348228</v>
      </c>
      <c r="B12">
        <f t="shared" ca="1" si="0"/>
        <v>0.9275945037001001</v>
      </c>
      <c r="C12" s="7" t="str">
        <f t="shared" si="1"/>
        <v>L</v>
      </c>
      <c r="D12" s="5" t="str">
        <f t="shared" si="1"/>
        <v>L</v>
      </c>
      <c r="E12" s="5">
        <f t="shared" si="2"/>
        <v>0.27070227860348228</v>
      </c>
      <c r="F12" s="1">
        <f>VLOOKUP($C12, $D$1:$E$19,2,0)</f>
        <v>0.27070227860348228</v>
      </c>
      <c r="G12">
        <f t="shared" si="3"/>
        <v>0.27070227860348228</v>
      </c>
      <c r="H12" s="3">
        <v>0.27070227860348228</v>
      </c>
      <c r="I12" s="2">
        <v>0.27070227860348228</v>
      </c>
      <c r="P12">
        <v>12</v>
      </c>
    </row>
    <row r="13" spans="1:16" x14ac:dyDescent="0.25">
      <c r="A13">
        <v>0.69457605417396673</v>
      </c>
      <c r="B13">
        <f t="shared" ca="1" si="0"/>
        <v>0.55676040816371419</v>
      </c>
      <c r="C13" s="7" t="str">
        <f t="shared" si="1"/>
        <v>M</v>
      </c>
      <c r="D13" s="5" t="str">
        <f t="shared" si="1"/>
        <v>M</v>
      </c>
      <c r="E13" s="5">
        <f t="shared" si="2"/>
        <v>0.69457605417396673</v>
      </c>
      <c r="F13" s="1">
        <f>VLOOKUP($C13, $D$1:$E$19,2,0)</f>
        <v>0.69457605417396673</v>
      </c>
      <c r="G13">
        <f t="shared" si="3"/>
        <v>0.69457605417396673</v>
      </c>
      <c r="H13" s="3">
        <v>0.69457605417396673</v>
      </c>
      <c r="I13" s="2">
        <v>0.69457605417396673</v>
      </c>
      <c r="P13">
        <v>13</v>
      </c>
    </row>
    <row r="14" spans="1:16" x14ac:dyDescent="0.25">
      <c r="A14">
        <v>0.4791988682370113</v>
      </c>
      <c r="B14">
        <f t="shared" ca="1" si="0"/>
        <v>0.22038211949132092</v>
      </c>
      <c r="C14" s="7" t="str">
        <f t="shared" si="1"/>
        <v>N</v>
      </c>
      <c r="D14" s="5" t="str">
        <f t="shared" si="1"/>
        <v>N</v>
      </c>
      <c r="E14" s="5">
        <f t="shared" si="2"/>
        <v>0.4791988682370113</v>
      </c>
      <c r="F14" s="1">
        <f>VLOOKUP($C14, $D$1:$E$19,2,0)</f>
        <v>0.4791988682370113</v>
      </c>
      <c r="G14">
        <f t="shared" si="3"/>
        <v>0.4791988682370113</v>
      </c>
      <c r="H14" s="3">
        <v>0.4791988682370113</v>
      </c>
      <c r="I14" s="2">
        <v>0.4791988682370113</v>
      </c>
      <c r="P14">
        <v>14</v>
      </c>
    </row>
    <row r="15" spans="1:16" x14ac:dyDescent="0.25">
      <c r="A15">
        <v>0.13229697297785514</v>
      </c>
      <c r="B15">
        <f t="shared" ca="1" si="0"/>
        <v>0.63451928955293535</v>
      </c>
      <c r="C15" s="7" t="str">
        <f t="shared" si="1"/>
        <v>O</v>
      </c>
      <c r="D15" s="5" t="str">
        <f t="shared" si="1"/>
        <v>O</v>
      </c>
      <c r="E15" s="5">
        <f t="shared" si="2"/>
        <v>0.13229697297785514</v>
      </c>
      <c r="F15" s="1">
        <f>VLOOKUP($C15, $D$1:$E$19,2,0)</f>
        <v>0.13229697297785514</v>
      </c>
      <c r="G15">
        <f t="shared" si="3"/>
        <v>0.13229697297785514</v>
      </c>
      <c r="H15" s="3">
        <v>0.13229697297785514</v>
      </c>
      <c r="I15" s="2">
        <v>0.13229697297785514</v>
      </c>
      <c r="P15">
        <v>15</v>
      </c>
    </row>
    <row r="16" spans="1:16" x14ac:dyDescent="0.25">
      <c r="A16">
        <v>0.85750884909521397</v>
      </c>
      <c r="B16">
        <f t="shared" ca="1" si="0"/>
        <v>0.90627864314485174</v>
      </c>
      <c r="C16" s="7" t="str">
        <f t="shared" si="1"/>
        <v>P</v>
      </c>
      <c r="D16" s="5" t="str">
        <f t="shared" si="1"/>
        <v>P</v>
      </c>
      <c r="E16" s="5">
        <f t="shared" si="2"/>
        <v>0.85750884909521397</v>
      </c>
      <c r="F16" s="1">
        <f>VLOOKUP($C16, $D$1:$E$19,2,0)</f>
        <v>0.85750884909521397</v>
      </c>
      <c r="G16">
        <f t="shared" si="3"/>
        <v>0.85750884909521397</v>
      </c>
      <c r="H16" s="3">
        <v>0.85750884909521397</v>
      </c>
      <c r="I16" s="2">
        <v>0.85750884909521397</v>
      </c>
      <c r="P16">
        <v>16</v>
      </c>
    </row>
    <row r="17" spans="1:16" x14ac:dyDescent="0.25">
      <c r="A17">
        <v>0.91518904336463947</v>
      </c>
      <c r="B17">
        <f t="shared" ca="1" si="0"/>
        <v>0.852979896632585</v>
      </c>
      <c r="C17" s="7" t="str">
        <f t="shared" si="1"/>
        <v>Q</v>
      </c>
      <c r="D17" s="5" t="str">
        <f t="shared" si="1"/>
        <v>Q</v>
      </c>
      <c r="E17" s="5">
        <f t="shared" si="2"/>
        <v>0.91518904336463947</v>
      </c>
      <c r="F17" s="1">
        <f>VLOOKUP($C17, $D$1:$E$19,2,0)</f>
        <v>0.91518904336463947</v>
      </c>
      <c r="G17">
        <f t="shared" si="3"/>
        <v>0.91518904336463947</v>
      </c>
      <c r="H17" s="3">
        <v>0.91518904336463947</v>
      </c>
      <c r="I17" s="2">
        <v>0.91518904336463947</v>
      </c>
      <c r="P17">
        <v>17</v>
      </c>
    </row>
    <row r="18" spans="1:16" x14ac:dyDescent="0.25">
      <c r="A18">
        <v>0.60796248873421155</v>
      </c>
      <c r="B18">
        <f t="shared" ca="1" si="0"/>
        <v>9.5420385761418092E-2</v>
      </c>
      <c r="C18" s="7" t="str">
        <f t="shared" si="1"/>
        <v>R</v>
      </c>
      <c r="D18" s="5" t="str">
        <f t="shared" si="1"/>
        <v>R</v>
      </c>
      <c r="E18" s="5">
        <f t="shared" si="2"/>
        <v>0.60796248873421155</v>
      </c>
      <c r="F18" s="1">
        <f>VLOOKUP($C18, $D$1:$E$19,2,0)</f>
        <v>0.60796248873421155</v>
      </c>
      <c r="G18">
        <f t="shared" si="3"/>
        <v>0.60796248873421155</v>
      </c>
      <c r="H18" s="3">
        <v>0.60796248873421155</v>
      </c>
      <c r="I18" s="2">
        <v>0.60796248873421155</v>
      </c>
      <c r="P18">
        <v>18</v>
      </c>
    </row>
    <row r="19" spans="1:16" x14ac:dyDescent="0.25">
      <c r="A19">
        <v>0.10223573897935956</v>
      </c>
      <c r="B19">
        <f t="shared" ca="1" si="0"/>
        <v>0.16411222894290345</v>
      </c>
      <c r="C19" s="7" t="str">
        <f t="shared" si="1"/>
        <v>S</v>
      </c>
      <c r="D19" s="4" t="str">
        <f t="shared" si="1"/>
        <v>S</v>
      </c>
      <c r="E19" s="4">
        <f t="shared" si="2"/>
        <v>0.10223573897935956</v>
      </c>
      <c r="F19" s="1">
        <f>VLOOKUP($C19, $D$1:$E$19,2,0)</f>
        <v>0.10223573897935956</v>
      </c>
      <c r="G19">
        <f t="shared" si="3"/>
        <v>0.10223573897935956</v>
      </c>
      <c r="H19" s="3">
        <v>0.10223573897935956</v>
      </c>
      <c r="I19" s="2">
        <v>0.10223573897935956</v>
      </c>
      <c r="P19">
        <v>19</v>
      </c>
    </row>
    <row r="20" spans="1:16" x14ac:dyDescent="0.25">
      <c r="A20" s="1">
        <f>SUM($A$1:$A$19)</f>
        <v>9.0468573048496257</v>
      </c>
      <c r="B20" s="1">
        <f ca="1">SUM($B$1:$B$19)</f>
        <v>9.9622945380460024</v>
      </c>
      <c r="P20">
        <v>20</v>
      </c>
    </row>
    <row r="21" spans="1:16" x14ac:dyDescent="0.25">
      <c r="C21" t="s">
        <v>6</v>
      </c>
      <c r="D21" s="6" t="s">
        <v>5</v>
      </c>
      <c r="E21" s="6"/>
      <c r="F21" t="s">
        <v>3</v>
      </c>
      <c r="G21" t="s">
        <v>4</v>
      </c>
      <c r="H21" t="s">
        <v>1</v>
      </c>
      <c r="I21" t="s">
        <v>2</v>
      </c>
      <c r="P21">
        <v>21</v>
      </c>
    </row>
    <row r="22" spans="1:16" x14ac:dyDescent="0.25">
      <c r="P22">
        <v>22</v>
      </c>
    </row>
    <row r="23" spans="1:16" x14ac:dyDescent="0.25">
      <c r="P23">
        <v>23</v>
      </c>
    </row>
    <row r="24" spans="1:16" x14ac:dyDescent="0.25">
      <c r="P24">
        <v>24</v>
      </c>
    </row>
    <row r="25" spans="1:16" x14ac:dyDescent="0.25">
      <c r="P25">
        <v>25</v>
      </c>
    </row>
    <row r="26" spans="1:16" x14ac:dyDescent="0.25">
      <c r="P26">
        <v>26</v>
      </c>
    </row>
    <row r="27" spans="1:16" x14ac:dyDescent="0.25">
      <c r="P27">
        <v>27</v>
      </c>
    </row>
    <row r="28" spans="1:16" x14ac:dyDescent="0.25">
      <c r="P28">
        <v>28</v>
      </c>
    </row>
    <row r="29" spans="1:16" x14ac:dyDescent="0.25">
      <c r="P29">
        <v>29</v>
      </c>
    </row>
    <row r="30" spans="1:16" x14ac:dyDescent="0.25">
      <c r="P30">
        <v>30</v>
      </c>
    </row>
    <row r="31" spans="1:16" x14ac:dyDescent="0.25">
      <c r="P31">
        <v>31</v>
      </c>
    </row>
    <row r="32" spans="1:16" x14ac:dyDescent="0.25">
      <c r="P32">
        <v>32</v>
      </c>
    </row>
    <row r="33" spans="16:16" x14ac:dyDescent="0.25">
      <c r="P33">
        <v>33</v>
      </c>
    </row>
    <row r="34" spans="16:16" x14ac:dyDescent="0.25">
      <c r="P34">
        <v>34</v>
      </c>
    </row>
    <row r="35" spans="16:16" x14ac:dyDescent="0.25">
      <c r="P35">
        <v>35</v>
      </c>
    </row>
    <row r="36" spans="16:16" x14ac:dyDescent="0.25">
      <c r="P36">
        <v>36</v>
      </c>
    </row>
    <row r="37" spans="16:16" x14ac:dyDescent="0.25">
      <c r="P37">
        <v>37</v>
      </c>
    </row>
    <row r="38" spans="16:16" x14ac:dyDescent="0.25">
      <c r="P38">
        <v>38</v>
      </c>
    </row>
    <row r="39" spans="16:16" x14ac:dyDescent="0.25">
      <c r="P39">
        <v>39</v>
      </c>
    </row>
    <row r="40" spans="16:16" x14ac:dyDescent="0.25">
      <c r="P40">
        <v>40</v>
      </c>
    </row>
    <row r="41" spans="16:16" x14ac:dyDescent="0.25">
      <c r="P41">
        <v>41</v>
      </c>
    </row>
    <row r="42" spans="16:16" x14ac:dyDescent="0.25">
      <c r="P42">
        <v>42</v>
      </c>
    </row>
  </sheetData>
  <mergeCells count="1">
    <mergeCell ref="D21:E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Tien-duy</dc:creator>
  <cp:lastModifiedBy>NGUYEN Tien-duy</cp:lastModifiedBy>
  <dcterms:created xsi:type="dcterms:W3CDTF">2019-06-21T08:55:45Z</dcterms:created>
  <dcterms:modified xsi:type="dcterms:W3CDTF">2019-06-21T10:38:10Z</dcterms:modified>
</cp:coreProperties>
</file>