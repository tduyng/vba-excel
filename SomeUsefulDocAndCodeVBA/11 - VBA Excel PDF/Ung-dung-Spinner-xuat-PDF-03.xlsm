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3_HEO2017\02_Bài viết\VBA\Spinner-Button\"/>
    </mc:Choice>
  </mc:AlternateContent>
  <bookViews>
    <workbookView xWindow="0" yWindow="0" windowWidth="23040" windowHeight="9060" xr2:uid="{87F09B7E-7C86-429A-BAAE-7D240307A38C}"/>
  </bookViews>
  <sheets>
    <sheet name="Sheet1" sheetId="1" r:id="rId1"/>
  </sheets>
  <definedNames>
    <definedName name="_xlnm.Print_Area" localSheetId="0">Sheet1!$I$1:$K$12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1" l="1"/>
  <c r="I6" i="1"/>
  <c r="I7" i="1" l="1"/>
  <c r="I8" i="1" s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3" i="1"/>
  <c r="F4" i="1"/>
  <c r="F5" i="1" l="1"/>
  <c r="F6" i="1" s="1"/>
  <c r="F7" i="1" s="1"/>
  <c r="F8" i="1" s="1"/>
  <c r="F9" i="1" s="1"/>
  <c r="F10" i="1" s="1"/>
  <c r="F11" i="1" l="1"/>
  <c r="F12" i="1" s="1"/>
  <c r="F13" i="1" s="1"/>
  <c r="F14" i="1" s="1"/>
  <c r="F15" i="1" s="1"/>
  <c r="F16" i="1" s="1"/>
  <c r="F17" i="1" l="1"/>
  <c r="F18" i="1" s="1"/>
  <c r="F19" i="1" s="1"/>
  <c r="F20" i="1" s="1"/>
  <c r="F21" i="1" s="1"/>
  <c r="F22" i="1" s="1"/>
  <c r="F23" i="1" l="1"/>
  <c r="F24" i="1" s="1"/>
  <c r="F25" i="1" s="1"/>
  <c r="F26" i="1" s="1"/>
  <c r="K4" i="1" l="1"/>
  <c r="K2" i="1"/>
  <c r="K3" i="1"/>
</calcChain>
</file>

<file path=xl/sharedStrings.xml><?xml version="1.0" encoding="utf-8"?>
<sst xmlns="http://schemas.openxmlformats.org/spreadsheetml/2006/main" count="95" uniqueCount="33">
  <si>
    <t>BẢNG KÊ</t>
  </si>
  <si>
    <t>Số phiếu</t>
  </si>
  <si>
    <t>Ngày</t>
  </si>
  <si>
    <t>Người mua hàng</t>
  </si>
  <si>
    <t>Tên mặt hàng</t>
  </si>
  <si>
    <t>Số lượng</t>
  </si>
  <si>
    <t>PX01</t>
  </si>
  <si>
    <t>PX02</t>
  </si>
  <si>
    <t>PX03</t>
  </si>
  <si>
    <t>PX04</t>
  </si>
  <si>
    <t>PX05</t>
  </si>
  <si>
    <t>Anh A</t>
  </si>
  <si>
    <t>Anh B</t>
  </si>
  <si>
    <t>Anh D</t>
  </si>
  <si>
    <t>Ổi</t>
  </si>
  <si>
    <t>Cam</t>
  </si>
  <si>
    <t>Dưa hấu</t>
  </si>
  <si>
    <t>Thanh Long</t>
  </si>
  <si>
    <t>Đào</t>
  </si>
  <si>
    <t>Vải</t>
  </si>
  <si>
    <t>Bưởi</t>
  </si>
  <si>
    <t>Mít</t>
  </si>
  <si>
    <t>Sầu riêng</t>
  </si>
  <si>
    <t>Nho</t>
  </si>
  <si>
    <t>Phiếu xuất kho</t>
  </si>
  <si>
    <t>Tên hàng</t>
  </si>
  <si>
    <t>Thứ tự</t>
  </si>
  <si>
    <t>Thứ tự phiếu</t>
  </si>
  <si>
    <t>Thứ tự dòng</t>
  </si>
  <si>
    <t>STT</t>
  </si>
  <si>
    <t>Cột phụ</t>
  </si>
  <si>
    <t>Ký tên</t>
  </si>
  <si>
    <t>Người lập phiếu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</si>
</sst>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Times New Roman"/>
      <family val="2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/>
    <xf numFmtId="14" fontId="0" fillId="0" borderId="1" xfId="0" applyNumberFormat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0" xfId="0" applyBorder="1"/>
    <xf numFmtId="0" fontId="3" fillId="0" borderId="5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8">
    <dxf>
      <font>
        <b val="0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</font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0</xdr:row>
          <xdr:rowOff>22860</xdr:rowOff>
        </xdr:from>
        <xdr:to>
          <xdr:col>13</xdr:col>
          <xdr:colOff>297180</xdr:colOff>
          <xdr:row>2</xdr:row>
          <xdr:rowOff>0</xdr:rowOff>
        </xdr:to>
        <xdr:sp macro="" textlink="">
          <xdr:nvSpPr>
            <xdr:cNvPr id="1026" name="Spin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DCF992-9759-455B-9A12-7F342EF09A14}" name="TableTest" displayName="TableTest" ref="I5:K9" totalsRowShown="0" headerRowDxfId="7" dataDxfId="5" headerRowBorderDxfId="6" tableBorderDxfId="4" totalsRowBorderDxfId="3">
  <tableColumns count="3">
    <tableColumn id="1" xr3:uid="{9B37D1D3-FD59-4383-B0ED-9263E72EEA7F}" name="STT" dataDxfId="2">
      <calculatedColumnFormula>IF(J6="","",MAX($I$5:I5)+1)</calculatedColumnFormula>
    </tableColumn>
    <tableColumn id="2" xr3:uid="{B3CE91D4-4678-47A6-A19F-32C49609B369}" name="Tên hàng" dataDxfId="1"/>
    <tableColumn id="3" xr3:uid="{57FC8246-23FB-4542-A517-83A4F83BD74A}" name="Số lượng" dataDxfId="0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8239B-4743-4EF1-A555-A11C68A50AF3}">
  <sheetPr codeName="Sheet1"/>
  <dimension ref="A1:M26"/>
  <sheetViews>
    <sheetView tabSelected="1" zoomScale="80" zoomScaleNormal="80" workbookViewId="0">
      <selection activeCell="L18" sqref="L18"/>
    </sheetView>
  </sheetViews>
  <sheetFormatPr defaultRowHeight="13.8" x14ac:dyDescent="0.25"/>
  <cols>
    <col min="1" max="1" width="10.109375" customWidth="1"/>
    <col min="2" max="2" width="12.21875" customWidth="1"/>
    <col min="3" max="3" width="16.21875" customWidth="1"/>
    <col min="4" max="4" width="17" customWidth="1"/>
    <col min="5" max="5" width="10.6640625" customWidth="1"/>
    <col min="6" max="6" width="13" customWidth="1"/>
    <col min="7" max="7" width="11.88671875" customWidth="1"/>
    <col min="9" max="9" width="7" customWidth="1"/>
    <col min="10" max="10" width="14.6640625" customWidth="1"/>
    <col min="11" max="11" width="12.44140625" customWidth="1"/>
  </cols>
  <sheetData>
    <row r="1" spans="1:13" ht="17.399999999999999" customHeight="1" x14ac:dyDescent="0.25">
      <c r="A1" s="19" t="s">
        <v>0</v>
      </c>
      <c r="B1" s="19"/>
      <c r="C1" s="19"/>
      <c r="D1" s="19"/>
      <c r="E1" s="19"/>
      <c r="F1" s="21" t="s">
        <v>30</v>
      </c>
      <c r="G1" s="21"/>
      <c r="I1" s="19" t="s">
        <v>24</v>
      </c>
      <c r="J1" s="19"/>
      <c r="K1" s="19"/>
      <c r="M1" s="1" t="s">
        <v>26</v>
      </c>
    </row>
    <row r="2" spans="1:13" ht="18" customHeight="1" x14ac:dyDescent="0.25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8" t="s">
        <v>27</v>
      </c>
      <c r="G2" s="8" t="s">
        <v>28</v>
      </c>
      <c r="H2" s="5"/>
      <c r="I2" s="20" t="s">
        <v>2</v>
      </c>
      <c r="J2" s="20"/>
      <c r="K2" s="6">
        <f>INDEX(B1:B26,MATCH(M2,F1:F26,0))</f>
        <v>43112</v>
      </c>
      <c r="M2">
        <v>5</v>
      </c>
    </row>
    <row r="3" spans="1:13" ht="18" customHeight="1" x14ac:dyDescent="0.25">
      <c r="A3" s="3" t="s">
        <v>6</v>
      </c>
      <c r="B3" s="4">
        <v>43106</v>
      </c>
      <c r="C3" s="3" t="s">
        <v>11</v>
      </c>
      <c r="D3" s="3" t="s">
        <v>14</v>
      </c>
      <c r="E3" s="3">
        <v>60</v>
      </c>
      <c r="F3" s="3">
        <v>1</v>
      </c>
      <c r="G3" s="3">
        <f>COUNTIF($A$3:A3,A3)</f>
        <v>1</v>
      </c>
      <c r="I3" s="20" t="s">
        <v>3</v>
      </c>
      <c r="J3" s="20"/>
      <c r="K3" s="7" t="str">
        <f>INDEX(C1:C26,MATCH(M2,F1:F26,0))</f>
        <v>Anh B</v>
      </c>
    </row>
    <row r="4" spans="1:13" ht="18" customHeight="1" x14ac:dyDescent="0.25">
      <c r="A4" s="3" t="s">
        <v>6</v>
      </c>
      <c r="B4" s="4">
        <v>43106</v>
      </c>
      <c r="C4" s="3" t="s">
        <v>11</v>
      </c>
      <c r="D4" s="3" t="s">
        <v>15</v>
      </c>
      <c r="E4" s="3">
        <v>20</v>
      </c>
      <c r="F4" s="3">
        <f>IF(A4=A3,F3,MAX($F$3:F3)+1)</f>
        <v>1</v>
      </c>
      <c r="G4" s="3">
        <f>COUNTIF($A$3:A4,A4)</f>
        <v>2</v>
      </c>
      <c r="I4" s="20" t="s">
        <v>1</v>
      </c>
      <c r="J4" s="20"/>
      <c r="K4" s="9" t="str">
        <f>INDEX(A1:A26,MATCH(M2,F1:F26,0))</f>
        <v>PX05</v>
      </c>
    </row>
    <row r="5" spans="1:13" ht="18" customHeight="1" x14ac:dyDescent="0.25">
      <c r="A5" s="3" t="s">
        <v>6</v>
      </c>
      <c r="B5" s="4">
        <v>43106</v>
      </c>
      <c r="C5" s="3" t="s">
        <v>11</v>
      </c>
      <c r="D5" s="3" t="s">
        <v>16</v>
      </c>
      <c r="E5" s="3">
        <v>30</v>
      </c>
      <c r="F5" s="3">
        <f>IF(A5=A4,F4,MAX($F$3:F4)+1)</f>
        <v>1</v>
      </c>
      <c r="G5" s="3">
        <f>COUNTIF($A$3:A5,A5)</f>
        <v>3</v>
      </c>
      <c r="I5" s="10" t="s">
        <v>29</v>
      </c>
      <c r="J5" s="11" t="s">
        <v>25</v>
      </c>
      <c r="K5" s="12" t="s">
        <v>5</v>
      </c>
    </row>
    <row r="6" spans="1:13" ht="18" customHeight="1" x14ac:dyDescent="0.25">
      <c r="A6" s="3" t="s">
        <v>6</v>
      </c>
      <c r="B6" s="4">
        <v>43106</v>
      </c>
      <c r="C6" s="3" t="s">
        <v>11</v>
      </c>
      <c r="D6" s="3" t="s">
        <v>17</v>
      </c>
      <c r="E6" s="3">
        <v>40</v>
      </c>
      <c r="F6" s="3">
        <f>IF(A6=A5,F5,MAX($F$3:F5)+1)</f>
        <v>1</v>
      </c>
      <c r="G6" s="3">
        <f>COUNTIF($A$3:A6,A6)</f>
        <v>4</v>
      </c>
      <c r="I6" s="14">
        <f>IF(J6="","",MAX($I$5:I5)+1)</f>
        <v>1</v>
      </c>
      <c r="J6" s="15" t="s">
        <v>19</v>
      </c>
      <c r="K6" s="16">
        <v>50</v>
      </c>
    </row>
    <row r="7" spans="1:13" ht="18" customHeight="1" x14ac:dyDescent="0.25">
      <c r="A7" s="3" t="s">
        <v>7</v>
      </c>
      <c r="B7" s="4">
        <v>43106</v>
      </c>
      <c r="C7" s="3" t="s">
        <v>12</v>
      </c>
      <c r="D7" s="3" t="s">
        <v>15</v>
      </c>
      <c r="E7" s="3">
        <v>50</v>
      </c>
      <c r="F7" s="3">
        <f>IF(A7=A6,F6,MAX($F$3:F6)+1)</f>
        <v>2</v>
      </c>
      <c r="G7" s="3">
        <f>COUNTIF($A$3:A7,A7)</f>
        <v>1</v>
      </c>
      <c r="I7" s="14">
        <f>IF(J7="","",MAX($I$5:I6)+1)</f>
        <v>2</v>
      </c>
      <c r="J7" s="15" t="s">
        <v>21</v>
      </c>
      <c r="K7" s="16">
        <v>60</v>
      </c>
    </row>
    <row r="8" spans="1:13" ht="18" customHeight="1" x14ac:dyDescent="0.25">
      <c r="A8" s="3" t="s">
        <v>7</v>
      </c>
      <c r="B8" s="4">
        <v>43106</v>
      </c>
      <c r="C8" s="3" t="s">
        <v>12</v>
      </c>
      <c r="D8" s="3" t="s">
        <v>18</v>
      </c>
      <c r="E8" s="3">
        <v>20</v>
      </c>
      <c r="F8" s="3">
        <f>IF(A8=A7,F7,MAX($F$3:F7)+1)</f>
        <v>2</v>
      </c>
      <c r="G8" s="3">
        <f>COUNTIF($A$3:A8,A8)</f>
        <v>2</v>
      </c>
      <c r="I8" s="14">
        <f>IF(J8="","",MAX($I$5:I7)+1)</f>
        <v>3</v>
      </c>
      <c r="J8" s="15" t="s">
        <v>16</v>
      </c>
      <c r="K8" s="16">
        <v>10</v>
      </c>
    </row>
    <row r="9" spans="1:13" ht="18" customHeight="1" x14ac:dyDescent="0.25">
      <c r="A9" s="3" t="s">
        <v>7</v>
      </c>
      <c r="B9" s="4">
        <v>43106</v>
      </c>
      <c r="C9" s="3" t="s">
        <v>12</v>
      </c>
      <c r="D9" s="3" t="s">
        <v>19</v>
      </c>
      <c r="E9" s="3">
        <v>10</v>
      </c>
      <c r="F9" s="3">
        <f>IF(A9=A8,F8,MAX($F$3:F8)+1)</f>
        <v>2</v>
      </c>
      <c r="G9" s="3">
        <f>COUNTIF($A$3:A9,A9)</f>
        <v>3</v>
      </c>
      <c r="I9" s="14">
        <f>IF(J9="","",MAX($I$5:I8)+1)</f>
        <v>4</v>
      </c>
      <c r="J9" s="15" t="s">
        <v>14</v>
      </c>
      <c r="K9" s="16">
        <v>20</v>
      </c>
    </row>
    <row r="10" spans="1:13" ht="18" customHeight="1" x14ac:dyDescent="0.25">
      <c r="A10" s="3" t="s">
        <v>7</v>
      </c>
      <c r="B10" s="4">
        <v>43106</v>
      </c>
      <c r="C10" s="3" t="s">
        <v>12</v>
      </c>
      <c r="D10" s="3" t="s">
        <v>20</v>
      </c>
      <c r="E10" s="3">
        <v>30</v>
      </c>
      <c r="F10" s="3">
        <f>IF(A10=A9,F9,MAX($F$3:F9)+1)</f>
        <v>2</v>
      </c>
      <c r="G10" s="3">
        <f>COUNTIF($A$3:A10,A10)</f>
        <v>4</v>
      </c>
      <c r="I10" s="13"/>
      <c r="J10" s="13"/>
      <c r="K10" s="13"/>
    </row>
    <row r="11" spans="1:13" ht="18" customHeight="1" x14ac:dyDescent="0.25">
      <c r="A11" s="3" t="s">
        <v>8</v>
      </c>
      <c r="B11" s="4">
        <v>43108</v>
      </c>
      <c r="C11" s="3" t="s">
        <v>11</v>
      </c>
      <c r="D11" s="3" t="s">
        <v>14</v>
      </c>
      <c r="E11" s="3">
        <v>50</v>
      </c>
      <c r="F11" s="3">
        <f>IF(A11=A10,F10,MAX($F$3:F10)+1)</f>
        <v>3</v>
      </c>
      <c r="G11" s="3">
        <f>COUNTIF($A$3:A11,A11)</f>
        <v>1</v>
      </c>
      <c r="I11" s="13"/>
      <c r="J11" s="17" t="s">
        <v>32</v>
      </c>
      <c r="K11" s="17"/>
    </row>
    <row r="12" spans="1:13" ht="18" customHeight="1" x14ac:dyDescent="0.25">
      <c r="A12" s="3" t="s">
        <v>8</v>
      </c>
      <c r="B12" s="4">
        <v>43108</v>
      </c>
      <c r="C12" s="3" t="s">
        <v>11</v>
      </c>
      <c r="D12" s="3" t="s">
        <v>15</v>
      </c>
      <c r="E12" s="3">
        <v>40</v>
      </c>
      <c r="F12" s="3">
        <f>IF(A12=A11,F11,MAX($F$3:F11)+1)</f>
        <v>3</v>
      </c>
      <c r="G12" s="3">
        <f>COUNTIF($A$3:A12,A12)</f>
        <v>2</v>
      </c>
      <c r="I12" s="13"/>
      <c r="J12" s="18" t="s">
        <v>31</v>
      </c>
      <c r="K12" s="18"/>
    </row>
    <row r="13" spans="1:13" ht="18" customHeight="1" x14ac:dyDescent="0.25">
      <c r="A13" s="3" t="s">
        <v>8</v>
      </c>
      <c r="B13" s="4">
        <v>43108</v>
      </c>
      <c r="C13" s="3" t="s">
        <v>11</v>
      </c>
      <c r="D13" s="3" t="s">
        <v>17</v>
      </c>
      <c r="E13" s="3">
        <v>60</v>
      </c>
      <c r="F13" s="3">
        <f>IF(A13=A12,F12,MAX($F$3:F12)+1)</f>
        <v>3</v>
      </c>
      <c r="G13" s="3">
        <f>COUNTIF($A$3:A13,A13)</f>
        <v>3</v>
      </c>
      <c r="I13" s="13"/>
      <c r="J13" s="13"/>
      <c r="K13" s="13"/>
    </row>
    <row r="14" spans="1:13" ht="18" customHeight="1" x14ac:dyDescent="0.25">
      <c r="A14" s="3" t="s">
        <v>8</v>
      </c>
      <c r="B14" s="4">
        <v>43108</v>
      </c>
      <c r="C14" s="3" t="s">
        <v>11</v>
      </c>
      <c r="D14" s="3" t="s">
        <v>18</v>
      </c>
      <c r="E14" s="3">
        <v>40</v>
      </c>
      <c r="F14" s="3">
        <f>IF(A14=A13,F13,MAX($F$3:F13)+1)</f>
        <v>3</v>
      </c>
      <c r="G14" s="3">
        <f>COUNTIF($A$3:A14,A14)</f>
        <v>4</v>
      </c>
      <c r="I14" s="13"/>
      <c r="J14" s="13"/>
      <c r="K14" s="13"/>
    </row>
    <row r="15" spans="1:13" ht="18" customHeight="1" x14ac:dyDescent="0.25">
      <c r="A15" s="3" t="s">
        <v>8</v>
      </c>
      <c r="B15" s="4">
        <v>43108</v>
      </c>
      <c r="C15" s="3" t="s">
        <v>11</v>
      </c>
      <c r="D15" s="3" t="s">
        <v>19</v>
      </c>
      <c r="E15" s="3">
        <v>30</v>
      </c>
      <c r="F15" s="3">
        <f>IF(A15=A14,F14,MAX($F$3:F14)+1)</f>
        <v>3</v>
      </c>
      <c r="G15" s="3">
        <f>COUNTIF($A$3:A15,A15)</f>
        <v>5</v>
      </c>
      <c r="I15" s="13"/>
      <c r="J15" s="13"/>
      <c r="K15" s="13"/>
    </row>
    <row r="16" spans="1:13" ht="18" customHeight="1" x14ac:dyDescent="0.25">
      <c r="A16" s="3" t="s">
        <v>8</v>
      </c>
      <c r="B16" s="4">
        <v>43108</v>
      </c>
      <c r="C16" s="3" t="s">
        <v>11</v>
      </c>
      <c r="D16" s="3" t="s">
        <v>21</v>
      </c>
      <c r="E16" s="3">
        <v>50</v>
      </c>
      <c r="F16" s="3">
        <f>IF(A16=A15,F15,MAX($F$3:F15)+1)</f>
        <v>3</v>
      </c>
      <c r="G16" s="3">
        <f>COUNTIF($A$3:A16,A16)</f>
        <v>6</v>
      </c>
      <c r="I16" s="13"/>
      <c r="J16" s="13"/>
      <c r="K16" s="13"/>
    </row>
    <row r="17" spans="1:11" ht="18" customHeight="1" x14ac:dyDescent="0.25">
      <c r="A17" s="3" t="s">
        <v>9</v>
      </c>
      <c r="B17" s="4">
        <v>43109</v>
      </c>
      <c r="C17" s="3" t="s">
        <v>13</v>
      </c>
      <c r="D17" s="3" t="s">
        <v>16</v>
      </c>
      <c r="E17" s="3">
        <v>20</v>
      </c>
      <c r="F17" s="3">
        <f>IF(A17=A16,F16,MAX($F$3:F16)+1)</f>
        <v>4</v>
      </c>
      <c r="G17" s="3">
        <f>COUNTIF($A$3:A17,A17)</f>
        <v>1</v>
      </c>
      <c r="I17" s="13"/>
      <c r="J17" s="13"/>
      <c r="K17" s="13"/>
    </row>
    <row r="18" spans="1:11" ht="18" customHeight="1" x14ac:dyDescent="0.25">
      <c r="A18" s="3" t="s">
        <v>9</v>
      </c>
      <c r="B18" s="4">
        <v>43109</v>
      </c>
      <c r="C18" s="3" t="s">
        <v>13</v>
      </c>
      <c r="D18" s="3" t="s">
        <v>17</v>
      </c>
      <c r="E18" s="3">
        <v>10</v>
      </c>
      <c r="F18" s="3">
        <f>IF(A18=A17,F17,MAX($F$3:F17)+1)</f>
        <v>4</v>
      </c>
      <c r="G18" s="3">
        <f>COUNTIF($A$3:A18,A18)</f>
        <v>2</v>
      </c>
      <c r="I18" s="13"/>
      <c r="J18" s="13"/>
      <c r="K18" s="13"/>
    </row>
    <row r="19" spans="1:11" ht="18" customHeight="1" x14ac:dyDescent="0.25">
      <c r="A19" s="3" t="s">
        <v>9</v>
      </c>
      <c r="B19" s="4">
        <v>43109</v>
      </c>
      <c r="C19" s="3" t="s">
        <v>13</v>
      </c>
      <c r="D19" s="3" t="s">
        <v>22</v>
      </c>
      <c r="E19" s="3">
        <v>50</v>
      </c>
      <c r="F19" s="3">
        <f>IF(A19=A18,F18,MAX($F$3:F18)+1)</f>
        <v>4</v>
      </c>
      <c r="G19" s="3">
        <f>COUNTIF($A$3:A19,A19)</f>
        <v>3</v>
      </c>
      <c r="I19" s="13"/>
      <c r="J19" s="13"/>
      <c r="K19" s="13"/>
    </row>
    <row r="20" spans="1:11" ht="18" customHeight="1" x14ac:dyDescent="0.25">
      <c r="A20" s="3" t="s">
        <v>9</v>
      </c>
      <c r="B20" s="4">
        <v>43109</v>
      </c>
      <c r="C20" s="3" t="s">
        <v>13</v>
      </c>
      <c r="D20" s="3" t="s">
        <v>14</v>
      </c>
      <c r="E20" s="3">
        <v>30</v>
      </c>
      <c r="F20" s="3">
        <f>IF(A20=A19,F19,MAX($F$3:F19)+1)</f>
        <v>4</v>
      </c>
      <c r="G20" s="3">
        <f>COUNTIF($A$3:A20,A20)</f>
        <v>4</v>
      </c>
      <c r="I20" s="13"/>
      <c r="J20" s="13"/>
      <c r="K20" s="13"/>
    </row>
    <row r="21" spans="1:11" ht="18" customHeight="1" x14ac:dyDescent="0.25">
      <c r="A21" s="3" t="s">
        <v>9</v>
      </c>
      <c r="B21" s="4">
        <v>43109</v>
      </c>
      <c r="C21" s="3" t="s">
        <v>13</v>
      </c>
      <c r="D21" s="3" t="s">
        <v>21</v>
      </c>
      <c r="E21" s="3">
        <v>40</v>
      </c>
      <c r="F21" s="3">
        <f>IF(A21=A20,F20,MAX($F$3:F20)+1)</f>
        <v>4</v>
      </c>
      <c r="G21" s="3">
        <f>COUNTIF($A$3:A21,A21)</f>
        <v>5</v>
      </c>
      <c r="I21" s="13"/>
      <c r="J21" s="13"/>
      <c r="K21" s="13"/>
    </row>
    <row r="22" spans="1:11" ht="18" customHeight="1" x14ac:dyDescent="0.25">
      <c r="A22" s="3" t="s">
        <v>9</v>
      </c>
      <c r="B22" s="4">
        <v>43109</v>
      </c>
      <c r="C22" s="3" t="s">
        <v>13</v>
      </c>
      <c r="D22" s="3" t="s">
        <v>23</v>
      </c>
      <c r="E22" s="3">
        <v>40</v>
      </c>
      <c r="F22" s="3">
        <f>IF(A22=A21,F21,MAX($F$3:F21)+1)</f>
        <v>4</v>
      </c>
      <c r="G22" s="3">
        <f>COUNTIF($A$3:A22,A22)</f>
        <v>6</v>
      </c>
      <c r="I22" s="13"/>
      <c r="J22" s="13"/>
      <c r="K22" s="13"/>
    </row>
    <row r="23" spans="1:11" ht="18" customHeight="1" x14ac:dyDescent="0.25">
      <c r="A23" s="3" t="s">
        <v>10</v>
      </c>
      <c r="B23" s="4">
        <v>43112</v>
      </c>
      <c r="C23" s="3" t="s">
        <v>12</v>
      </c>
      <c r="D23" s="3" t="s">
        <v>19</v>
      </c>
      <c r="E23" s="3">
        <v>50</v>
      </c>
      <c r="F23" s="3">
        <f>IF(A23=A22,F22,MAX($F$3:F22)+1)</f>
        <v>5</v>
      </c>
      <c r="G23" s="3">
        <f>COUNTIF($A$3:A23,A23)</f>
        <v>1</v>
      </c>
      <c r="I23" s="13"/>
      <c r="J23" s="13"/>
      <c r="K23" s="13"/>
    </row>
    <row r="24" spans="1:11" ht="18" customHeight="1" x14ac:dyDescent="0.25">
      <c r="A24" s="3" t="s">
        <v>10</v>
      </c>
      <c r="B24" s="4">
        <v>43112</v>
      </c>
      <c r="C24" s="3" t="s">
        <v>12</v>
      </c>
      <c r="D24" s="3" t="s">
        <v>21</v>
      </c>
      <c r="E24" s="3">
        <v>60</v>
      </c>
      <c r="F24" s="3">
        <f>IF(A24=A23,F23,MAX($F$3:F23)+1)</f>
        <v>5</v>
      </c>
      <c r="G24" s="3">
        <f>COUNTIF($A$3:A24,A24)</f>
        <v>2</v>
      </c>
    </row>
    <row r="25" spans="1:11" ht="18" customHeight="1" x14ac:dyDescent="0.25">
      <c r="A25" s="3" t="s">
        <v>10</v>
      </c>
      <c r="B25" s="4">
        <v>43112</v>
      </c>
      <c r="C25" s="3" t="s">
        <v>12</v>
      </c>
      <c r="D25" s="3" t="s">
        <v>16</v>
      </c>
      <c r="E25" s="3">
        <v>10</v>
      </c>
      <c r="F25" s="3">
        <f>IF(A25=A24,F24,MAX($F$3:F24)+1)</f>
        <v>5</v>
      </c>
      <c r="G25" s="3">
        <f>COUNTIF($A$3:A25,A25)</f>
        <v>3</v>
      </c>
    </row>
    <row r="26" spans="1:11" ht="18" customHeight="1" x14ac:dyDescent="0.25">
      <c r="A26" s="3" t="s">
        <v>10</v>
      </c>
      <c r="B26" s="4">
        <v>43112</v>
      </c>
      <c r="C26" s="3" t="s">
        <v>12</v>
      </c>
      <c r="D26" s="3" t="s">
        <v>14</v>
      </c>
      <c r="E26" s="3">
        <v>20</v>
      </c>
      <c r="F26" s="3">
        <f>IF(A26=A25,F25,MAX($F$3:F25)+1)</f>
        <v>5</v>
      </c>
      <c r="G26" s="3">
        <f>COUNTIF($A$3:A26,A26)</f>
        <v>4</v>
      </c>
    </row>
  </sheetData>
  <mergeCells count="8">
    <mergeCell ref="J11:K11"/>
    <mergeCell ref="J12:K12"/>
    <mergeCell ref="A1:E1"/>
    <mergeCell ref="I2:J2"/>
    <mergeCell ref="I3:J3"/>
    <mergeCell ref="I1:K1"/>
    <mergeCell ref="F1:G1"/>
    <mergeCell ref="I4:J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pinButton1">
          <controlPr defaultSize="0" autoLine="0" linkedCell="M2" r:id="rId5">
            <anchor moveWithCells="1">
              <from>
                <xdr:col>13</xdr:col>
                <xdr:colOff>38100</xdr:colOff>
                <xdr:row>0</xdr:row>
                <xdr:rowOff>22860</xdr:rowOff>
              </from>
              <to>
                <xdr:col>13</xdr:col>
                <xdr:colOff>297180</xdr:colOff>
                <xdr:row>2</xdr:row>
                <xdr:rowOff>0</xdr:rowOff>
              </to>
            </anchor>
          </controlPr>
        </control>
      </mc:Choice>
      <mc:Fallback>
        <control shapeId="1026" r:id="rId4" name="SpinButton1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hocexcel.online Quân</dc:creator>
  <cp:lastModifiedBy>hocexcel.online Quân</cp:lastModifiedBy>
  <cp:lastPrinted>2018-01-17T08:14:12Z</cp:lastPrinted>
  <dcterms:created xsi:type="dcterms:W3CDTF">2018-01-17T03:08:35Z</dcterms:created>
  <dcterms:modified xsi:type="dcterms:W3CDTF">2018-01-17T08:32:57Z</dcterms:modified>
</cp:coreProperties>
</file>